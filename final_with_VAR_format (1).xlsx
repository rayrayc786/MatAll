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545" windowHeight="762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<sst xmlns="http://schemas.openxmlformats.org/spreadsheetml/2006/main" count="35965" uniqueCount="5147">
  <si>
    <t>Product Id</t>
  </si>
  <si>
    <t>Variant Id</t>
  </si>
  <si>
    <t>Category</t>
  </si>
  <si>
    <t>Sub Category</t>
  </si>
  <si>
    <t>Brand</t>
  </si>
  <si>
    <t>Product Name</t>
  </si>
  <si>
    <t>Alternate Names (for search)</t>
  </si>
  <si>
    <t>Variant 1 Name</t>
  </si>
  <si>
    <t>Variant 1 Value</t>
  </si>
  <si>
    <t>Variant 2 Name</t>
  </si>
  <si>
    <t>Variant 2 Value</t>
  </si>
  <si>
    <t>Variant 3 Name</t>
  </si>
  <si>
    <t>Variant 3 Value</t>
  </si>
  <si>
    <t>Variant 4 Name</t>
  </si>
  <si>
    <t>Variant 4 Value</t>
  </si>
  <si>
    <t>Variant 5 Value</t>
  </si>
  <si>
    <t>Warranty</t>
  </si>
  <si>
    <t>Product Code</t>
  </si>
  <si>
    <t>Pack of</t>
  </si>
  <si>
    <t>Bulk application</t>
  </si>
  <si>
    <t>Unit Weight 
(in gm)</t>
  </si>
  <si>
    <t>Supplied With</t>
  </si>
  <si>
    <t>Suitable For</t>
  </si>
  <si>
    <t>Measure</t>
  </si>
  <si>
    <t>Images</t>
  </si>
  <si>
    <t>HSN Code</t>
  </si>
  <si>
    <t>Selling Measure</t>
  </si>
  <si>
    <t>Measure Term</t>
  </si>
  <si>
    <t>Measure Value</t>
  </si>
  <si>
    <t>Selling Measure Rate</t>
  </si>
  <si>
    <t>MRP (Incl GST)</t>
  </si>
  <si>
    <t>Dealer Discount</t>
  </si>
  <si>
    <t>Price after discount</t>
  </si>
  <si>
    <t>GST</t>
  </si>
  <si>
    <t>Buying Price</t>
  </si>
  <si>
    <t>Rev Margin</t>
  </si>
  <si>
    <t>Margin Value</t>
  </si>
  <si>
    <t>Sale Price</t>
  </si>
  <si>
    <t>Discount Value</t>
  </si>
  <si>
    <t>Discount Rate</t>
  </si>
  <si>
    <t>Delivery Time</t>
  </si>
  <si>
    <t>Returns</t>
  </si>
  <si>
    <t>Logistics Rule</t>
  </si>
  <si>
    <t>Status</t>
  </si>
  <si>
    <t>Product Description</t>
  </si>
  <si>
    <t>PROD_0001</t>
  </si>
  <si>
    <t>VAR_1</t>
  </si>
  <si>
    <t>Wooden Material</t>
  </si>
  <si>
    <t>Plywood</t>
  </si>
  <si>
    <t>Century Ply</t>
  </si>
  <si>
    <t>Sainik 710</t>
  </si>
  <si>
    <t>Type</t>
  </si>
  <si>
    <t>Boiling Water Proof</t>
  </si>
  <si>
    <t>Size</t>
  </si>
  <si>
    <t>8 ft X 4 ft</t>
  </si>
  <si>
    <t>Thickness</t>
  </si>
  <si>
    <t>4 mm</t>
  </si>
  <si>
    <t>Manufacturer's Warranty</t>
  </si>
  <si>
    <t>Adhesive</t>
  </si>
  <si>
    <t>Internal Use</t>
  </si>
  <si>
    <t>Door</t>
  </si>
  <si>
    <t>CENT_PW_SAINKI_710</t>
  </si>
  <si>
    <t>per sq ft</t>
  </si>
  <si>
    <t>Area</t>
  </si>
  <si>
    <t>3 hrs</t>
  </si>
  <si>
    <t>Length Weight</t>
  </si>
  <si>
    <t>Sainik 710 from the house of CenturyPly is a high-quality, Boiling Waterproof (BWP) grade plywood that offers superior durability and performance at an accessible price point. Manufactured in accordance with the strict IS:710 standard, this plywood is designed to withstand prolonged exposure to water and high humidity, making it ideal for a wide range of applications in your home or commercial space.</t>
  </si>
  <si>
    <t>VAR_2</t>
  </si>
  <si>
    <t>6 mm</t>
  </si>
  <si>
    <t>Screws</t>
  </si>
  <si>
    <t>Furniture</t>
  </si>
  <si>
    <t>VAR_3</t>
  </si>
  <si>
    <t>9mm</t>
  </si>
  <si>
    <t>Edgeband Tape</t>
  </si>
  <si>
    <t>Wardrobe</t>
  </si>
  <si>
    <t>VAR_4</t>
  </si>
  <si>
    <t>12 mm</t>
  </si>
  <si>
    <t>Masking tap</t>
  </si>
  <si>
    <t>Kitchen</t>
  </si>
  <si>
    <t>VAR_5</t>
  </si>
  <si>
    <t>16mm</t>
  </si>
  <si>
    <t>Mica</t>
  </si>
  <si>
    <t>Sheo Rack</t>
  </si>
  <si>
    <t>VAR_6</t>
  </si>
  <si>
    <t>19mm</t>
  </si>
  <si>
    <t>External Use</t>
  </si>
  <si>
    <t>PROD_0002</t>
  </si>
  <si>
    <t>Sainik MR</t>
  </si>
  <si>
    <t>CENT_PW_SAINKI_MR</t>
  </si>
  <si>
    <t>Sainik MR is a reliable, economical, and high-quality plywood from the house of CenturyPly, India's trusted plywood brand. Designed for interior applications, this commercial-grade (IS:303 certified) plywood offers excellent performance and durability in dry areas.</t>
  </si>
  <si>
    <t>8 mm</t>
  </si>
  <si>
    <t>15 mm</t>
  </si>
  <si>
    <t>18 mm</t>
  </si>
  <si>
    <t>PROD_0003</t>
  </si>
  <si>
    <t>Win MR</t>
  </si>
  <si>
    <t>Water Resistant</t>
  </si>
  <si>
    <t>CENT_PW_Win_MR</t>
  </si>
  <si>
    <t>CenturyPly WIN MR offers premium quality and durability better than any other commercial grade plywoods and at an affordable cost. It is an eco-friendly plywood made from seasoned wood and extra ply layers, which provides extra strength to it. WIN MR is water resistant and comes with a 5 year warranty.</t>
  </si>
  <si>
    <t>15mm</t>
  </si>
  <si>
    <t>18mm</t>
  </si>
  <si>
    <t>PROD_0004</t>
  </si>
  <si>
    <t>Club Prime</t>
  </si>
  <si>
    <t>CENT_PW_Club _Prime_BWP</t>
  </si>
  <si>
    <t>Club Prime by CenturyPly is a premium BWP marine-grade plywood, passing 25 stringent BIS tests. It features Firewall Technology for fire protection and ViroKill Technology that eliminates 99.9% of viruses. With 65% stronger Glue Shear Strength, it ensures superior durability</t>
  </si>
  <si>
    <t>PROD_0005</t>
  </si>
  <si>
    <t>Blockboard</t>
  </si>
  <si>
    <t xml:space="preserve">CENT_BB_SAINKI_MR </t>
  </si>
  <si>
    <t>Sainik MR is a water resistant plywood from the house of CenturyPly and is the only water resistant ply in this plywood price range. This affordable grade plywood is bend-resistant and weather-resistant, making it dimensionally stable and swell proof. Sainik MR is Borer and Termite proof and comes with a 5 year warranty.</t>
  </si>
  <si>
    <t>PROD_0006</t>
  </si>
  <si>
    <t xml:space="preserve">CENT_BB_SAINKI_710 </t>
  </si>
  <si>
    <t>Century Sainik 710 Block Board is a water resistant plywood from the house of CenturyPly and is the only waterproof ply in this price range with Gurjan face. This affordable grade plywood is bend-resistant and weather-resistant, making it dimensionally stable and swell proof. Sainik Sainik 710 Block Board is Borer and Termite proof and comes with a 5 year warranty.</t>
  </si>
  <si>
    <t>PROD_0007</t>
  </si>
  <si>
    <t>CENT_BB_Win_MR</t>
  </si>
  <si>
    <t>CenturyPly WIN MR Block board offers premium quality and durability better than any other commercial grade block boards and at an affordable cost. It is an eco-friendly plywood made from seasoned wood. WIN STAR MR BB is water resistant and comes with a 5 year warranty.</t>
  </si>
  <si>
    <t>PROD_0008</t>
  </si>
  <si>
    <t>CENT_BB_Club _Prime_BWP</t>
  </si>
  <si>
    <t>Century Club Prime Block Board is a water resistant plywood from the house of CenturyPly and is the only waterproof ply in this price range with Gurjan face. This affordable grade plywood is bend-resistant and weather-resistant, making it dimensionally stable and swell proof. Century Club Prime  Block Board is Borer and Termite proof and comes with a 25 year warranty.</t>
  </si>
  <si>
    <t>PROD_0009</t>
  </si>
  <si>
    <t>MDF</t>
  </si>
  <si>
    <t>Action Tesa</t>
  </si>
  <si>
    <t>Plain</t>
  </si>
  <si>
    <t>Application</t>
  </si>
  <si>
    <t>Interior</t>
  </si>
  <si>
    <t>5.50 mm</t>
  </si>
  <si>
    <t>Color</t>
  </si>
  <si>
    <t>AT_MDF_PLAIN_IG</t>
  </si>
  <si>
    <t>Action TESA produces Interior and Exterior Grade MDF boards. They are engineered to meet the vivid needs of customers and remain great in changing Indian weather. They are resistant to termites, borers, fungus and moisture. They are eco-friendly and a perfect choice to produce quality furniture.</t>
  </si>
  <si>
    <t>7.30mm</t>
  </si>
  <si>
    <t>11mm</t>
  </si>
  <si>
    <t>16.50mm</t>
  </si>
  <si>
    <t>17mm</t>
  </si>
  <si>
    <t>VAR_7</t>
  </si>
  <si>
    <t>Exterior</t>
  </si>
  <si>
    <t>VAR_8</t>
  </si>
  <si>
    <t>7.30 mm</t>
  </si>
  <si>
    <t>VAR_9</t>
  </si>
  <si>
    <t>11 mm</t>
  </si>
  <si>
    <t>VAR_10</t>
  </si>
  <si>
    <t>VAR_11</t>
  </si>
  <si>
    <t>17 mm</t>
  </si>
  <si>
    <t>VAR_12</t>
  </si>
  <si>
    <t>PROD_0010</t>
  </si>
  <si>
    <t>One Side Laminate</t>
  </si>
  <si>
    <t>White</t>
  </si>
  <si>
    <t>AT_MDF_OSL_LAM_IG</t>
  </si>
  <si>
    <t>PROD_0011</t>
  </si>
  <si>
    <t>Both Side Laminate</t>
  </si>
  <si>
    <t>AT_MDF_BSL_LAM_IG</t>
  </si>
  <si>
    <t>PROD_0012</t>
  </si>
  <si>
    <t>Both Side Board</t>
  </si>
  <si>
    <t>AT_MDF_BSB_LAM_IG</t>
  </si>
  <si>
    <t>16.50 mm</t>
  </si>
  <si>
    <t>PROD_0013</t>
  </si>
  <si>
    <t>One Side Raw</t>
  </si>
  <si>
    <t>AT_MDF_OSR_LAM_IG</t>
  </si>
  <si>
    <t>PROD_0014</t>
  </si>
  <si>
    <t>HDHMR</t>
  </si>
  <si>
    <t>Internal</t>
  </si>
  <si>
    <t>AT_HDHMR_PLAIN</t>
  </si>
  <si>
    <t>HDHMR is manufactured using hardwood and its density is over 850 kg/m3, it has a uniform density gradient &amp; a compact core which gives it the best routing characteristics. This is achieved by using special German Technology for MAT formation &amp; 8 cylinders, and 18 daylight press-the 1st in India.
Action TESA HDHMR is tougher than any available plywood in the market and it is moisture resistant too, which makes it an ideal board in extremely moist climatic conditions.</t>
  </si>
  <si>
    <t>16 mm</t>
  </si>
  <si>
    <t>16.75 mm</t>
  </si>
  <si>
    <t>PROD_0015</t>
  </si>
  <si>
    <t>Frosty White</t>
  </si>
  <si>
    <t>AT_HDHMR_OSL_LAM</t>
  </si>
  <si>
    <t>PROD_0016</t>
  </si>
  <si>
    <t>AT_HDHMR_BSL_LAM</t>
  </si>
  <si>
    <t>PROD_0017</t>
  </si>
  <si>
    <t>AT_HDHMR_OSR_LAM</t>
  </si>
  <si>
    <t>PROD_0018</t>
  </si>
  <si>
    <t>AT_HDHMR_BSB_LAM</t>
  </si>
  <si>
    <t>PROD_0019</t>
  </si>
  <si>
    <t>PVC Board</t>
  </si>
  <si>
    <t>Century</t>
  </si>
  <si>
    <t>Universal</t>
  </si>
  <si>
    <t>CENT_PVC_BOARD</t>
  </si>
  <si>
    <t>To Check</t>
  </si>
  <si>
    <t>Century PVC board sheets are termed as the new generation building material because they are super easy to maintain, install and even re-install. Century PVC boards are eco-friendly &amp; long-lasting, which reduces the impact on the environment. Be it for your doors, partition walls, bathroom slabs, furniture backliners etc., PVC sheets can be used in an ample number of ways. Being 100% waterproof and termite-proof Century PVC sheets are very versatile.</t>
  </si>
  <si>
    <t>PROD_0020</t>
  </si>
  <si>
    <t>Imported</t>
  </si>
  <si>
    <t>GEN_PVC_BOARD</t>
  </si>
  <si>
    <t>PROD_0021</t>
  </si>
  <si>
    <t>Edgeband</t>
  </si>
  <si>
    <t>E3</t>
  </si>
  <si>
    <t>PVC Edge Tape | 22 mm</t>
  </si>
  <si>
    <t>0.8 mm</t>
  </si>
  <si>
    <t>Finish</t>
  </si>
  <si>
    <t>Matt</t>
  </si>
  <si>
    <t>Super White</t>
  </si>
  <si>
    <t>WM_EDB_E3_1001</t>
  </si>
  <si>
    <t>Mtr</t>
  </si>
  <si>
    <t>Runing</t>
  </si>
  <si>
    <t>White Lily</t>
  </si>
  <si>
    <t>WM_EDB_E3_1101</t>
  </si>
  <si>
    <t>WM_EDB_E3_1002</t>
  </si>
  <si>
    <t>L.White</t>
  </si>
  <si>
    <t>WM_EDB_E3_1102</t>
  </si>
  <si>
    <t>Ivory</t>
  </si>
  <si>
    <t>WM_EDB_E3_1003</t>
  </si>
  <si>
    <t>Solar White</t>
  </si>
  <si>
    <t>WM_EDB_E3_1103</t>
  </si>
  <si>
    <t>2 mm</t>
  </si>
  <si>
    <t>VAR_13</t>
  </si>
  <si>
    <t>VAR_14</t>
  </si>
  <si>
    <t>VAR_15</t>
  </si>
  <si>
    <t>VAR_16</t>
  </si>
  <si>
    <t>VAR_17</t>
  </si>
  <si>
    <t>VAR_18</t>
  </si>
  <si>
    <t>VAR_19</t>
  </si>
  <si>
    <t>VAR_20</t>
  </si>
  <si>
    <t>VAR_21</t>
  </si>
  <si>
    <t>VAR_22</t>
  </si>
  <si>
    <t>VAR_23</t>
  </si>
  <si>
    <t>VAR_24</t>
  </si>
  <si>
    <t>PROD_0022</t>
  </si>
  <si>
    <t>Fevicol</t>
  </si>
  <si>
    <t>Nail Free Ultra</t>
  </si>
  <si>
    <t>Weight</t>
  </si>
  <si>
    <t>435 gm</t>
  </si>
  <si>
    <t>Applicaton</t>
  </si>
  <si>
    <t>FC_NAIL_FREE_ULTRA</t>
  </si>
  <si>
    <t>60 mins</t>
  </si>
  <si>
    <t>Fevicol Nail Free Silicone sealant is formulated to provide strong and reliable adhesion to a wide variety of surfaces, including glass, ceramics, metals, wood, concrete, and plastics. It ensures a long-lasting bond, reducing the need for frequent repairs or reapplications.</t>
  </si>
  <si>
    <t>PROD_0023</t>
  </si>
  <si>
    <t>All Rounder SH</t>
  </si>
  <si>
    <t>125 gm</t>
  </si>
  <si>
    <t>FC_All_Rounder_SH_125 gm</t>
  </si>
  <si>
    <t>Fevicol SH is a premium grade synthetic resin-based adhesive suitable for woodworking as well as handicraft based on wood and paper products and other similar joinery applications.</t>
  </si>
  <si>
    <t>250 gm</t>
  </si>
  <si>
    <t>Doors</t>
  </si>
  <si>
    <t>FC_All_Rounder_SH_250gm</t>
  </si>
  <si>
    <t>500 gm</t>
  </si>
  <si>
    <t>Cabinets</t>
  </si>
  <si>
    <t>FC_All_Rounder_SH_500gm</t>
  </si>
  <si>
    <t>1kg</t>
  </si>
  <si>
    <t xml:space="preserve">FC_All_Rounder_SH_1KG </t>
  </si>
  <si>
    <t>2kg</t>
  </si>
  <si>
    <t>FC_All_Rounder_SH_2KG</t>
  </si>
  <si>
    <t>5 kg</t>
  </si>
  <si>
    <t>FC_All_Rounder_SH_5KG</t>
  </si>
  <si>
    <t>10 kg</t>
  </si>
  <si>
    <t>FC_All_Rounder_SH_10KG</t>
  </si>
  <si>
    <t>20 kg</t>
  </si>
  <si>
    <t>FC_All_Rounder_SH_20KG</t>
  </si>
  <si>
    <t>30 kg</t>
  </si>
  <si>
    <t>FC_All_Rounder_SH_30KG</t>
  </si>
  <si>
    <t>50 kg</t>
  </si>
  <si>
    <t>FC_All_Rounder_SH_50KG</t>
  </si>
  <si>
    <t>60 kg</t>
  </si>
  <si>
    <t>FC_All_Rounder_SH_60KG</t>
  </si>
  <si>
    <t>PROD_0024</t>
  </si>
  <si>
    <t>Marine</t>
  </si>
  <si>
    <t>FC_Marine_1KG</t>
  </si>
  <si>
    <t>Fevicol Marine is a high-performance synthetic resin-based adhesive by Pidilite, formulated for woodwork where high water resistance is crucial. Boasting up to 5 days water resistance and 5 hours in boiling water, this glue sets in up to 5 hours, ensuring reliable bonds even on marine-grade plywood and in high-humidity areas. With its advanced resin formula, it is ideal for interior and exterior furniture and woodworking.</t>
  </si>
  <si>
    <t>FC_Marine_2KG</t>
  </si>
  <si>
    <t>FC_Marine_5KG</t>
  </si>
  <si>
    <t>FC_Marine_10KG</t>
  </si>
  <si>
    <t>FC_Marine_20KG</t>
  </si>
  <si>
    <t>FC_Marine_30KG</t>
  </si>
  <si>
    <t>FC_Marine_50KG</t>
  </si>
  <si>
    <t>FC_Marine_60KG</t>
  </si>
  <si>
    <t>PROD_0025</t>
  </si>
  <si>
    <t>Hi-Per</t>
  </si>
  <si>
    <t>FC_HI_PER_1KG</t>
  </si>
  <si>
    <t>Fevicol Hi per is specially designed for bonding in furnitures Sports goods paper carpet mfg also recommended for bonding any two material where at least one of them is porous eg Paper card board particle board etc</t>
  </si>
  <si>
    <t>FC_HI_PER_2KG</t>
  </si>
  <si>
    <t>FC_HI_PER_5KG</t>
  </si>
  <si>
    <t>FC_HI_PER_10KG</t>
  </si>
  <si>
    <t>FC_HI_PER_20KG</t>
  </si>
  <si>
    <t>FC_HI_PER_30KG</t>
  </si>
  <si>
    <t>FC_HI_PER_50KG</t>
  </si>
  <si>
    <t>FC_HI_PER_60KG</t>
  </si>
  <si>
    <t>PROD_0026</t>
  </si>
  <si>
    <t>D3</t>
  </si>
  <si>
    <t>WM_ADH_FVCL_D3</t>
  </si>
  <si>
    <t>D3 adhesive adhering to DIN EN 204 standards
Gives excellent bond in all types of wood
Offers handling strength in 2 hours
Convertible to D4 grade with addition of 5% hardener</t>
  </si>
  <si>
    <t>PROD_0027</t>
  </si>
  <si>
    <t>Master Lok</t>
  </si>
  <si>
    <t>FC_MASTER_LOK_125GM</t>
  </si>
  <si>
    <t>Fevicol Masterlok Synthetic Resin Adhesive, available in a convenient 1 kg packaging, stands out as a versatile and reliable solution for various bonding applications. With a reputation for superior bonding strength and durability, this adhesive is a popular choice for woodworking, crafting, and general household use.</t>
  </si>
  <si>
    <t xml:space="preserve">FC_MASTER_LOK_250GM </t>
  </si>
  <si>
    <t>FC_MASTER_LOK_500GM</t>
  </si>
  <si>
    <t>FC_MASTER_LOK_1KG</t>
  </si>
  <si>
    <t>FC_MASTER_LOK_2KG</t>
  </si>
  <si>
    <t>FC_MASTER_LOK_5KG</t>
  </si>
  <si>
    <t>FC_MASTER_LOK_10KG</t>
  </si>
  <si>
    <t>FC_MASTER_LOK_20KG</t>
  </si>
  <si>
    <t>FC_MASTER_LOK_50KG</t>
  </si>
  <si>
    <t>PROD_0028</t>
  </si>
  <si>
    <t>Water Shield Marine</t>
  </si>
  <si>
    <t>FC_Water_Shield_Marine_1KG</t>
  </si>
  <si>
    <t>Fevicol Marine is technologically advanced waterproof adhesive
It is ideal adhesive for marine plywood along with advanced waterproofing properties it has a superior coverage also
7 Hours Boiling Waterproof, 7 Days Normal Waterproof, 4 hrs setting time</t>
  </si>
  <si>
    <t>FC_Water_Shield_Marine_2KG</t>
  </si>
  <si>
    <t>FC_Water_Shield_Marine_5KG</t>
  </si>
  <si>
    <t>FC_Water_Shield_Marine_10KG</t>
  </si>
  <si>
    <t>FC_Water_Shield_Marine_20KG</t>
  </si>
  <si>
    <t>FC_Water_Shield_Marine_50KG</t>
  </si>
  <si>
    <t>FC_Water_Shield_Marine_60KG</t>
  </si>
  <si>
    <t>PROD_0029</t>
  </si>
  <si>
    <t>Heatex</t>
  </si>
  <si>
    <t>100 gm</t>
  </si>
  <si>
    <t>FC_Heatex_100GM</t>
  </si>
  <si>
    <t>HEAT RESISTANCE - High Heat resistance capacity up to 170 deg Good for Heat prone areas like kitchen burner or dining table top.
EFFECTIVE &amp; EFFICIENT - Bonds in 10-15 min Faster Completion of Carpentry. Faster Completion of work Faster Setting time: 2 hrs and saves labour.
FAST BONDING - Fast Bonding, Grip &amp; No Spring Back Action Best results in Vertical Applications &amp; executing Complicated designs.
INSIDE LAMINATIONS - One of the best usages of HeatX is for Andarwala laminate i.e. for inside lamination of cabinets &amp; storages. No constant pressure &amp; masking tape required Best for Inside Laminate of shutters.
IDEAL - Ideal for Vertical applications</t>
  </si>
  <si>
    <t>200 gm</t>
  </si>
  <si>
    <t>FC_Heatex_200GM</t>
  </si>
  <si>
    <t>FC_Heatex_500GM</t>
  </si>
  <si>
    <t>FC_Heatex_1KG</t>
  </si>
  <si>
    <t>FC_Heatex_2KG</t>
  </si>
  <si>
    <t>FC_Heatex_5KG</t>
  </si>
  <si>
    <t>PROD_0030</t>
  </si>
  <si>
    <t>Probond</t>
  </si>
  <si>
    <t>FC_Probond_500GM</t>
  </si>
  <si>
    <t>Fevicol Probond (formerly PVCFix) is a specialized water-based synthetic resin adhesive from Pidilite designed for high-performance bonding of PVC sheets, acrylic sheets, and primer-coated edge banding tapes onto wood, plywood, and MDF. It features excellent heat resistance, high initial grab, and is ideal for furniture and interior</t>
  </si>
  <si>
    <t>FC_Probond_1KG</t>
  </si>
  <si>
    <t>FC_Probond_5KG</t>
  </si>
  <si>
    <t>FC_Probond_10KG</t>
  </si>
  <si>
    <t>FC_Probond_20KG</t>
  </si>
  <si>
    <t>PROD_0031</t>
  </si>
  <si>
    <t>Ezee Spray</t>
  </si>
  <si>
    <t>Volume</t>
  </si>
  <si>
    <t>500 ml</t>
  </si>
  <si>
    <t>FC_Ezee Spray_500ML</t>
  </si>
  <si>
    <t>Fevicol ezee spray is the best way to get your soundproofing products attached to any surface
It's an instant spray with rapid bonding so there is no curing time. Simply hold the panels in place for 10 seconds and you are done
Use this to attach polyurethane foam basotect panels rockwool mineral fiber panels polyester fiber panels wood - wool panels
Fast grab and rapid bonding very good for patch/ repair works or last minute finishing jobs
Suggested Area of Application: Ezee Spray can be used in ceiling lamination, vertical lamination, soundproofing, small area veneer pasting without nail, Acoustic foam penelling, DIY household projects</t>
  </si>
  <si>
    <t>PROD_0032</t>
  </si>
  <si>
    <t>Marine Koat</t>
  </si>
  <si>
    <t>FC_Marine_Koat_500ML</t>
  </si>
  <si>
    <t xml:space="preserve">Fevicol Marinekoat is a specialized, water-based, polymer-based waterproofing coating from Pidilite designed to protect plywood, MDF, and wooden furniture from moisture, water seepage, and dampness. It forms a durable, transparent, and seamless barrier on the wood surface, ideal for protecting furniture backboards, wardrobes, and kitchen cabinets from wall-induced moisture. </t>
  </si>
  <si>
    <t>1 Ltr</t>
  </si>
  <si>
    <t>FC_Marine_Koat_1LTR</t>
  </si>
  <si>
    <t>5 Ltr</t>
  </si>
  <si>
    <t>FC_Marine_Koat_5LTR</t>
  </si>
  <si>
    <t>PROD_0033</t>
  </si>
  <si>
    <t>Terminator Wood Preservative</t>
  </si>
  <si>
    <t>FC_Terminator_Wood_Preservative_500ML</t>
  </si>
  <si>
    <t>The Terminator Wood Preservative spray comes with an Insta Kill formula that eliminates termites almost immediately and prevents any future attack from occurring for a long time
PROTECTS AND PREVENTS AGAINST TERMITE ATTACK - The Terminator Wood Preservative Spray is a clear wood preservative that is highly effective against termites and borers. It comes with an Insta Kill formula that eliminates termites almost immediately and prevents any future attack when used frequently
NO TOXIC ODOUR OR SMELL – The Terminator Wood Preservative Spray is safe for users and is made from non-hazardous chemicals. It is eco-friendly and made from herbal extracts with no side effects for users
NO DAMAGE TO SURFACES - The Terminator Wood Preservative Spray can be used on any wooden corner or crevice of your house and increases the life of the wood. It does not cause any damage or fading when applied to surfaces
RECOMMENDED USAGE – To prevent future termite attacks, the Terminator Wood Preservative Spray can be used once in 2 months. In highly infected areas, the Terminator Wood Preservative Spray can be used frequently
SUITABLE FOR HOME OR OFFICE USE – The Terminator Wood Preservative Spray is recommended for spot treatment of termites affected areas. It is suitable for Indoor and Outdoor use</t>
  </si>
  <si>
    <t>FC_Terminator_Wood_Preservative_1LTR</t>
  </si>
  <si>
    <t>3 Ltr</t>
  </si>
  <si>
    <t>FC_Terminator_Wood_Preservative_3LTR</t>
  </si>
  <si>
    <t>FC_Terminator_Wood_Preservative_5LTR</t>
  </si>
  <si>
    <t>PROD_0034</t>
  </si>
  <si>
    <t>Polyfix</t>
  </si>
  <si>
    <t>Rapid HV Glue</t>
  </si>
  <si>
    <t>6 gm</t>
  </si>
  <si>
    <t>PolyfiX_Rapid_HV_Glue_6ML</t>
  </si>
  <si>
    <t>Quickest Formula – Its quick and non-drip formula provides powerful and precise bonds even on flexible materials and vertical surfaces.
Use Everywhere – The HV glue is ideal for the use on vertical and porous surfaces. It works on wood , plastic , rubber, leather, ceramics and paper etc.
High Control – For hard to reach spots, the all purpose adhesive features an easy-grip squeeze bottle and a long nozzle for smooth and precise applications.
High Viscosity , universal glue, convenient bottle for easy-grip control with longer nozzle, weather and shock resistant, dries transparent.
Long-lasting – With instant strength in a single drop,the HV glue combines cyanoacrylate technology to ensure durability whilst drying transparently.</t>
  </si>
  <si>
    <t>10 gm</t>
  </si>
  <si>
    <t>PolyfiX_Rapid_HV_Glue_10ML</t>
  </si>
  <si>
    <t>12 gm</t>
  </si>
  <si>
    <t>PolyfiX_Rapid_HV_Glue_12ML</t>
  </si>
  <si>
    <t>15 gm</t>
  </si>
  <si>
    <t>PolyfiX_Rapid_HV_Glue_15ML</t>
  </si>
  <si>
    <t>18 gm</t>
  </si>
  <si>
    <t>PolyfiX_Rapid_HV_Glue_18ML</t>
  </si>
  <si>
    <t>PolyfiX_Rapid_HV_Glue_125GM</t>
  </si>
  <si>
    <t>PolyfiX_Rapid_HV_Glue_250GM</t>
  </si>
  <si>
    <t>PROD_0035</t>
  </si>
  <si>
    <t>Jeevanjor</t>
  </si>
  <si>
    <t xml:space="preserve">All Rounder </t>
  </si>
  <si>
    <t>Jeevanjor_All_Rounder_HP_250GM</t>
  </si>
  <si>
    <t xml:space="preserve">
Jivanjor All Rounder is a premium, high-performance white synthetic resin adhesive used for versatile woodworking, including bonding wood, plywood, laminates, and MDF. It uses hybrid polymer technology for strong, long-lasting bonds, offering a 4-6 hour setting time and 40-44 sq. ft/kg coverage. It is formaldehyde-free, easy to apply, and ideal for furniture making. </t>
  </si>
  <si>
    <t>Jeevanjor_All_Rounder_HP_500GM</t>
  </si>
  <si>
    <t>Jeevanjor_All_Rounder_HP_1KG</t>
  </si>
  <si>
    <t>Jeevanjor_All_Rounder_HP_2KG</t>
  </si>
  <si>
    <t>Jeevanjor_All_Rounder_HP_5KG</t>
  </si>
  <si>
    <t>Jeevanjor_All_Rounder_HP_10KG</t>
  </si>
  <si>
    <t>Jeevanjor_All_Rounder_HP_20KG</t>
  </si>
  <si>
    <t>Jeevanjor_All_Rounder_HP_50KG</t>
  </si>
  <si>
    <t>Jeevanjor_All_Rounder_HP_60KG</t>
  </si>
  <si>
    <t>PROD_0036</t>
  </si>
  <si>
    <t>Aqua Bond</t>
  </si>
  <si>
    <t>Jeevanjor_Aqua_Bond_1KG</t>
  </si>
  <si>
    <t>Heat and Water proof special Adhesive with Cross Linked Polymer (CLP).
Benefits:-
Cross linked polymer provides excellent water and Heat resistance.
Superior flow and spread ability.
Safe and formaldehyde free.
Heat and water proof adhesive specially made for kitchens and bathrooms.</t>
  </si>
  <si>
    <t>Jeevanjor_Aqua_Bond_2KG</t>
  </si>
  <si>
    <t>Jeevanjor_Aqua_Bond_5KG</t>
  </si>
  <si>
    <t>Jeevanjor_Aqua_Bond_10KG</t>
  </si>
  <si>
    <t>Jeevanjor_Aqua_Bond_20KG</t>
  </si>
  <si>
    <t>Jeevanjor_Aqua_Bond_50KG</t>
  </si>
  <si>
    <t>PROD_0037</t>
  </si>
  <si>
    <t>Lamino IPN WR</t>
  </si>
  <si>
    <t>Jeevanjor_Lamino_IPN_WR_500GM</t>
  </si>
  <si>
    <t>The Jivanjor Lamino IPN WR Adhesive 30 Kg Container is a high-performance adhesive designed to meet the demands of professional applications. With a setting time of 2-4 hours, this adhesive offers a flexible working window, allowing for precise adjustments before curing. Its white, viscous formula ensures easy application and smooth coverage, making it suitable for a variety of surfaces.</t>
  </si>
  <si>
    <t>800GM</t>
  </si>
  <si>
    <t>Jeevanjor_Lamino_IPN_WR_800GM</t>
  </si>
  <si>
    <t>1.6kg</t>
  </si>
  <si>
    <t>Jeevanjor_Lamino_IPN_WR_1.6KG</t>
  </si>
  <si>
    <t>Jeevanjor_Lamino_IPN_WR_5KG</t>
  </si>
  <si>
    <t>Jeevanjor_Lamino_IPN_WR_10KG</t>
  </si>
  <si>
    <t>Jeevanjor_Lamino_IPN_WR_20KG</t>
  </si>
  <si>
    <t>Jeevanjor_Lamino_IPN_WR_50KG</t>
  </si>
  <si>
    <t>Jeevanjor_Lamino_IPN_WR_60KG</t>
  </si>
  <si>
    <t>PROD_0038</t>
  </si>
  <si>
    <t>Supremo</t>
  </si>
  <si>
    <t>Jeevanjor_Supremo_Hyper_Star_1KG</t>
  </si>
  <si>
    <t>The Jivanjor Supremo Adhesive 10 Kg Bucket is a top-tier bonding solution engineered for high-performance applications. With a viscosity range of 25-35 cP, this adhesive offers an ideal balance of flow and control, making it perfect for detailed work where precision is crucial. As part of the trusted Jivanjor brand, the Supremo Adhesive ensures exceptional coverage, reaching up to 64 square feet per kilogram, making it highly efficient for both large-scale projects and intricate tasks.</t>
  </si>
  <si>
    <t xml:space="preserve">Jeevanjor_Supremo_Hyper_Star_2KG </t>
  </si>
  <si>
    <t>Jeevanjor_Supremo_Hyper_Star_5KG</t>
  </si>
  <si>
    <t>Jeevanjor_Supremo_Hyper_Star_10KG</t>
  </si>
  <si>
    <t xml:space="preserve">Jeevanjor_Supremo_Hyper_Star_20KG </t>
  </si>
  <si>
    <t>Jeevanjor_Supremo_Hyper_Star_50KG</t>
  </si>
  <si>
    <t>PROD_0039</t>
  </si>
  <si>
    <t>Polystic Super</t>
  </si>
  <si>
    <t>Jeevanjor_Polystic_Super_250GM</t>
  </si>
  <si>
    <t>This general purpose synthetic resin adhesive, Polystic Super provides economical multi-purpose wood adhesives.
Key Features:
Designed to join wood to wood, decorative laminates and laminate to particle boards
Available in attractive packing (pouch and jars)</t>
  </si>
  <si>
    <t>Jeevanjor_Polystic_Super_500GM</t>
  </si>
  <si>
    <t>Jeevanjor_Polystic_Super_1KG</t>
  </si>
  <si>
    <t>Jeevanjor_Polystic_Super_2KG</t>
  </si>
  <si>
    <t xml:space="preserve">Jeevanjor_Polystic_Super_5KG </t>
  </si>
  <si>
    <t xml:space="preserve">Jeevanjor_Polystic_Super_10KG </t>
  </si>
  <si>
    <t>Jeevanjor_Polystic_Super_20KG</t>
  </si>
  <si>
    <t>Jeevanjor_Polystic_Super_50KG</t>
  </si>
  <si>
    <t>PROD_0040</t>
  </si>
  <si>
    <t>Fastx (Heatex)</t>
  </si>
  <si>
    <t>100 ML</t>
  </si>
  <si>
    <t>Jeevanjor_Fastx_(Heatex)_100ML</t>
  </si>
  <si>
    <t>3506 1000</t>
  </si>
  <si>
    <t>The Jivanjor FastX Adhesive is a cutting-edge bonding solution designed for those who demand speed and strength in their projects. As a leading product in the Jivanjor range, this adhesive offers rapid bonding capabilities, making it perfect for time-sensitive tasks where efficiency is crucial. Whether you're working with wood, metal, plastic, or other materials, the Jivanjor FastX Adhesive ensures a secure and durable bond that holds up under pressure.</t>
  </si>
  <si>
    <t>200 ML</t>
  </si>
  <si>
    <t>Jeevanjor_Fastx_(Heatex)_200ML</t>
  </si>
  <si>
    <t>500 ML</t>
  </si>
  <si>
    <t>Jeevanjor_Fastx_(Heatex)_500ML</t>
  </si>
  <si>
    <t>1 LTR</t>
  </si>
  <si>
    <t>Jeevanjor_Fastx_(Heatex)_1LTR</t>
  </si>
  <si>
    <t>2 LTR</t>
  </si>
  <si>
    <t xml:space="preserve">Jeevanjor_Fastx_(Heatex)_2LTR </t>
  </si>
  <si>
    <t>5 LTR</t>
  </si>
  <si>
    <t>Jeevanjor_Fastx_(Heatex)_5LTR</t>
  </si>
  <si>
    <t>PROD_0041</t>
  </si>
  <si>
    <t>PVC Xtra Probond</t>
  </si>
  <si>
    <t>Jeevanjor_PVC_Xtra_Probond_500ML</t>
  </si>
  <si>
    <t>Excellent Bonding
Easy applicability
Low VOC ; formaldehyde free
Water Based Adhesive- Eco friendly</t>
  </si>
  <si>
    <t>Jeevanjor_PVC_Xtra_Probond_1KG</t>
  </si>
  <si>
    <t>Jeevanjor_PVC_Xtra_Probond_5KG</t>
  </si>
  <si>
    <t>Jeevanjor_PVC_Xtra_Probond_10KG</t>
  </si>
  <si>
    <t>Jeevanjor_PVC_Xtra_Probond_20KG</t>
  </si>
  <si>
    <t>PROD_0042</t>
  </si>
  <si>
    <t>Modular Hardware</t>
  </si>
  <si>
    <t>Hinges</t>
  </si>
  <si>
    <t>Hettich</t>
  </si>
  <si>
    <t>Square Butt Hinges</t>
  </si>
  <si>
    <t>Hole Pattern</t>
  </si>
  <si>
    <t>4" x 3" x 2.5"</t>
  </si>
  <si>
    <t>Material</t>
  </si>
  <si>
    <t>Stainless Steel</t>
  </si>
  <si>
    <t>Board Thickness</t>
  </si>
  <si>
    <t>HT_BH_SQ_SS</t>
  </si>
  <si>
    <t>Non Ball Bearing Hinge, Loading capacity 60 kg</t>
  </si>
  <si>
    <t>C</t>
  </si>
  <si>
    <t>4" x 3" x 3</t>
  </si>
  <si>
    <t>Antique Brass</t>
  </si>
  <si>
    <t>HT_BH_SQ_BRASS</t>
  </si>
  <si>
    <t>SS 304 Ball Bearing Hinge, Square Edge, 4"x3"x3, 
loading capacity 120 Kg, AB finish (with screws)</t>
  </si>
  <si>
    <t>5" x 3" x 3</t>
  </si>
  <si>
    <t>HT_BH_SQ_AQ_BRASS</t>
  </si>
  <si>
    <t>5" x 3" x 2.5"</t>
  </si>
  <si>
    <t>PROD_0043</t>
  </si>
  <si>
    <t>Intermat 9935 | 95 degree | Soft Close</t>
  </si>
  <si>
    <t>Opening Angle</t>
  </si>
  <si>
    <t>95 degree</t>
  </si>
  <si>
    <t>Crank</t>
  </si>
  <si>
    <t>16 K</t>
  </si>
  <si>
    <t>16-43 mm</t>
  </si>
  <si>
    <t>Mounting Plates</t>
  </si>
  <si>
    <t>HT_IH_SC_9935</t>
  </si>
  <si>
    <t>Modular hinges are specialized, adjustable, and often concealed hardware components designed for versatile, high-performance applications like modern cabinetry, office partitions, and industrial doors. They facilitate smooth, often soft-close, motion, allowing for easy installation, alignment, and customization of cabinet doors and structural panels.</t>
  </si>
  <si>
    <t>5 K</t>
  </si>
  <si>
    <t>-5 K</t>
  </si>
  <si>
    <t>PROD_0044</t>
  </si>
  <si>
    <t>Intermat 9936 | 95 degree | Soft Close</t>
  </si>
  <si>
    <t>14-32 mm</t>
  </si>
  <si>
    <t>Blind Corner</t>
  </si>
  <si>
    <t>HT_IH_SC_9936</t>
  </si>
  <si>
    <t>9.5 K</t>
  </si>
  <si>
    <t>0 K</t>
  </si>
  <si>
    <t>PROD_0045</t>
  </si>
  <si>
    <t>Sensys 8645i (German)| 110 degree | Soft Close</t>
  </si>
  <si>
    <t>110 degree</t>
  </si>
  <si>
    <t>15-24 mm</t>
  </si>
  <si>
    <t>HT_IH_SC_8645i_0k</t>
  </si>
  <si>
    <t>HT_IH_SC_8645i_9.5k</t>
  </si>
  <si>
    <t>HT_IH_SC_8645i_16k</t>
  </si>
  <si>
    <t>PROD_0046</t>
  </si>
  <si>
    <t>Sensys 8657i (German)| 165 degree | Soft Close</t>
  </si>
  <si>
    <t>165 degree</t>
  </si>
  <si>
    <t>15-32 mm</t>
  </si>
  <si>
    <t>HT_IH_SC_8657i</t>
  </si>
  <si>
    <t>PROD_0047</t>
  </si>
  <si>
    <t>Onsys 4447i | 105 degree | Soft Close</t>
  </si>
  <si>
    <t>105 degree</t>
  </si>
  <si>
    <t>14-25 mm</t>
  </si>
  <si>
    <t>HT_IH_SC_4447i_0k</t>
  </si>
  <si>
    <t>HT_IH_SC_4447i_9.5k</t>
  </si>
  <si>
    <t>HT_IH_SC_4447i_16k</t>
  </si>
  <si>
    <t>PROD_0048</t>
  </si>
  <si>
    <t>Onsys 4447 | 105 degree | Soft Close</t>
  </si>
  <si>
    <t>HT_IH_SC_4447_0k</t>
  </si>
  <si>
    <t>Cover Caps</t>
  </si>
  <si>
    <t>HT_IH_SC_4447_9.5k</t>
  </si>
  <si>
    <t>HT_IH_SC_4447_16k</t>
  </si>
  <si>
    <t>PROD_0049</t>
  </si>
  <si>
    <t>Onsys Magma Black | 105 degree | Soft Close</t>
  </si>
  <si>
    <t>HT_IH_SC_MB_OK</t>
  </si>
  <si>
    <t>HT_IH_SC_MB_9.5K</t>
  </si>
  <si>
    <t>HT_IH_SC_MB_16K</t>
  </si>
  <si>
    <t>PROD_0050</t>
  </si>
  <si>
    <t>Intermat 9956 | 165 degree | Wide Angle Hinge</t>
  </si>
  <si>
    <t>16-24 mm</t>
  </si>
  <si>
    <t>Wide Opening</t>
  </si>
  <si>
    <t>HT_IH_WIDE_9956_0K</t>
  </si>
  <si>
    <t>PROD_0051</t>
  </si>
  <si>
    <t>Intermat 9930 | 50 degree | Concealed Hinge</t>
  </si>
  <si>
    <t>50 degree</t>
  </si>
  <si>
    <t>16-21 mm</t>
  </si>
  <si>
    <t>Corner</t>
  </si>
  <si>
    <t>HT_IH_CON_9930_0K</t>
  </si>
  <si>
    <t>PROD_0052</t>
  </si>
  <si>
    <t>INOX</t>
  </si>
  <si>
    <t>SS 3D Clip-On Hinge | 110 degree | Soft Close</t>
  </si>
  <si>
    <t>C7.04.201</t>
  </si>
  <si>
    <t>INOX_IH_SC_3D</t>
  </si>
  <si>
    <t>8 K</t>
  </si>
  <si>
    <t>C7.04.202</t>
  </si>
  <si>
    <t>15 K</t>
  </si>
  <si>
    <t>C7.04.203</t>
  </si>
  <si>
    <t>PROD_0053</t>
  </si>
  <si>
    <t>Corner Hinge (Double Adjustment) | 170 degree | Soft Close</t>
  </si>
  <si>
    <t>170 degree</t>
  </si>
  <si>
    <t>14-19 mm</t>
  </si>
  <si>
    <t>C7.02.204</t>
  </si>
  <si>
    <t xml:space="preserve">INOX_IH_SC_CORNER </t>
  </si>
  <si>
    <t>PROD_0054</t>
  </si>
  <si>
    <t>VIVENTE Hinge (XXXtra Adjustment) | 110 degree | Soft Close</t>
  </si>
  <si>
    <t>C7.05.201</t>
  </si>
  <si>
    <t>Standard</t>
  </si>
  <si>
    <t>INOX_IH_SC_VIVEN</t>
  </si>
  <si>
    <t>C7.05.202</t>
  </si>
  <si>
    <t>C7.05.203</t>
  </si>
  <si>
    <t>PROD_0055</t>
  </si>
  <si>
    <t>Corner Pie Cut Hinge | 135 degree | Normal Close</t>
  </si>
  <si>
    <t>135 degree</t>
  </si>
  <si>
    <t>C7.02.105</t>
  </si>
  <si>
    <t>INOX_IH_NC_CORNERPIE</t>
  </si>
  <si>
    <t>PROD_0056</t>
  </si>
  <si>
    <t>Slide-On Blind Corner Hinge | 90 degree | Normal Close</t>
  </si>
  <si>
    <t>90 degree</t>
  </si>
  <si>
    <t>C7.02.106</t>
  </si>
  <si>
    <t>INOX_IH_NC_SLIDEON</t>
  </si>
  <si>
    <t>PROD_0057</t>
  </si>
  <si>
    <t>Clip-On Blind Corner Hinge | 90 degree | Normal Close</t>
  </si>
  <si>
    <t>C7.02.206</t>
  </si>
  <si>
    <t>PROD_0058</t>
  </si>
  <si>
    <t>Double Adjustment | 170 degree | Normal Close</t>
  </si>
  <si>
    <t>C7.02.104</t>
  </si>
  <si>
    <t>INOX_IH_DBADJ_170_104</t>
  </si>
  <si>
    <t>PROD_0059</t>
  </si>
  <si>
    <t>Godrej</t>
  </si>
  <si>
    <t>Butt Hinge | 75x10x15 mm</t>
  </si>
  <si>
    <t>Door &amp; Window</t>
  </si>
  <si>
    <t>Godrej_BH_Cut _Size_75x10x15 mm_HInge_SS_2560</t>
  </si>
  <si>
    <t>Inactive</t>
  </si>
  <si>
    <t>PROD_0060</t>
  </si>
  <si>
    <t>Butt Hinge | 75x13x19 mm</t>
  </si>
  <si>
    <t>Godrej_BH_Cut _Size_75x13x19 mm_HInge_SS_2561</t>
  </si>
  <si>
    <t>PROD_0061</t>
  </si>
  <si>
    <t>Butt Hinge | 75x19x19 mm</t>
  </si>
  <si>
    <t>Godrej_BH_Cut _Size_75x19x19 mm_HInge_SS_2562</t>
  </si>
  <si>
    <t>PROD_0062</t>
  </si>
  <si>
    <t>Butt Hinge | 75x10x27 mm</t>
  </si>
  <si>
    <t>Godrej_BH_Cut _Size_75x10x27 mm_HInge_SS_2570</t>
  </si>
  <si>
    <t>PROD_0063</t>
  </si>
  <si>
    <t>Butt Hinge | 100x13x19 mm</t>
  </si>
  <si>
    <t>Godrej_BH_Cut _Size_100x13x19 mm_HInge_SS_2563</t>
  </si>
  <si>
    <t>PROD_0064</t>
  </si>
  <si>
    <t>Butt Hinge | 100x19x19 mm</t>
  </si>
  <si>
    <t>Godrej_BH_Cut _Size_100x19x19 mm_HInge_SS_2564</t>
  </si>
  <si>
    <t>PROD_0065</t>
  </si>
  <si>
    <t>Ball Bearing Hinge | 125x75x2.5 mm | Regular Close</t>
  </si>
  <si>
    <t>5 mm</t>
  </si>
  <si>
    <t>Godrej_BH_Cut _Size_125x75x2.5 mm_HInge_SS_2705</t>
  </si>
  <si>
    <t>PROD_0066</t>
  </si>
  <si>
    <t>Ball Bearing Hinge | 125x75x3 mm | Regular Close</t>
  </si>
  <si>
    <t>Godrej_BH_Cut _Size_125x75x3 mm _HInge_SS_2702</t>
  </si>
  <si>
    <t>PROD_0067</t>
  </si>
  <si>
    <t>Ball Bearing Hinge | 100x75x2.5 mm | Regular Close</t>
  </si>
  <si>
    <t>Godrej_BH_Cut _Size_100x75x2.5 mm_HInge_SS_2706</t>
  </si>
  <si>
    <t>PROD_0068</t>
  </si>
  <si>
    <t>Ball Bearing Hinge | 100x75x3 mm | Regular Close</t>
  </si>
  <si>
    <t>Godrej_BH_Cut _Size_100x75x3 mm_HInge_SS_2703</t>
  </si>
  <si>
    <t>Steel</t>
  </si>
  <si>
    <t>Godrej_BH_Cut _Size_125x75x3 mm_HInge_SS_2708</t>
  </si>
  <si>
    <t>Godrej_BH_Cut _Size_125x75x2.5 mm_HInge_SS_2711</t>
  </si>
  <si>
    <t>Godrej_BH_Cut _Size_100x75x2.5 mm_HInge_SS_2712</t>
  </si>
  <si>
    <t>Godrej_BH_Cut _Size_100x75x3 mm_HInge_SS_2709</t>
  </si>
  <si>
    <t>PROD_0069</t>
  </si>
  <si>
    <t>Glossy Slip on Soft Hinge 2 Hole | 105 degree | Soft Close</t>
  </si>
  <si>
    <t>14-20 mm</t>
  </si>
  <si>
    <t>Godrej_IH_OA_105_degree_15CK_ 2225</t>
  </si>
  <si>
    <t>Godrej_IH_OA_105_degree_8CK_2224</t>
  </si>
  <si>
    <t>Godrej_IH_OA_105_degree_0CK_ 2223</t>
  </si>
  <si>
    <t>PROD_0070</t>
  </si>
  <si>
    <t>Glossy Slip on Soft Hinge 4 Hole | 105 degree | Soft Close</t>
  </si>
  <si>
    <t>Godrej_IH_GSOSH4H_OA_105 degree_15K_2226</t>
  </si>
  <si>
    <t>Godrej_IH_GSOSH4H_OA_105 degree_8K_2227</t>
  </si>
  <si>
    <t>Godrej_IH_GSOSH4H_OA_105 degree_0K_2228</t>
  </si>
  <si>
    <t>PROD_0071</t>
  </si>
  <si>
    <t>Nickel Plated Clip on Soft Hinge | 105 degree | Soft Close</t>
  </si>
  <si>
    <t>Godrej_IN_NPCOSH_OA_105 degree_15 K_7218</t>
  </si>
  <si>
    <t>Godrej_IN_NPCOSH_OA_105 degree_8 K_7217</t>
  </si>
  <si>
    <t>Godrej_IN_NPCOSH_OA_105 degree_O K_7216</t>
  </si>
  <si>
    <t>PROD_0072</t>
  </si>
  <si>
    <t>Nickel Plated Clip on Soft Hinge 4 hole | 105 degree | Soft Close</t>
  </si>
  <si>
    <t>Godrej_IN_NPCOSH_OA_105 degree_15 K_4790</t>
  </si>
  <si>
    <t>Godrej_IN_NPCOSH_OA_105 degree_8 K_4789</t>
  </si>
  <si>
    <t>Godrej_IN_NPCOSH_OA_105 degree_0 K_4788</t>
  </si>
  <si>
    <t>PROD_0073</t>
  </si>
  <si>
    <t>Stainless Steel Clip on Soft Hinge | 105 degree | Soft Close</t>
  </si>
  <si>
    <t>Godrej_IH_SSCOSH_OA_105 degree_15 K_5071</t>
  </si>
  <si>
    <t>Godrej_IH_SSCOSH_OA_105 degree_8 K_5070</t>
  </si>
  <si>
    <t>Godrej_IH_SSCOSH_OA_105 degree_0 K_5069</t>
  </si>
  <si>
    <t>PROD_0074</t>
  </si>
  <si>
    <t>Blind Corner Hinge | 90 degree | Soft Close</t>
  </si>
  <si>
    <t>15-22 mm</t>
  </si>
  <si>
    <t>Godrej_IH_BCH_OA_ 90 degree_Crank_7091</t>
  </si>
  <si>
    <t>PROD_0075</t>
  </si>
  <si>
    <t>BiFold | 165 degree | Soft Close</t>
  </si>
  <si>
    <t>Godrej_IH_BiFold_OA_90 degree_Crank_6841</t>
  </si>
  <si>
    <t>PROD_0076</t>
  </si>
  <si>
    <t>Soft Close Nickel Plated 4 Hole 3D Hinge | 98 degree | Soft Close</t>
  </si>
  <si>
    <t>16-22 mm</t>
  </si>
  <si>
    <t>Godrej_IN_SCNP4H_3D_Hinge_OA_ 98 degree Crank_15 K_2508</t>
  </si>
  <si>
    <t>Godrej_IN_SCNP4H_3D_Hinge_OA_ 98 degree Crank_8 K_2507</t>
  </si>
  <si>
    <t>Godrej_IN_SCNP4H_3D_Hinge_OA_ 98 degree Crank_0 K_2506</t>
  </si>
  <si>
    <t>PROD_0077</t>
  </si>
  <si>
    <t>Thick Door Cabinet Hinge | 105 degree | Regular Close</t>
  </si>
  <si>
    <t>18-32 mm</t>
  </si>
  <si>
    <t>Godrej_IH_RCMTDCH_OA_105 degree_15K_7097</t>
  </si>
  <si>
    <t>Godrej_IH_RCMTDCH_OA_105 degree_8K_7096</t>
  </si>
  <si>
    <t>PROD_0078</t>
  </si>
  <si>
    <t>Hafele</t>
  </si>
  <si>
    <t>Metalla 3D clip on | 110 degree | Soft Close</t>
  </si>
  <si>
    <t>0 k</t>
  </si>
  <si>
    <t>14-24 mm</t>
  </si>
  <si>
    <t>315..07.135</t>
  </si>
  <si>
    <t>HAF_IH_SC_MET_CLIP_3D_0K</t>
  </si>
  <si>
    <t>315.07.136</t>
  </si>
  <si>
    <t>HAF_IH_SC_MET_CLIP_3D_8K</t>
  </si>
  <si>
    <t>315.07.137</t>
  </si>
  <si>
    <t>HAF_IH_SC_MET_CLIP_3D_15K</t>
  </si>
  <si>
    <t>PROD_0079</t>
  </si>
  <si>
    <t>Metalla 2D slide on | 110 degree | Soft Close</t>
  </si>
  <si>
    <t>315.07.132</t>
  </si>
  <si>
    <t>HAF_IH_SC_MET_SLIDE_3D_0K</t>
  </si>
  <si>
    <t>315.07.133</t>
  </si>
  <si>
    <t>HAF_IH_SC_MET_SLIDE_3D_8K</t>
  </si>
  <si>
    <t>315.07.134</t>
  </si>
  <si>
    <t>HAF_IH_SC_MET_SLIDE_3D_15K</t>
  </si>
  <si>
    <t>PROD_0080</t>
  </si>
  <si>
    <t>Metalla 510 reverse spring | 110 degree | Normal Close</t>
  </si>
  <si>
    <t>329.19.012</t>
  </si>
  <si>
    <t>HAF_IH_SC_MET_REV_SPR</t>
  </si>
  <si>
    <t>PROD_0081</t>
  </si>
  <si>
    <t>Square Butt Hinge | 5" x 3" x 3 mm</t>
  </si>
  <si>
    <t xml:space="preserve">926.32.280 </t>
  </si>
  <si>
    <t>HAF_BT_SQ_SS_5_3_3</t>
  </si>
  <si>
    <t>PROD_0082</t>
  </si>
  <si>
    <t>Square Butt Hinge | 4" x 3" x 3 mm</t>
  </si>
  <si>
    <t xml:space="preserve">926.32.160 </t>
  </si>
  <si>
    <t>HAF_BT_SQ_SS_4_3_3</t>
  </si>
  <si>
    <t>PROD_0083</t>
  </si>
  <si>
    <t>Square Butt Hinge | 5" x 3.5" x 3 mm</t>
  </si>
  <si>
    <t>926.32.290</t>
  </si>
  <si>
    <t>HAF_BT_SQ_SS_5_3.5_3</t>
  </si>
  <si>
    <t>PROD_0084</t>
  </si>
  <si>
    <t>Channels</t>
  </si>
  <si>
    <t>Telescopic Channels | KA 5632 | Normal Close</t>
  </si>
  <si>
    <t>45 kg</t>
  </si>
  <si>
    <t>Depth</t>
  </si>
  <si>
    <t>200 mm</t>
  </si>
  <si>
    <t>HT_TC_RC_5632_IMG1,HT_TC_RC_5632_IMG2</t>
  </si>
  <si>
    <t>This product is a high-performance hardware mechanism used to enable smooth, quiet, and full extension of drawers in furniture.</t>
  </si>
  <si>
    <t>250 mm</t>
  </si>
  <si>
    <t>300 mm</t>
  </si>
  <si>
    <t>350 mm</t>
  </si>
  <si>
    <t>400 mm</t>
  </si>
  <si>
    <t>450 mm</t>
  </si>
  <si>
    <t>500 mm</t>
  </si>
  <si>
    <t>PROD_0085</t>
  </si>
  <si>
    <t>Telescopic Channels (Indian) | KA4732 | Soft Close</t>
  </si>
  <si>
    <t>35 kg</t>
  </si>
  <si>
    <t>HT_TC_SC_4732_IMG1,HT_TC_SC_4732_IMG2</t>
  </si>
  <si>
    <t>PROD_0086</t>
  </si>
  <si>
    <t>Telescopic Channels | SOFT CLOSE TELE RUNNER | Soft Close</t>
  </si>
  <si>
    <t>422.02.141</t>
  </si>
  <si>
    <t>HAF_TC_SC_MATIXRUNNER</t>
  </si>
  <si>
    <t>422.02.142</t>
  </si>
  <si>
    <t>422.02.143</t>
  </si>
  <si>
    <t>422.02.144</t>
  </si>
  <si>
    <t>422.02.145</t>
  </si>
  <si>
    <t>PROD_0087</t>
  </si>
  <si>
    <t>Telescopic Channels | Zinc Plated 30 Kg | Regular Close</t>
  </si>
  <si>
    <t>422.87.030</t>
  </si>
  <si>
    <t>HAF_TC_RC_ZINCPLATED</t>
  </si>
  <si>
    <t>Ball Bearing Slides Side Mounted Full Extension Zinc Plated Load This product is a high-performance hardware mechanism used to enable smooth, quiet, and full extension of drawers in furniture.</t>
  </si>
  <si>
    <t>422.87.031</t>
  </si>
  <si>
    <t>422.87.032</t>
  </si>
  <si>
    <t>422.87.033</t>
  </si>
  <si>
    <t>422.87.034</t>
  </si>
  <si>
    <t>422.87.035</t>
  </si>
  <si>
    <t>PROD_0088</t>
  </si>
  <si>
    <t>Telescopic Channels | Steel Zinc 45 Kg | Regular Close</t>
  </si>
  <si>
    <t>422.58.070</t>
  </si>
  <si>
    <t>HAF_TC_RC_STEEL ZINC</t>
  </si>
  <si>
    <t>Ball Bearing Slides, Side Mounted, Full Extension, Zinc Plated, Load This product is a high-performance hardware mechanism used to enable smooth, quiet, and full extension of drawers in furniture.</t>
  </si>
  <si>
    <t>422.58.071</t>
  </si>
  <si>
    <t>422.58.072</t>
  </si>
  <si>
    <t>422.58.073</t>
  </si>
  <si>
    <t>422.58.074</t>
  </si>
  <si>
    <t>422.58.075</t>
  </si>
  <si>
    <t>PROD_0089</t>
  </si>
  <si>
    <t>Telescopic Channels | Steel 40 Kg | Soft Close</t>
  </si>
  <si>
    <t>40 kg</t>
  </si>
  <si>
    <t>432.02.191</t>
  </si>
  <si>
    <t>HAF_TC_SC_STEEL</t>
  </si>
  <si>
    <t>432.02.192</t>
  </si>
  <si>
    <t>432.02.193</t>
  </si>
  <si>
    <t>432.02.194</t>
  </si>
  <si>
    <t>432.02.195</t>
  </si>
  <si>
    <t>PROD_0090</t>
  </si>
  <si>
    <t>Matrix UM 35 |  Full Extension Runner | Soft Close</t>
  </si>
  <si>
    <t>433.09.531</t>
  </si>
  <si>
    <t>HAF_TC_SC_MATRIX35</t>
  </si>
  <si>
    <t>433.09.532</t>
  </si>
  <si>
    <t>433.09.533</t>
  </si>
  <si>
    <t>433.09.534</t>
  </si>
  <si>
    <t>433.09.535</t>
  </si>
  <si>
    <t>PROD_0091</t>
  </si>
  <si>
    <t>Inox</t>
  </si>
  <si>
    <t>Telescopic Channel | Zinc Plated | Regular Close</t>
  </si>
  <si>
    <t>C6.04.250</t>
  </si>
  <si>
    <t>INOX_TC_ZINCPLATED_45KG</t>
  </si>
  <si>
    <t>C6.04.300</t>
  </si>
  <si>
    <t>C6.04.350</t>
  </si>
  <si>
    <t>C6.04.400</t>
  </si>
  <si>
    <t>C6.04.450</t>
  </si>
  <si>
    <t>C6.04.500</t>
  </si>
  <si>
    <t>550 mm</t>
  </si>
  <si>
    <t>C6.04.550</t>
  </si>
  <si>
    <t>600 mm</t>
  </si>
  <si>
    <t>C6.04.600</t>
  </si>
  <si>
    <t>C6.04.250AS</t>
  </si>
  <si>
    <t>INOX_TC_ZINCPLATED_35KG</t>
  </si>
  <si>
    <t>C6.04.300AS</t>
  </si>
  <si>
    <t>C6.04.350AS</t>
  </si>
  <si>
    <t>C6.04.400AS</t>
  </si>
  <si>
    <t>C6.04.450AS</t>
  </si>
  <si>
    <t>C6.04.500AS</t>
  </si>
  <si>
    <t>C6.04.550AS</t>
  </si>
  <si>
    <t>PROD_0092</t>
  </si>
  <si>
    <t>Telescopic Channel | Zinc Plated | Soft Close</t>
  </si>
  <si>
    <t>C6.05.250</t>
  </si>
  <si>
    <t>INOX_TC_ZINCPLATED_FE_SC_45KG_250</t>
  </si>
  <si>
    <t>C6.05.300</t>
  </si>
  <si>
    <t>INOX_TC_ZINCPLATED_FE_SC_45KG_300</t>
  </si>
  <si>
    <t>C6.05.350</t>
  </si>
  <si>
    <t>INOX_TC_ZINCPLATED_FE_SC_45KG_350</t>
  </si>
  <si>
    <t>C6.05.400</t>
  </si>
  <si>
    <t>INOX_TC_ZINCPLATED_FE_SC_45KG_400</t>
  </si>
  <si>
    <t>C6.05.450</t>
  </si>
  <si>
    <t>INOX_TC_ZINCPLATED_FE_SC_45KG_450</t>
  </si>
  <si>
    <t>C6.05.500</t>
  </si>
  <si>
    <t>INOX_TC_ZINCPLATED_FE_SC_45KG_500</t>
  </si>
  <si>
    <t>C6.05.550</t>
  </si>
  <si>
    <t>INOX_TC_ZINCPLATED_FE_SC_45KG_550</t>
  </si>
  <si>
    <t>C6.05.600</t>
  </si>
  <si>
    <t>INOX_TC_ZINCPLATED_FE_SC_45KG_600</t>
  </si>
  <si>
    <t>PROD_0093</t>
  </si>
  <si>
    <t>Drawers &amp; Pullout</t>
  </si>
  <si>
    <t>Innotech | Full Extension</t>
  </si>
  <si>
    <t>25 kg</t>
  </si>
  <si>
    <t>470 mm</t>
  </si>
  <si>
    <t>Drawer Height</t>
  </si>
  <si>
    <t>70 mm</t>
  </si>
  <si>
    <t>HT_DP_INNOTECH_470MM_70MM</t>
  </si>
  <si>
    <t>144 mm</t>
  </si>
  <si>
    <t>HT_DP_INNOTECH_470MM_144MM</t>
  </si>
  <si>
    <t>176 mm</t>
  </si>
  <si>
    <t>HT_DP_INNOTECH_470MM_176MM</t>
  </si>
  <si>
    <t>PROD_0094</t>
  </si>
  <si>
    <t>Silent Drawer System | Square EDS w/o rail</t>
  </si>
  <si>
    <t>80 mm</t>
  </si>
  <si>
    <t>J11.01.300</t>
  </si>
  <si>
    <t>INOX_SDS_SQUARE_EDS_WO_RAIL_300MM</t>
  </si>
  <si>
    <t>J11.01.350</t>
  </si>
  <si>
    <t>INOX_SDS_SQUARE_EDS_WO_RAIL_350MM</t>
  </si>
  <si>
    <t>J11.01.400</t>
  </si>
  <si>
    <t>INOX_SDS_SQUARE_EDS_WO_RAIL_400MM</t>
  </si>
  <si>
    <t>J11.01.450</t>
  </si>
  <si>
    <t>INOX_SDS_SQUARE_EDS_WO_RAIL_450MM</t>
  </si>
  <si>
    <t>J11.01.500</t>
  </si>
  <si>
    <t>INOX_SDS_SQUARE_EDS_WO_RAIL_500MM</t>
  </si>
  <si>
    <t>J11.01.550</t>
  </si>
  <si>
    <t>INOX_SDS_SQUARE_EDS_WO_RAIL_550MM</t>
  </si>
  <si>
    <t>PROD_0095</t>
  </si>
  <si>
    <t>Silent Drawer System | Square EDS with rail</t>
  </si>
  <si>
    <t>130 mm</t>
  </si>
  <si>
    <t>J11.02.300</t>
  </si>
  <si>
    <t>INOX_SDS_SQUARE_EDS_W_RAIL_300MM</t>
  </si>
  <si>
    <t>J11.02.350</t>
  </si>
  <si>
    <t>INOX_SDS_SQUARE_EDS_W_RAIL_350MM</t>
  </si>
  <si>
    <t>J11.02.400</t>
  </si>
  <si>
    <t>INOX_SDS_SQUARE_EDS_W_RAIL_400MM</t>
  </si>
  <si>
    <t>J11.02.450</t>
  </si>
  <si>
    <t>INOX_SDS_SQUARE_EDS_W_RAIL_450MM</t>
  </si>
  <si>
    <t>J11.02.500</t>
  </si>
  <si>
    <t>INOX_SDS_SQUARE_EDS_W_RAIL_500MM</t>
  </si>
  <si>
    <t>J11.02.550</t>
  </si>
  <si>
    <t>INOX_SDS_SQUARE_EDS_W_RAIL_550MM</t>
  </si>
  <si>
    <t>PROD_0096</t>
  </si>
  <si>
    <t>Silent Drawer System | Square EDS with High Rail</t>
  </si>
  <si>
    <t>190 mm</t>
  </si>
  <si>
    <t>J11.03.400</t>
  </si>
  <si>
    <t>INOX_SDS_SQUARE_EDS_WH_RAIL_400MM</t>
  </si>
  <si>
    <t>J11.03.450</t>
  </si>
  <si>
    <t>INOX_SDS_SQUARE_EDS_WH_RAIL_450MM</t>
  </si>
  <si>
    <t>J11.03.500</t>
  </si>
  <si>
    <t>INOX_SDS_SQUARE_EDS_WH_RAIL_500MM</t>
  </si>
  <si>
    <t>J11.03.550</t>
  </si>
  <si>
    <t>INOX_SDS_SQUARE_EDS_WH_RAIL_550MM</t>
  </si>
  <si>
    <t>PROD_0097</t>
  </si>
  <si>
    <t>Silent Drawer System | Square EDS with Double Rail</t>
  </si>
  <si>
    <t>J11.04.500</t>
  </si>
  <si>
    <t>INOX_SDS_Square_EDS with DR_DH_190MM_DL500MM_J11.04.500</t>
  </si>
  <si>
    <t>PROD_0098</t>
  </si>
  <si>
    <t>Pistons &amp; Shocker</t>
  </si>
  <si>
    <t>Pneumatic Pump Set</t>
  </si>
  <si>
    <t>Force</t>
  </si>
  <si>
    <t>80 N</t>
  </si>
  <si>
    <t>HT_PPS_80N</t>
  </si>
  <si>
    <t>The item is widely used in modern kitchens to provide smooth, controlled, and automatic motion for cabinetry and functional fixtures</t>
  </si>
  <si>
    <t>PROD_0099</t>
  </si>
  <si>
    <t>Dorset</t>
  </si>
  <si>
    <t>Gas Piston Lift</t>
  </si>
  <si>
    <t>GP80N</t>
  </si>
  <si>
    <t>Dorset_GPL_Force</t>
  </si>
  <si>
    <t>100 N</t>
  </si>
  <si>
    <t>GP100N</t>
  </si>
  <si>
    <t>120 N</t>
  </si>
  <si>
    <t>GP120N</t>
  </si>
  <si>
    <t>PROD_0100</t>
  </si>
  <si>
    <t>Lift up fitting</t>
  </si>
  <si>
    <t>50 N</t>
  </si>
  <si>
    <t>K2.05.600</t>
  </si>
  <si>
    <t>INOX_Lift_up_fitting</t>
  </si>
  <si>
    <t>K2.05.601</t>
  </si>
  <si>
    <t>150 N</t>
  </si>
  <si>
    <t>K2.05.602</t>
  </si>
  <si>
    <t>PROD_0101</t>
  </si>
  <si>
    <t>Lift up mechanism</t>
  </si>
  <si>
    <t>372.00.702</t>
  </si>
  <si>
    <t>Hafele_Lift_up_mechanism</t>
  </si>
  <si>
    <t>372.00.703</t>
  </si>
  <si>
    <t>372.00.707</t>
  </si>
  <si>
    <t>PROD_0102</t>
  </si>
  <si>
    <t>Wardrobe Sliding System</t>
  </si>
  <si>
    <t>WingLine L | Right Side</t>
  </si>
  <si>
    <t>Door Weight</t>
  </si>
  <si>
    <t>Door Count</t>
  </si>
  <si>
    <t>2400 mm X 50 mm</t>
  </si>
  <si>
    <t>HT_WL_L_folding_door _system_right_side</t>
  </si>
  <si>
    <t>This product runs on mechanisms that allow doors to move horizontally on tracks, primarily designed to save space, enhance aesthetics with a minimalist look, and provide easy access to clothing in tight areas</t>
  </si>
  <si>
    <t>On Demand</t>
  </si>
  <si>
    <t>PROD_0103</t>
  </si>
  <si>
    <t>WingLine L | Left Side</t>
  </si>
  <si>
    <t>HT_WL_L_folding_door _system_Lift_Side</t>
  </si>
  <si>
    <t>PROD_0104</t>
  </si>
  <si>
    <t>WingLine L</t>
  </si>
  <si>
    <t>3000 mm X 50 mm</t>
  </si>
  <si>
    <t>PROD_0105</t>
  </si>
  <si>
    <t>Slido F-Line18 50A | 380 mm</t>
  </si>
  <si>
    <t>2000 mm X 50 mm</t>
  </si>
  <si>
    <t>401.30.016</t>
  </si>
  <si>
    <t>Hafele_Slido_DC_2_F-Line18 50A_Size 2000 mm</t>
  </si>
  <si>
    <t>PROD_0106</t>
  </si>
  <si>
    <t>Slido F-Line | 380 mm</t>
  </si>
  <si>
    <t>3600 mm X 50 mm</t>
  </si>
  <si>
    <t>Hafele_Slido_DC_2_F-Line18 50A_Size 3620 mm</t>
  </si>
  <si>
    <t>PROD_0107</t>
  </si>
  <si>
    <t>Ebco</t>
  </si>
  <si>
    <t>Hi Slide Topper 16 - 46 | 750 mm</t>
  </si>
  <si>
    <t>80 kg</t>
  </si>
  <si>
    <t>2440 mm X 50 mm</t>
  </si>
  <si>
    <t>HST16-46-802</t>
  </si>
  <si>
    <t>EBCO_HST16-46</t>
  </si>
  <si>
    <t>1. HST16-46-802-Hi Slide Topper 16-46 Door Thickness 
16mm-46mm Max 
Weight per door 
80Kg
For 2 doors (complete
2 door fittings with top
&amp; bottom soft close
attachment kit)  2. HST16-46-T2 Aluminium Track for Hi
Slide Topper 16-46 (set
of top and bottom
tracks in 2.44 meters)</t>
  </si>
  <si>
    <t>HST16-46-803 Hi SlideTopper 16-46  
For 3doors (complete 3
door fittings with top &amp;
bottom soft close
attachment kit)  HST16-46-T2 Aluminium Track for Hi
Slide Topper 16-46 (set
of top and bottom
tracks in 2.44 meters)  HSTC1 Centro - Soft Cl.
Attachment for 3 Door
Fittings (For Topper 16-46</t>
  </si>
  <si>
    <t>3660 mm X 50 mm</t>
  </si>
  <si>
    <t>HST16-46-803</t>
  </si>
  <si>
    <t xml:space="preserve"> 1. HST16-46-802-Hi Slide Topper 16-46
For 2 doors (complete
2 door fittings with top
&amp; bottom soft close
attachment kit)  2. HST16-46-T3 Aluminium Track for Hi
SlideTopper 16 -46 (set
of top and bottom
tracks in 3.66 meters)</t>
  </si>
  <si>
    <t>HST16-46-803 Hi SlideTopper 16-46  
For 3doors (complete 3
door fittings with top &amp;
bottom soft close
attachment kit)  
/HST16-46-T3 Aluminium Track for Hi
SlideTopper 16 -46 (set
of top and bottom
tracks in 3.66 meters)/ HSTC1 Centro - Soft Cl.
Attachment for 3 Door
Fittings (For Topper 16-46</t>
  </si>
  <si>
    <t>PROD_0108</t>
  </si>
  <si>
    <t>Hi Slide 90 (Dome Track) | 950 mm</t>
  </si>
  <si>
    <t>90 kg</t>
  </si>
  <si>
    <t>HS-90-DT</t>
  </si>
  <si>
    <t>EBCO_HS_90_TT_AS_2</t>
  </si>
  <si>
    <t>EBCO_HS_90_TT_AS_3</t>
  </si>
  <si>
    <t>PROD_0109</t>
  </si>
  <si>
    <t>Glass Door Profiles</t>
  </si>
  <si>
    <t>Straight Frame Profile | With Handle</t>
  </si>
  <si>
    <t>Handle</t>
  </si>
  <si>
    <t>With</t>
  </si>
  <si>
    <t>Black</t>
  </si>
  <si>
    <t>Dimensions</t>
  </si>
  <si>
    <t>3000 mm X 19 mm</t>
  </si>
  <si>
    <t>Angle Connector Set</t>
  </si>
  <si>
    <t>HT_SFP_WH_BC</t>
  </si>
  <si>
    <t>Straight frame profiles, commonly made of aluminum or steel, are versatile structural elements used for creating rigid, lightweight, and modern frames in furniture, industrial, and construction applications</t>
  </si>
  <si>
    <t>Copper</t>
  </si>
  <si>
    <t>HT_SFP_WH_COPPER</t>
  </si>
  <si>
    <t>HT_SFP_WH_Stainless_Steel</t>
  </si>
  <si>
    <t>PROD_0110</t>
  </si>
  <si>
    <t>Straight Frame Profile | Without Handle</t>
  </si>
  <si>
    <t>Without</t>
  </si>
  <si>
    <t>HT_SFP_BC</t>
  </si>
  <si>
    <t>HT_SFP_COPPER</t>
  </si>
  <si>
    <t>HT_SFP_Stainless_Steel</t>
  </si>
  <si>
    <t>PROD_0111</t>
  </si>
  <si>
    <t>Box Profile</t>
  </si>
  <si>
    <t>Gola Profile</t>
  </si>
  <si>
    <t>C Type</t>
  </si>
  <si>
    <t>3000 mm X 73.5 mm</t>
  </si>
  <si>
    <t>HT_C Type_Colors_SS</t>
  </si>
  <si>
    <t>Gola profiles are recessed,, aluminum, or stainless-steel channels installed directly into kitchen cabinet carcasses, enabling sleek, handleless designs</t>
  </si>
  <si>
    <t>HT_C Type_Colors_BC</t>
  </si>
  <si>
    <t>HT_C Type_Colors_CP</t>
  </si>
  <si>
    <t>L Type</t>
  </si>
  <si>
    <t>3000 mm X 56.9 mm</t>
  </si>
  <si>
    <t>HT_L Type_Colors_SS</t>
  </si>
  <si>
    <t>HT_L Type_Colors_BA</t>
  </si>
  <si>
    <t>HT_L Type_Colors_CP</t>
  </si>
  <si>
    <t>PROD_0112</t>
  </si>
  <si>
    <t>Vertical Gola Profile</t>
  </si>
  <si>
    <t>3000 mm X 67.4mm</t>
  </si>
  <si>
    <t>HT_DS_C Type_Colors_SS</t>
  </si>
  <si>
    <t>Vertical Gola profiles are aluminum channels installed vertically on tall kitchen cabinets, pantries, and wardrobes to enable a modern, handle-less, and seamless design. They provide an easy-to-grip vertical space for opening doors.</t>
  </si>
  <si>
    <t>HT_DS_C Type_Colors_BC</t>
  </si>
  <si>
    <t>HT_DS_C Type_Colors_CP</t>
  </si>
  <si>
    <t>3000 mm X 48.35 mm</t>
  </si>
  <si>
    <t>HT_VGP_C Type_Colors_SS</t>
  </si>
  <si>
    <t>HT_VGP_C Type_Colors_BC</t>
  </si>
  <si>
    <t>HT_VGP_C Type_Colors_CP</t>
  </si>
  <si>
    <t>Dark Champagne</t>
  </si>
  <si>
    <t>HT_VGP_C Type_Colors_DC</t>
  </si>
  <si>
    <t>PROD_0113</t>
  </si>
  <si>
    <t>Edge Profile</t>
  </si>
  <si>
    <t>Wall</t>
  </si>
  <si>
    <t>3000 mm X 20.70 mm</t>
  </si>
  <si>
    <t>HT_Edge_Profile</t>
  </si>
  <si>
    <t>Edge profiles in interior design are the shaped, finished edges of countertops, islands, and furniture that define a space's style—modern, classic, or luxurious</t>
  </si>
  <si>
    <t>Silver Anodised</t>
  </si>
  <si>
    <t>PROD_0114</t>
  </si>
  <si>
    <t>Door Profile</t>
  </si>
  <si>
    <t>Eslinga Econ Profile</t>
  </si>
  <si>
    <t>G</t>
  </si>
  <si>
    <t>3000 mm X 21.2 mm</t>
  </si>
  <si>
    <t>HT_Eslinga_Econ_Profile_G PROFILE</t>
  </si>
  <si>
    <t>Rose Gold</t>
  </si>
  <si>
    <t>PROD_0115</t>
  </si>
  <si>
    <t>AL Glass Shutter Profile Euro</t>
  </si>
  <si>
    <t>With Handle</t>
  </si>
  <si>
    <t>3000 mm X 22 mm</t>
  </si>
  <si>
    <t>Width</t>
  </si>
  <si>
    <t>50 mm</t>
  </si>
  <si>
    <t>EGSP-4-50H-3M-AB</t>
  </si>
  <si>
    <t xml:space="preserve">connectors </t>
  </si>
  <si>
    <t>EBCO_EGSP_4_50H_3M_AS_AB</t>
  </si>
  <si>
    <t>EGSP-4-50H-3M-AS/AB</t>
  </si>
  <si>
    <t>EGSP-4-50-3M-AS/AB</t>
  </si>
  <si>
    <t>PROD_0116</t>
  </si>
  <si>
    <t>Horizontal Gola 3</t>
  </si>
  <si>
    <t>58 mm</t>
  </si>
  <si>
    <t>HG3L</t>
  </si>
  <si>
    <t>HT_C Type</t>
  </si>
  <si>
    <t xml:space="preserve">Gola profiles are specialized aluminum profiles installed directly into the cabinet frame to create a handleless, minimalist, and, ergonomic kitchen design. </t>
  </si>
  <si>
    <t>71 mm</t>
  </si>
  <si>
    <t>HG3C</t>
  </si>
  <si>
    <t>PROD_0117</t>
  </si>
  <si>
    <t>Cabinet Edge Profile</t>
  </si>
  <si>
    <t>AL Profile Edge with Bumper</t>
  </si>
  <si>
    <t>Cabinet</t>
  </si>
  <si>
    <t>EP-1822L-3M-AS</t>
  </si>
  <si>
    <t>EBCO_ALP_Edge with Bumper</t>
  </si>
  <si>
    <t>Anthracite</t>
  </si>
  <si>
    <t>EP-1822L-3M-AT</t>
  </si>
  <si>
    <t>EP-1822L-3M-AB</t>
  </si>
  <si>
    <t>PROD_0118</t>
  </si>
  <si>
    <t>Door Edge Profile</t>
  </si>
  <si>
    <t>Edge Profile Handle 18 mm</t>
  </si>
  <si>
    <t>Chrome Plated</t>
  </si>
  <si>
    <t>3000 mm X 35 mm</t>
  </si>
  <si>
    <t>1.60 mm</t>
  </si>
  <si>
    <t>EPH-18-3M-CP</t>
  </si>
  <si>
    <t>Ebco_Edge_Profile_Handle</t>
  </si>
  <si>
    <t>Brushed Alluminium</t>
  </si>
  <si>
    <t>EPH-18-3M-BA</t>
  </si>
  <si>
    <t>Anodised Silver</t>
  </si>
  <si>
    <t>EPH-18-3M-AS</t>
  </si>
  <si>
    <t>PROD_0119</t>
  </si>
  <si>
    <t>Edge Profile Handle 25 mm</t>
  </si>
  <si>
    <t>3000 mm X 40 mm</t>
  </si>
  <si>
    <t>EPH-25-3M-BG</t>
  </si>
  <si>
    <t>EPH-25-3M-BA</t>
  </si>
  <si>
    <t>EPH-25-3M-AS</t>
  </si>
  <si>
    <t>PROD_0120</t>
  </si>
  <si>
    <t>AL Profile Shutter Handle</t>
  </si>
  <si>
    <t>19 mm</t>
  </si>
  <si>
    <t>SH1-1935-3M-CP</t>
  </si>
  <si>
    <t>Ebco_Edge_Profile_Handle_G</t>
  </si>
  <si>
    <t>SH1-1935-3M-BA</t>
  </si>
  <si>
    <t>Anodised Black</t>
  </si>
  <si>
    <t>SH1-1935-3M-AS/AB</t>
  </si>
  <si>
    <t>Brushed Gold</t>
  </si>
  <si>
    <t>SH1-1935-3M-BG</t>
  </si>
  <si>
    <t>PROD_0121</t>
  </si>
  <si>
    <t>Generic</t>
  </si>
  <si>
    <t>AL Box Profile GOLA C</t>
  </si>
  <si>
    <t>3000 mm X 26 mm</t>
  </si>
  <si>
    <t>73.9 mm</t>
  </si>
  <si>
    <t>GEN_AL_Box_Profile_C_BLACK</t>
  </si>
  <si>
    <t>GEN_AL_Box_Profile_C_RG</t>
  </si>
  <si>
    <t>GEN_AL_Box_Profile_C_SA</t>
  </si>
  <si>
    <t>PROD_0122</t>
  </si>
  <si>
    <t>AL Box Profile GOLA L</t>
  </si>
  <si>
    <t>63.4 mm</t>
  </si>
  <si>
    <t>GEN_AL_Box_Profile_L_BLACK</t>
  </si>
  <si>
    <t>GEN_AL_Box_Profile_L_RG</t>
  </si>
  <si>
    <t>GEN_AL_Box_Profile_L_SA</t>
  </si>
  <si>
    <t>PROD_0123</t>
  </si>
  <si>
    <t xml:space="preserve">AL Door Profile </t>
  </si>
  <si>
    <t>G Type</t>
  </si>
  <si>
    <t>GEN_AL_Shutter_Profile_G_BLACK</t>
  </si>
  <si>
    <t>Aluminium door profiles for kitchens are lightweight, durable, and rust-resistant structural frames, typically made from alloys like 6063 for a sleek, modern, and hygienic finish</t>
  </si>
  <si>
    <t>GEN_AL_Shutter_Profile_G_Rose_gold</t>
  </si>
  <si>
    <t>GEN_AL_Shutter_Profile_G_AS</t>
  </si>
  <si>
    <t>J Type</t>
  </si>
  <si>
    <t>GEN_AL_Box_Profile_J_Rose_Gold</t>
  </si>
  <si>
    <t>GEN_AL_Box_Profile_J_SA</t>
  </si>
  <si>
    <t>PROD_0124</t>
  </si>
  <si>
    <t>Kitchen Accessories</t>
  </si>
  <si>
    <t>Cutlery Tray</t>
  </si>
  <si>
    <t>PVC</t>
  </si>
  <si>
    <t>Grey</t>
  </si>
  <si>
    <t>HT_KA_CT_600</t>
  </si>
  <si>
    <t>A cutlery tray is a segmented kitchen drawer organizer designed to neatly store, separate, and protect silverware, knives, and cooking utensils.</t>
  </si>
  <si>
    <t>900 mm</t>
  </si>
  <si>
    <t>HT_KA_CT_900</t>
  </si>
  <si>
    <t>Metal</t>
  </si>
  <si>
    <t>HT_KA_CT_600_MS</t>
  </si>
  <si>
    <t>HT_KA_CT_900_MS</t>
  </si>
  <si>
    <t>PROD_0125</t>
  </si>
  <si>
    <t>Dish Rack with Draining Board</t>
  </si>
  <si>
    <t>HT_KA_DDB_600</t>
  </si>
  <si>
    <t>A dish rack is a specialized kitchen organizer designed to air-dry washed dishes, cutlery, and cookware, featuring slots, compartments, and a drainage tray to keep counters dry and clutter-free</t>
  </si>
  <si>
    <t>HT_KA_DDB_900</t>
  </si>
  <si>
    <t>PROD_0126</t>
  </si>
  <si>
    <t>Bottle Pull out</t>
  </si>
  <si>
    <t>Cabinet Size</t>
  </si>
  <si>
    <t>515 mm X 590 mm X 112 mm</t>
  </si>
  <si>
    <t>150 mm</t>
  </si>
  <si>
    <t>HT_KA_BPO</t>
  </si>
  <si>
    <t>A bottle pull-out is a specialized, vertical storage accessory designed for modular kitchen base cabinets, used to maximize narrow spaces by providing easy, sliding access to bottles, jars, and condiments.</t>
  </si>
  <si>
    <t>515 mm X 590 mm X 162 mm</t>
  </si>
  <si>
    <t>515 mm X 590 mm X 204 mm</t>
  </si>
  <si>
    <t>240 mm</t>
  </si>
  <si>
    <t>515 mm X 590 mm X 262 mm</t>
  </si>
  <si>
    <t>PROD_0127</t>
  </si>
  <si>
    <t>Plain Wire Basket</t>
  </si>
  <si>
    <t>500 mm X 386 mm X 100 mm</t>
  </si>
  <si>
    <t>HT_KA_PW_BASKET_1</t>
  </si>
  <si>
    <t xml:space="preserve">Wire baskets for the kitchen are durable, open-structure storage containers typically made from rust-resistant, high-grade stainless steel or coated iron, designed to facilitate airflow and visibility. </t>
  </si>
  <si>
    <t>500 mm X 386 mm X 150 mm</t>
  </si>
  <si>
    <t>HT_KA_PW_BASKET_2</t>
  </si>
  <si>
    <t>500 mm X 386 mm X 200 mm</t>
  </si>
  <si>
    <t>HT_KA_PW_BASKET_3</t>
  </si>
  <si>
    <t>500 mm X 436 mm X 100 mm</t>
  </si>
  <si>
    <t>500 mm X 436 mm X 150 mm</t>
  </si>
  <si>
    <t>500 mm X 436 mm X 200 mm</t>
  </si>
  <si>
    <t>500 mm X 486 mm X 100 mm</t>
  </si>
  <si>
    <t>500 mm X 486 mm X 150 mm</t>
  </si>
  <si>
    <t>500 mm X 486 mm X 200 mm</t>
  </si>
  <si>
    <t>500 mm X 536 mm X 100 mm</t>
  </si>
  <si>
    <t>500 mm X 536 mm X 150 mm</t>
  </si>
  <si>
    <t>500 mm X 536 mm X 200 mm</t>
  </si>
  <si>
    <t>500 mm X 836 mm X 100 mm</t>
  </si>
  <si>
    <t>500 mm X 836 mm X 150 mm</t>
  </si>
  <si>
    <t>500 mm X 836 mm X 200 mm</t>
  </si>
  <si>
    <t>PROD_0128</t>
  </si>
  <si>
    <t>Thali Inlet Basket</t>
  </si>
  <si>
    <t>HT_KA_TI_BASKET</t>
  </si>
  <si>
    <t>A thali inlet basket is a specialized, stainless steel, or chrome-plated wire mesh insert designed for modular kitchen cabinets to vertically store large plates (thalis) and deep dishes</t>
  </si>
  <si>
    <t>PROD_0129</t>
  </si>
  <si>
    <t>Cup and Saucer Inlet</t>
  </si>
  <si>
    <t>HT_KA_CUP_SI</t>
  </si>
  <si>
    <t>A cup and saucer inlet is a specialized kitchen storage accessory, typically made of stainless steel or chrome, designed to organize cups and saucers within drawers or pull-out cabinets</t>
  </si>
  <si>
    <t>PROD_0130</t>
  </si>
  <si>
    <t>Saucer/ Jar Inlet</t>
  </si>
  <si>
    <t>HT_KA_SAUCER_JARINLET</t>
  </si>
  <si>
    <t>PROD_0131</t>
  </si>
  <si>
    <t>Rolling Shutter</t>
  </si>
  <si>
    <t>Black Glass</t>
  </si>
  <si>
    <t>Height</t>
  </si>
  <si>
    <t>1300 mm</t>
  </si>
  <si>
    <t>RTGV-60140-BL</t>
  </si>
  <si>
    <t>EBCO_KA_Roll_top</t>
  </si>
  <si>
    <t xml:space="preserve">Kitchen rolling shutters (or tambour doors) are sleek, vertical or horizontal, space-saving cabinet doors made of slats (metal, PVC, or glass) that roll into a hidden housing. Ideal for small kitchens, they provide full, unobstructed access to storage, acting as perfect "appliance garages" to hide blenders or toasters while remaining heat/water resistant. </t>
  </si>
  <si>
    <t>PVC Black</t>
  </si>
  <si>
    <t>RTPV-45130-BL</t>
  </si>
  <si>
    <t>EBCO_KS_ROLL_TOP_BL</t>
  </si>
  <si>
    <t>RTPV-60130-BL</t>
  </si>
  <si>
    <t>RTPV-90130-BL</t>
  </si>
  <si>
    <t>PVC Silver</t>
  </si>
  <si>
    <t>RTPV-45130-SL</t>
  </si>
  <si>
    <t>EBCO_KS_ROLL_TOP_SL</t>
  </si>
  <si>
    <t>RTPV-60130-SL</t>
  </si>
  <si>
    <t>RTPV-90130-SL</t>
  </si>
  <si>
    <t>PROD_0132</t>
  </si>
  <si>
    <t>Bottle Pullout (Soft Close)</t>
  </si>
  <si>
    <t>Base</t>
  </si>
  <si>
    <t>Solid</t>
  </si>
  <si>
    <t>Dimension</t>
  </si>
  <si>
    <t>525 mm X 490 mm X 100 mm</t>
  </si>
  <si>
    <t>BPO2SC2-100</t>
  </si>
  <si>
    <t>EBCO_KS_SC_SOLID_BPO</t>
  </si>
  <si>
    <t>A kitchen bottle pull-out (BPO) is a narrow, sliding cabinet accessory designed for vertical storage of bottles, jars, and condiments, usually located next to the stove for easy access</t>
  </si>
  <si>
    <t>525 mm X 490 mm X 150 mm</t>
  </si>
  <si>
    <t>BPO2SC2-150</t>
  </si>
  <si>
    <t>525 mm X 490 mm X 200 mm</t>
  </si>
  <si>
    <t>BPO2SC2-200</t>
  </si>
  <si>
    <t>525 mm X 490 mm X 250 mm</t>
  </si>
  <si>
    <t>BPO2SC2-250</t>
  </si>
  <si>
    <t>Glass</t>
  </si>
  <si>
    <t>555 mm X 490 mm X 105 mm</t>
  </si>
  <si>
    <t>BPO2SC2G-100-AT</t>
  </si>
  <si>
    <t>EBCO_KS_SC_GLASS_BPO</t>
  </si>
  <si>
    <t>555 mm X 490 mm X 155 mm</t>
  </si>
  <si>
    <t>BPO2SC2G-150-AT</t>
  </si>
  <si>
    <t>555 mm X 490 mm X 205 mm</t>
  </si>
  <si>
    <t>BPO2SC2G-200-AT</t>
  </si>
  <si>
    <t>555 mm X 490 mm X 255 mm</t>
  </si>
  <si>
    <t>BPO2SC2G-250-AT</t>
  </si>
  <si>
    <t>PROD_0133</t>
  </si>
  <si>
    <t>Kitchen Plate Rack</t>
  </si>
  <si>
    <t>550 mm X 240 mm X 90 mm</t>
  </si>
  <si>
    <t>PT22-10</t>
  </si>
  <si>
    <t>EBCO_KS_RACK</t>
  </si>
  <si>
    <t>A plate rack is a functional and decorative kitchen organizer designed to store plates, bowls, and cookware vertically in cabinets, on countertops, or mounted on walls.</t>
  </si>
  <si>
    <t>600 mm X 240 mm X 90 mm</t>
  </si>
  <si>
    <t>700 mm</t>
  </si>
  <si>
    <t>PT24-10</t>
  </si>
  <si>
    <t>760 mm X 240 mm X 90 mm</t>
  </si>
  <si>
    <t>800 mm</t>
  </si>
  <si>
    <t>PT30-10</t>
  </si>
  <si>
    <t>860 mm X 240 mm X 90 mm</t>
  </si>
  <si>
    <t>PT34-10</t>
  </si>
  <si>
    <t>PROD_0134</t>
  </si>
  <si>
    <t>Glass Rack</t>
  </si>
  <si>
    <t>550 mm X 240 mm X 19 mm</t>
  </si>
  <si>
    <t>GT22-10</t>
  </si>
  <si>
    <t>A kitchen glass rack is a specialized storage or washing device—often made of stainless steel, wire, or plastic—designed to hold glasses, cups, and stemware securely.</t>
  </si>
  <si>
    <t>600 mm X 240 mm X 19 mm</t>
  </si>
  <si>
    <t>GT24-10</t>
  </si>
  <si>
    <t>760 mm X 240 mm X 19 mm</t>
  </si>
  <si>
    <t>GT30-10</t>
  </si>
  <si>
    <t>860 mm X 240 mm X 19 mm</t>
  </si>
  <si>
    <t>GT34-10</t>
  </si>
  <si>
    <t>PROD_0135</t>
  </si>
  <si>
    <t>Drip Tray</t>
  </si>
  <si>
    <t>550 mm X 240 mm X 22 mm</t>
  </si>
  <si>
    <t>DT22-10</t>
  </si>
  <si>
    <t>A kitchen drip tray is a shallow, durable tray—commonly made of stainless steel or food-safe plastic—designed to catch excess water, grease, or spills.</t>
  </si>
  <si>
    <t>600 mm X 240 mm X 22 mm</t>
  </si>
  <si>
    <t>DT24-10</t>
  </si>
  <si>
    <t>760 mm X 240 mm X 22 mm</t>
  </si>
  <si>
    <t>DT30-10</t>
  </si>
  <si>
    <t>860 mm X 240 mm X 22 mm</t>
  </si>
  <si>
    <t>DT34-10</t>
  </si>
  <si>
    <t>PROD_0136</t>
  </si>
  <si>
    <t>Vegetable Basket</t>
  </si>
  <si>
    <t>Wicker (Soft Close)</t>
  </si>
  <si>
    <t>412 mm X 496 mm X 100 mm</t>
  </si>
  <si>
    <t>PWBSC45-16-20-04</t>
  </si>
  <si>
    <t>EBCO_KS_VEGGEBASKET</t>
  </si>
  <si>
    <t xml:space="preserve">A vegetable basket is a specialized, often open-weave container designed for the storage, organization, and preservation of fresh produce. </t>
  </si>
  <si>
    <t>412 mm X 496 mm X 150 mm</t>
  </si>
  <si>
    <t>PWBSC45-16-20-06</t>
  </si>
  <si>
    <t>412 mm X 496 mm X 200 mm</t>
  </si>
  <si>
    <t>PWBSC45-16-20-08</t>
  </si>
  <si>
    <t>562 mm X 496 mm X 100 mm</t>
  </si>
  <si>
    <t>PWBSC45-22-20-04</t>
  </si>
  <si>
    <t>562 mm X 496 mm X 150 mm</t>
  </si>
  <si>
    <t>PWBSC45-22-20-06</t>
  </si>
  <si>
    <t>562 mm X 496 mm X 200 mm</t>
  </si>
  <si>
    <t>PWBSC45-22-20-08</t>
  </si>
  <si>
    <t>Wicker</t>
  </si>
  <si>
    <t>PWB-16-20-04</t>
  </si>
  <si>
    <t>PWB-16-20-06</t>
  </si>
  <si>
    <t>PWB-16-20-08</t>
  </si>
  <si>
    <t>PWB-22-20-04</t>
  </si>
  <si>
    <t>PWB-22-20-06</t>
  </si>
  <si>
    <t>PWB-22-20-08</t>
  </si>
  <si>
    <t>PROD_0137</t>
  </si>
  <si>
    <t>S Corner Unit</t>
  </si>
  <si>
    <t>Side</t>
  </si>
  <si>
    <t>Left</t>
  </si>
  <si>
    <t>817 mm X 400 mm X 730 mm</t>
  </si>
  <si>
    <t>1000 mm</t>
  </si>
  <si>
    <t>A6.01.401/A6.01.401F</t>
  </si>
  <si>
    <t>INOX_KS_SCORNER_LEFT</t>
  </si>
  <si>
    <t>An S-Corner unit is a specialized, 360-degree rotating or swinging tray system for kitchen corner cabinets, designed to maximize storage by bringing items forward.</t>
  </si>
  <si>
    <t>Right</t>
  </si>
  <si>
    <t>A6.01.402/A6.01.402F</t>
  </si>
  <si>
    <t>INOX_KS_SCORNER_RIGHT</t>
  </si>
  <si>
    <t>PROD_0138</t>
  </si>
  <si>
    <t>Soho Pantry Unit</t>
  </si>
  <si>
    <t>1250 - 1650 mm</t>
  </si>
  <si>
    <t>Basket Count</t>
  </si>
  <si>
    <t>B3.01.101/83.01.101F</t>
  </si>
  <si>
    <t>INOX_KS_PANTRY _UNIT_450MM_8B</t>
  </si>
  <si>
    <t>The Soho Pantry Unit by INOX Decor is a premium tall storage system designed for modern kitchens to maximize space and organization.</t>
  </si>
  <si>
    <t>B3.02.101/B3.02.101F</t>
  </si>
  <si>
    <t>INOX_KS_PANTRY _UNIT_450MM_12B</t>
  </si>
  <si>
    <t>600mm</t>
  </si>
  <si>
    <t>B3.01.102/B3.01.102F</t>
  </si>
  <si>
    <t>INOX_KS_PANTRY _UNIT_600MM_8B</t>
  </si>
  <si>
    <t>B3.02.102/B3.02.102F</t>
  </si>
  <si>
    <t>INOX_KS_PANTRY _UNIT_600MM_12B</t>
  </si>
  <si>
    <t>PROD_0139</t>
  </si>
  <si>
    <t>CW Soho Pantry Unit</t>
  </si>
  <si>
    <t>B3.01.1015/B3.01.1015F</t>
  </si>
  <si>
    <t>INOX_KS_CW_PANTRY _UNIT</t>
  </si>
  <si>
    <t>B3.0.2.1015/B3.02.1015F</t>
  </si>
  <si>
    <t>B3.01.1025/B3.01.1025F</t>
  </si>
  <si>
    <t>B3.02.1025/B3.0121025F</t>
  </si>
  <si>
    <t>PROD_0140</t>
  </si>
  <si>
    <t>414 mm X 500 mm X 200 mm</t>
  </si>
  <si>
    <t>W1.01.101</t>
  </si>
  <si>
    <t>INOX_KS_VEGGI_BASKET</t>
  </si>
  <si>
    <t>564 mm X 500 mm X 200 mm</t>
  </si>
  <si>
    <t>W1.01.102</t>
  </si>
  <si>
    <t>PROD_0141</t>
  </si>
  <si>
    <t>Bottle Pullout</t>
  </si>
  <si>
    <t>Satin</t>
  </si>
  <si>
    <t>500 mm X 480 mm X 110 mm</t>
  </si>
  <si>
    <t>Shelves</t>
  </si>
  <si>
    <t>S5.01..101//S5.00.100</t>
  </si>
  <si>
    <t>INOX_KS_BPO_2 SHELVES</t>
  </si>
  <si>
    <t>500 mm X 480 mm X 154 mm</t>
  </si>
  <si>
    <t>S5.01.103//S5.00.100</t>
  </si>
  <si>
    <t>500 mm X 480 mm X 250 mm</t>
  </si>
  <si>
    <t>S5.01.105//S5.00.100</t>
  </si>
  <si>
    <t>500 mm X 560 mm X 150 mm</t>
  </si>
  <si>
    <t>Q5.01.104/Q5.00.100</t>
  </si>
  <si>
    <t>INOX_KS_BPO_GLASS</t>
  </si>
  <si>
    <t>PROD_0142</t>
  </si>
  <si>
    <t>Corena White Magic Corner</t>
  </si>
  <si>
    <t>1100 mm</t>
  </si>
  <si>
    <t>A3.01.401/A3.01.401F</t>
  </si>
  <si>
    <t>INOX_KS_CW_ Magic Corner</t>
  </si>
  <si>
    <t>PROD_0143</t>
  </si>
  <si>
    <t>Graphite Magic Corner</t>
  </si>
  <si>
    <t>A3.01.501/A3.01.401F</t>
  </si>
  <si>
    <t>INOX_KS_GRAHITE_ Magic Corner</t>
  </si>
  <si>
    <t>PROD_0144</t>
  </si>
  <si>
    <t>380 mm X 475 mm X 50 mm</t>
  </si>
  <si>
    <t>E1.02.101</t>
  </si>
  <si>
    <t>INOX_KS_CUTLERY_PVC</t>
  </si>
  <si>
    <t>575 mm X 475 mm X 50 mm</t>
  </si>
  <si>
    <t>E1.02.102</t>
  </si>
  <si>
    <t>830 mm X 475 mm X 50 mm</t>
  </si>
  <si>
    <t>E1.02.103</t>
  </si>
  <si>
    <t>Wooden</t>
  </si>
  <si>
    <t>400-600  mm</t>
  </si>
  <si>
    <t>J12.02.101</t>
  </si>
  <si>
    <t>INOX_KS_CUTLERY_WOODEN</t>
  </si>
  <si>
    <t>800-1200 mm</t>
  </si>
  <si>
    <t>J12.01.102</t>
  </si>
  <si>
    <t>PROD_0145</t>
  </si>
  <si>
    <t>Dish Rack</t>
  </si>
  <si>
    <t>F2.01.101</t>
  </si>
  <si>
    <t>INOX_KS_DISHRACK</t>
  </si>
  <si>
    <t>A dish rack is an essential, often multi-tiered, kitchen organizer made of metal, plastic, or wood, designed to air-dry washed dishes, plates, bowls, and cutlery</t>
  </si>
  <si>
    <t>F2.01.102</t>
  </si>
  <si>
    <t>F2.01.103</t>
  </si>
  <si>
    <t>PROD_0146</t>
  </si>
  <si>
    <t>Door Size</t>
  </si>
  <si>
    <t>448 mm</t>
  </si>
  <si>
    <t>GEN_KS_SCORNER_RIGHT</t>
  </si>
  <si>
    <t>An S-corner unit is a premium, pull-out storage solution for modular kitchens, featuring two or more kidney-shaped shelves that swing completely out of a blind corner cabinet</t>
  </si>
  <si>
    <t xml:space="preserve">GEN_KS_SCORNER_LEFT </t>
  </si>
  <si>
    <t>PROD_0147</t>
  </si>
  <si>
    <t xml:space="preserve"> Pantry Unit</t>
  </si>
  <si>
    <t>Basket</t>
  </si>
  <si>
    <t xml:space="preserve">GEN_KS_PANTRY _UNIT_450MM_8B </t>
  </si>
  <si>
    <t>A kitchen pantry unit is a specialized, high-capacity storage cabinet—ranging from tall pull-out racks to walk-in closets—designed to organize dry goods, canned items, spices, and small appliances</t>
  </si>
  <si>
    <t>GEN_KS_PANTRY _UNIT_450MM_12B</t>
  </si>
  <si>
    <t>GEN_KS_GLASS_PANTRY _UNIT_450MM_8B</t>
  </si>
  <si>
    <t>GEN_KS_GLASS_PANTRY _UNIT_450MM_12B</t>
  </si>
  <si>
    <t>PROD_0148</t>
  </si>
  <si>
    <t>IMP_KS_VEGGEBASKET</t>
  </si>
  <si>
    <t>PROD_0149</t>
  </si>
  <si>
    <t>IMP_KS_BPO_2 SHELVES 2</t>
  </si>
  <si>
    <t>A kitchen bottle pull-out is a narrow, vertical, sliding storage unit designed to fit between cabinets for organizing spices, oils, sauces, and jars</t>
  </si>
  <si>
    <t>GEN_KS_STAIN_BPO_3S</t>
  </si>
  <si>
    <t>GEN_GLASS_KS_BPO_GLASS</t>
  </si>
  <si>
    <t>PROD_0150</t>
  </si>
  <si>
    <t>Magic Corner</t>
  </si>
  <si>
    <t>Box Size</t>
  </si>
  <si>
    <t>IMP_KS_CW_ Magic Corner 2.jpg</t>
  </si>
  <si>
    <t>PROD_0151</t>
  </si>
  <si>
    <t>IMP_KS_CUTLERY_PVC</t>
  </si>
  <si>
    <t>A cutlery tray is a segmented drawer organizer, typically made of plastic, wood, or metal, designed to compartmentalize spoons, forks, and knives</t>
  </si>
  <si>
    <t>IMP_KS_CUTLERY_WOODEN</t>
  </si>
  <si>
    <t>PROD_0152</t>
  </si>
  <si>
    <t>IMP_KS_DISHRACK 2</t>
  </si>
  <si>
    <t>PROD_0153</t>
  </si>
  <si>
    <t>PVC SS</t>
  </si>
  <si>
    <t>EBCO_KS_ROLL_SHUTTER_SL</t>
  </si>
  <si>
    <t>PROD_0154</t>
  </si>
  <si>
    <t>Wardrobe Accessories</t>
  </si>
  <si>
    <t>Cargo tie &amp; belt pull out</t>
  </si>
  <si>
    <t>500 mm X 125 mm X 100 mm</t>
  </si>
  <si>
    <t>515 mm</t>
  </si>
  <si>
    <t>HT_WS_Cargo_tie.</t>
  </si>
  <si>
    <t>PROD_0155</t>
  </si>
  <si>
    <t>Multipurpose Lock</t>
  </si>
  <si>
    <t>Zinc</t>
  </si>
  <si>
    <t>22 mm</t>
  </si>
  <si>
    <t>9259400.S_P</t>
  </si>
  <si>
    <t>HT_WS_LOCK</t>
  </si>
  <si>
    <t>PROD_0156</t>
  </si>
  <si>
    <t>Oval Rod</t>
  </si>
  <si>
    <t>Chrome</t>
  </si>
  <si>
    <t>Length</t>
  </si>
  <si>
    <t>3000 mm</t>
  </si>
  <si>
    <t>I12.01.101</t>
  </si>
  <si>
    <t>INOX_WA_OVALROD</t>
  </si>
  <si>
    <t>Aluminium</t>
  </si>
  <si>
    <t>I12.04.101</t>
  </si>
  <si>
    <t>INOX_WA_OVALROD_ALUM</t>
  </si>
  <si>
    <t>PROD_0157</t>
  </si>
  <si>
    <t>Soho Lift Soft Close(Cloth Pull Down Mechanism)</t>
  </si>
  <si>
    <t>830- 1150 mm</t>
  </si>
  <si>
    <t>I1.01.101</t>
  </si>
  <si>
    <t>INOX_WS_CLOTHPULLOUT</t>
  </si>
  <si>
    <t>PROD_0158</t>
  </si>
  <si>
    <t>Auto Latch Lock</t>
  </si>
  <si>
    <t>P-ALL1-22</t>
  </si>
  <si>
    <t>EBCO_WS_AUTO LOCK</t>
  </si>
  <si>
    <t>PROD_0159</t>
  </si>
  <si>
    <t>Tie and Belt Holder</t>
  </si>
  <si>
    <t>300 mm X 270 mm X 30 mm</t>
  </si>
  <si>
    <t>TH12</t>
  </si>
  <si>
    <t>EBCO_WS_TIE_BELT</t>
  </si>
  <si>
    <t>PROD_0160</t>
  </si>
  <si>
    <t>Common Accessories</t>
  </si>
  <si>
    <t>Skirting (Plinth)</t>
  </si>
  <si>
    <t>100 mm</t>
  </si>
  <si>
    <t>GEN_Skirting_BLACK</t>
  </si>
  <si>
    <t>Silver</t>
  </si>
  <si>
    <t>GEN_Skirting_SILVER</t>
  </si>
  <si>
    <t>GEN_Skirting_ROSE GOLD</t>
  </si>
  <si>
    <t>PROD_0161</t>
  </si>
  <si>
    <t>Skirting (Plinth) Connector</t>
  </si>
  <si>
    <t>Connection</t>
  </si>
  <si>
    <t>Jointer</t>
  </si>
  <si>
    <t>GEN_Skirting_jointer_SILVER</t>
  </si>
  <si>
    <t>GEN_Skirting_CORNER_SILVER</t>
  </si>
  <si>
    <t>PROD_0162</t>
  </si>
  <si>
    <t>Legs</t>
  </si>
  <si>
    <t>GEN_PVC_LEG</t>
  </si>
  <si>
    <t>75 mm</t>
  </si>
  <si>
    <t>PROD_0163</t>
  </si>
  <si>
    <t>Shelf Pin</t>
  </si>
  <si>
    <t>Acrylic</t>
  </si>
  <si>
    <t>GEN_Shelf_Pin</t>
  </si>
  <si>
    <t>GEN_Shelf_Pin_METAL</t>
  </si>
  <si>
    <t>PROD_0164</t>
  </si>
  <si>
    <t>Fixtures</t>
  </si>
  <si>
    <t>Rastex (Minifix)</t>
  </si>
  <si>
    <t>60 mm X 8 mm</t>
  </si>
  <si>
    <t>HT_MINIFIX</t>
  </si>
  <si>
    <t>PROD_0165</t>
  </si>
  <si>
    <t>Dowel</t>
  </si>
  <si>
    <t>30 mm X 8 mm</t>
  </si>
  <si>
    <t>HT_FIX_DOWEL</t>
  </si>
  <si>
    <t>35 mm X 8 mm</t>
  </si>
  <si>
    <t>40 mm X 8 mm</t>
  </si>
  <si>
    <t>PROD_0166</t>
  </si>
  <si>
    <t>Minifix (2 part)</t>
  </si>
  <si>
    <t>60 mm X 6 mm</t>
  </si>
  <si>
    <t>K6.02.102</t>
  </si>
  <si>
    <t>INOX_FIX_MINIFIX</t>
  </si>
  <si>
    <t>PROD_0167</t>
  </si>
  <si>
    <t>Minifix (3 part)</t>
  </si>
  <si>
    <t>K6.02.101</t>
  </si>
  <si>
    <t>PROD_0168</t>
  </si>
  <si>
    <t>K7.01.102</t>
  </si>
  <si>
    <t>INOX_FIX_DOWEL</t>
  </si>
  <si>
    <t>PROD_0169</t>
  </si>
  <si>
    <t>.75 inch (20 mm)</t>
  </si>
  <si>
    <t>GEN_FIX_SCREW_SILVER</t>
  </si>
  <si>
    <t>box</t>
  </si>
  <si>
    <t>1000 Pcs Box( Strong Holding Power: Precision-cut, deep threads are designed for optimal holding power in wood and other materials. )</t>
  </si>
  <si>
    <t>1 inch (25 mm)</t>
  </si>
  <si>
    <t>GEN_FIX_SCREW</t>
  </si>
  <si>
    <t>1000 Pcs Box</t>
  </si>
  <si>
    <t>1.25 inch (30 mm)</t>
  </si>
  <si>
    <t>1.5 inch (40 mm)</t>
  </si>
  <si>
    <t>500 Pcs Box</t>
  </si>
  <si>
    <t>2 inch (50 mm)</t>
  </si>
  <si>
    <t>PROD_0170</t>
  </si>
  <si>
    <t>GEN_MIMI_FIX_2PART</t>
  </si>
  <si>
    <t>PROD_0171</t>
  </si>
  <si>
    <t>GEN_MIMI_FIX_3PART</t>
  </si>
  <si>
    <t>PROD_0172</t>
  </si>
  <si>
    <t>GEN_FIX_DOWEL</t>
  </si>
  <si>
    <t>PROD_0173</t>
  </si>
  <si>
    <t>Fastener</t>
  </si>
  <si>
    <t>Nail</t>
  </si>
  <si>
    <t>100 mm X 8 mm</t>
  </si>
  <si>
    <t>GEN_FIX_Fastener</t>
  </si>
  <si>
    <t>120 mm X 10 mm</t>
  </si>
  <si>
    <t>10 mm X 150 mm</t>
  </si>
  <si>
    <t>12mm X 120 mm</t>
  </si>
  <si>
    <t>12mm X 150 mm</t>
  </si>
  <si>
    <t>10 mm X 120 mm</t>
  </si>
  <si>
    <t>GEN_FIX_Fastener_PVC</t>
  </si>
  <si>
    <t>10 mm X 140 mm</t>
  </si>
  <si>
    <t>10 mm X 160 mm</t>
  </si>
  <si>
    <t>Bolt</t>
  </si>
  <si>
    <t>50 mm X 8 mm</t>
  </si>
  <si>
    <t>GEN_FIX_Fastener_Bolt</t>
  </si>
  <si>
    <t>10 mm X 100 mm</t>
  </si>
  <si>
    <t>8 mm X 150 mm</t>
  </si>
  <si>
    <t>10 mm X 150mm</t>
  </si>
  <si>
    <t>PROD_0174</t>
  </si>
  <si>
    <t>Cieling</t>
  </si>
  <si>
    <t>POP</t>
  </si>
  <si>
    <t>Sakarni</t>
  </si>
  <si>
    <t>Bag Weight</t>
  </si>
  <si>
    <t>CLN_SKRN_POP</t>
  </si>
  <si>
    <t>PROD_0175</t>
  </si>
  <si>
    <t>JK</t>
  </si>
  <si>
    <t>CLN_JK_POP</t>
  </si>
  <si>
    <t>PROD_0176</t>
  </si>
  <si>
    <t>Trimurti</t>
  </si>
  <si>
    <t>CLN_TRMR_POP_25KG</t>
  </si>
  <si>
    <t>CLN_TRMR_POP_40KG</t>
  </si>
  <si>
    <t>PROD_0177</t>
  </si>
  <si>
    <t>Gypsum Board</t>
  </si>
  <si>
    <t>India Gypsum Board</t>
  </si>
  <si>
    <t>6ft X 4ft</t>
  </si>
  <si>
    <t>12.5 mm</t>
  </si>
  <si>
    <t>CLN_SKRN_GPSMBRD</t>
  </si>
  <si>
    <t>PROD_0178</t>
  </si>
  <si>
    <t>Gyproc</t>
  </si>
  <si>
    <t>Board</t>
  </si>
  <si>
    <t>CLN_GPRC_GPSMBRD</t>
  </si>
  <si>
    <t>PROD_0179</t>
  </si>
  <si>
    <t>Fasteners</t>
  </si>
  <si>
    <t>CLN_TRMR_FSTN</t>
  </si>
  <si>
    <t>Pack</t>
  </si>
  <si>
    <t>10 mm</t>
  </si>
  <si>
    <t>PROD_0180</t>
  </si>
  <si>
    <t>CLN_SKRN_FSTN</t>
  </si>
  <si>
    <t>PROD_0181</t>
  </si>
  <si>
    <t>CLN_GEN_FSTN</t>
  </si>
  <si>
    <t>PROD_0182</t>
  </si>
  <si>
    <t>GI Wire Mesh (Jaali)</t>
  </si>
  <si>
    <t>Jaali</t>
  </si>
  <si>
    <t>4 kg</t>
  </si>
  <si>
    <t>CLN_TRMR_WRMSH</t>
  </si>
  <si>
    <t>8 kg</t>
  </si>
  <si>
    <t>12 kg</t>
  </si>
  <si>
    <t>16 kg</t>
  </si>
  <si>
    <t>PROD_0183</t>
  </si>
  <si>
    <t>CLN_SKRN_WRMSH</t>
  </si>
  <si>
    <t>PROD_0184</t>
  </si>
  <si>
    <t>CLN_GEN_WRMSH</t>
  </si>
  <si>
    <t>PROD_0185</t>
  </si>
  <si>
    <t>Dry Wall Screw</t>
  </si>
  <si>
    <t>Screw</t>
  </si>
  <si>
    <t>6 X 19 mm</t>
  </si>
  <si>
    <t>CLN_TRMR_DRWLSCR</t>
  </si>
  <si>
    <t>6 X 25 mm</t>
  </si>
  <si>
    <t>PROD_0186</t>
  </si>
  <si>
    <t>CLN_SKRN_DRWLSCR_1, CLN_SKRN_DRWLSCR_2</t>
  </si>
  <si>
    <t>PROD_0187</t>
  </si>
  <si>
    <t>Intesign</t>
  </si>
  <si>
    <t>CLN_GEN_DRWLSCR</t>
  </si>
  <si>
    <t>PROD_0188</t>
  </si>
  <si>
    <t>Electrical Material</t>
  </si>
  <si>
    <t>Wires</t>
  </si>
  <si>
    <t>Polycab</t>
  </si>
  <si>
    <t>Maxima Plus</t>
  </si>
  <si>
    <t>0.75 sq mm</t>
  </si>
  <si>
    <t>Red</t>
  </si>
  <si>
    <t>90 Mtr</t>
  </si>
  <si>
    <t>HR LR-LSH LF</t>
  </si>
  <si>
    <t>WR_PC_MXM_RD_1, WR_PC_MXM_RD_2</t>
  </si>
  <si>
    <t>Actvie</t>
  </si>
  <si>
    <t>WR_PC_MXM_BLK_1, WR_PC_MXM_BLK_2</t>
  </si>
  <si>
    <t>Green</t>
  </si>
  <si>
    <t>WR_PC_MXM_GRN_1, WR_PC_MXM_GRN_2</t>
  </si>
  <si>
    <t>Yellow</t>
  </si>
  <si>
    <t>WR_PC_MXM_YLW_1, WR_PC_MXM_YLW_2</t>
  </si>
  <si>
    <t>Blue</t>
  </si>
  <si>
    <t>WR_PC_MXM_BLU_1, WR_PC_MXM_BLU_2</t>
  </si>
  <si>
    <t>1 Sq mm</t>
  </si>
  <si>
    <t>1.5 Sq mm</t>
  </si>
  <si>
    <t>2.5 Sq mm</t>
  </si>
  <si>
    <t>4 Sq mm</t>
  </si>
  <si>
    <t>VAR_25</t>
  </si>
  <si>
    <t>VAR_26</t>
  </si>
  <si>
    <t>6 Sq mm</t>
  </si>
  <si>
    <t>VAR_27</t>
  </si>
  <si>
    <t>VAR_28</t>
  </si>
  <si>
    <t>VAR_29</t>
  </si>
  <si>
    <t>VAR_30</t>
  </si>
  <si>
    <t>PROD_0189</t>
  </si>
  <si>
    <t>Optima Plus</t>
  </si>
  <si>
    <t>LF FR</t>
  </si>
  <si>
    <t>WR_PC_OPT_RD_1</t>
  </si>
  <si>
    <t>WR_PC_OPT_BLK_1</t>
  </si>
  <si>
    <t>WR_PC_OPT_GRN_1</t>
  </si>
  <si>
    <t>WR_PC_OPT_YLW_1</t>
  </si>
  <si>
    <t>WR_PC_OPT_BLU_1</t>
  </si>
  <si>
    <t>VAR_31</t>
  </si>
  <si>
    <t>10 Sq mm</t>
  </si>
  <si>
    <t>VAR_32</t>
  </si>
  <si>
    <t>VAR_33</t>
  </si>
  <si>
    <t>VAR_34</t>
  </si>
  <si>
    <t>VAR_35</t>
  </si>
  <si>
    <t>VAR_36</t>
  </si>
  <si>
    <t>16 Sq mm</t>
  </si>
  <si>
    <t>VAR_37</t>
  </si>
  <si>
    <t>VAR_38</t>
  </si>
  <si>
    <t>VAR_39</t>
  </si>
  <si>
    <t>VAR_40</t>
  </si>
  <si>
    <t>PROD_0190</t>
  </si>
  <si>
    <t>Primma</t>
  </si>
  <si>
    <t>WR_PC_PRM</t>
  </si>
  <si>
    <t>PROD_0191</t>
  </si>
  <si>
    <t>Etira</t>
  </si>
  <si>
    <t>0.75 Sq mm</t>
  </si>
  <si>
    <t>FR</t>
  </si>
  <si>
    <t>WR_PC_ETR_RD</t>
  </si>
  <si>
    <t>WR_PC_ETR_BLK</t>
  </si>
  <si>
    <t>WR_PC_ETR_GRN</t>
  </si>
  <si>
    <t>WR_PC_ETR_YLW</t>
  </si>
  <si>
    <t>WR_PC_ETR_BLU</t>
  </si>
  <si>
    <t>PROD_0192</t>
  </si>
  <si>
    <t>Green Wire</t>
  </si>
  <si>
    <t>180 Mtr</t>
  </si>
  <si>
    <t>PROD_0193</t>
  </si>
  <si>
    <t>Switch</t>
  </si>
  <si>
    <t>ABB</t>
  </si>
  <si>
    <t>Adiya White</t>
  </si>
  <si>
    <t>Module</t>
  </si>
  <si>
    <t>Single</t>
  </si>
  <si>
    <t>Switch Type</t>
  </si>
  <si>
    <t>Normal</t>
  </si>
  <si>
    <t>Amperage</t>
  </si>
  <si>
    <t>6 A</t>
  </si>
  <si>
    <t>1SYK100001A1301</t>
  </si>
  <si>
    <t>SWT_ABB_ADY_1W1M_6A</t>
  </si>
  <si>
    <t>Power</t>
  </si>
  <si>
    <t>16 A</t>
  </si>
  <si>
    <t>1SYK100001A1305</t>
  </si>
  <si>
    <t>SWT_ABB_ADY_1W1M_16A</t>
  </si>
  <si>
    <t>Bell</t>
  </si>
  <si>
    <t>1SYK100001A1303</t>
  </si>
  <si>
    <t>SWT_ABB_ADY_1M_Bell</t>
  </si>
  <si>
    <t>PROD_0194</t>
  </si>
  <si>
    <t>Snieo</t>
  </si>
  <si>
    <t>CPW10610</t>
  </si>
  <si>
    <t>SWT_ABB_SNIE_1W1M_6A</t>
  </si>
  <si>
    <t>CPW11610</t>
  </si>
  <si>
    <t>SWT_ABB_SNIE_1W1M_16A</t>
  </si>
  <si>
    <t>CPW106BL</t>
  </si>
  <si>
    <t>SWT_ABB_SNIE_1M_Bell</t>
  </si>
  <si>
    <t>Double</t>
  </si>
  <si>
    <t>CPW206BL</t>
  </si>
  <si>
    <t>SWT_ABB_SNIE_2M_Bell</t>
  </si>
  <si>
    <t>PROD_0195</t>
  </si>
  <si>
    <t>Anchor</t>
  </si>
  <si>
    <t>Penta White</t>
  </si>
  <si>
    <t>SWT_ANCH_PNTWHT_6A</t>
  </si>
  <si>
    <t>SWT_ANCH_PNTWHT_16A</t>
  </si>
  <si>
    <t>SWT_ANCH_PNTWHT_Bell</t>
  </si>
  <si>
    <t>SWT_ANCH_PNTWHT_Bell_2M</t>
  </si>
  <si>
    <t>PROD_0196</t>
  </si>
  <si>
    <t>Penta Grey</t>
  </si>
  <si>
    <t>SWT_ANCH_PNTGRY_6A_1, SWT_ANCH_PNTGRY_6A_2</t>
  </si>
  <si>
    <t>SWT_ANCH_PNTGRY_16A_1, SWT_ANCH_PNTGRY_16A_2</t>
  </si>
  <si>
    <t>65003B</t>
  </si>
  <si>
    <t>SWT_ANCH_PNTGRY_Bell_1M</t>
  </si>
  <si>
    <t>65066B</t>
  </si>
  <si>
    <t>SWT_ANCH_PNTGRY_Bell_2M</t>
  </si>
  <si>
    <t>PROD_0197</t>
  </si>
  <si>
    <t>Ziva White</t>
  </si>
  <si>
    <t>SWT_ANCH_ZVAWHT_6A</t>
  </si>
  <si>
    <t>SWT_ANCH_ZVAWHT_16A</t>
  </si>
  <si>
    <t>SWT_ANCH_ZVAWHT_Bell_1M</t>
  </si>
  <si>
    <t>SWT_ANCH_ZVAWHT_Bell_2M</t>
  </si>
  <si>
    <t>PROD_0198</t>
  </si>
  <si>
    <t>Ziva Grey</t>
  </si>
  <si>
    <t>SWT_ANCH_ZVAGRY_6A</t>
  </si>
  <si>
    <t>SWT_ANCH_ZVAGRY_16A</t>
  </si>
  <si>
    <t>SWT_ANCH_ZVAGRY_Bell_1M</t>
  </si>
  <si>
    <t>SWT_ANCH_ZVAGRY_Bell_2M</t>
  </si>
  <si>
    <t>PROD_0199</t>
  </si>
  <si>
    <t>Rider/ Regent</t>
  </si>
  <si>
    <t>SWT_ANCH_RDR_6A</t>
  </si>
  <si>
    <t>SWT_ANCH_RDR_16A</t>
  </si>
  <si>
    <t>SWT_ANCH_RDR_Bell_1M</t>
  </si>
  <si>
    <t>SWT_ANCH_RDR_Bell_2M</t>
  </si>
  <si>
    <t>PROD_0200</t>
  </si>
  <si>
    <t>Legrand</t>
  </si>
  <si>
    <t>Myrius</t>
  </si>
  <si>
    <t>6792 00</t>
  </si>
  <si>
    <t>SWT_LGRD_MRS_6A_1, SWT_LGRD_MRS_6A_2</t>
  </si>
  <si>
    <t>SWT_LGRD_MRS_16A_1, SWT_LGRD_MRS_16A_2</t>
  </si>
  <si>
    <t>6792 20</t>
  </si>
  <si>
    <t>SWT_LGRD_MRS_Bell_1M</t>
  </si>
  <si>
    <t>6792 22</t>
  </si>
  <si>
    <t>SWT_LGRD_MRS_Bell_2M</t>
  </si>
  <si>
    <t>PROD_0201</t>
  </si>
  <si>
    <t>North West</t>
  </si>
  <si>
    <t>Stylus Plus</t>
  </si>
  <si>
    <t>SR110-PLUS</t>
  </si>
  <si>
    <t>SWT_NRWS_STLS+_6A_1, SWT_NRWS_STLS+_6A_2</t>
  </si>
  <si>
    <t>SR130-PLUS</t>
  </si>
  <si>
    <t>SWT_NRWS_STLS+_16A_1, SWT_NRWS_STLS+_16A_2</t>
  </si>
  <si>
    <t>SR310-PLUS</t>
  </si>
  <si>
    <t>SWT_NRWS_STLS+_Bell_1M</t>
  </si>
  <si>
    <t>SWT_NRWS_STLS+_Bell_2M_1, SWT_NRWS_STLS+_Bell_2M_2</t>
  </si>
  <si>
    <t>PROD_0202</t>
  </si>
  <si>
    <t>Crabtree</t>
  </si>
  <si>
    <t>Verona</t>
  </si>
  <si>
    <t>ACVSXXWO61</t>
  </si>
  <si>
    <t>SWT_CRB_VRN_6A</t>
  </si>
  <si>
    <t>ACVSXXW161</t>
  </si>
  <si>
    <t>SWT_CRB_VRN_16A</t>
  </si>
  <si>
    <t>ACVSBIW061</t>
  </si>
  <si>
    <t>SWT_CRB_VRN_Bell_1M</t>
  </si>
  <si>
    <t>10 A</t>
  </si>
  <si>
    <t>ACVMBIW101</t>
  </si>
  <si>
    <t>SWT_CRB_VRN_Bell_2M</t>
  </si>
  <si>
    <t>PROD_0203</t>
  </si>
  <si>
    <t>Havells Reo</t>
  </si>
  <si>
    <t>Bliss White</t>
  </si>
  <si>
    <t>AHBSXXW061</t>
  </si>
  <si>
    <t>SWT_HVL_REO_BLSWHT_6A</t>
  </si>
  <si>
    <t>Active</t>
  </si>
  <si>
    <t>AHBSXXW161</t>
  </si>
  <si>
    <t>SWT_HVL_REO_BLSWHT_16A</t>
  </si>
  <si>
    <t>AHBSBXW061</t>
  </si>
  <si>
    <t>SWT_HVL_REO_BLSWHT_BELL_1M</t>
  </si>
  <si>
    <t>AHBMBIW061</t>
  </si>
  <si>
    <t>PROD_0204</t>
  </si>
  <si>
    <t>Bliss Ash Grey</t>
  </si>
  <si>
    <t>AHBSXXG101</t>
  </si>
  <si>
    <t>SWT_HVL_REO_BLSASHGRY_10A</t>
  </si>
  <si>
    <t>20 A</t>
  </si>
  <si>
    <t>AHBSXXG201</t>
  </si>
  <si>
    <t>SWT_HVL_REO_BLSASHGRY_20A</t>
  </si>
  <si>
    <t>AHBSBXG101</t>
  </si>
  <si>
    <t>SWT_HVL_REO_BLSASHGRY_BELL_1M</t>
  </si>
  <si>
    <t>AHBMBIG101</t>
  </si>
  <si>
    <t>PROD_0205</t>
  </si>
  <si>
    <t>Schneider</t>
  </si>
  <si>
    <t>Livia</t>
  </si>
  <si>
    <t>P1001</t>
  </si>
  <si>
    <t>SWT_SCH_LIVA_10A</t>
  </si>
  <si>
    <t>P1101</t>
  </si>
  <si>
    <t>SWT_SCH_LIVA_16A</t>
  </si>
  <si>
    <t>P1005</t>
  </si>
  <si>
    <t>SWT_SCH_LIVA_BELL_1M</t>
  </si>
  <si>
    <t>P1025</t>
  </si>
  <si>
    <t>SWT_SCH_LIVA_BELL_2M</t>
  </si>
  <si>
    <t>PROD_0206</t>
  </si>
  <si>
    <t>Regulator</t>
  </si>
  <si>
    <t>1SYK100001A1343</t>
  </si>
  <si>
    <t>REG_ABB_ADY_1M</t>
  </si>
  <si>
    <t>1SYK100001A1342</t>
  </si>
  <si>
    <t>REG_ABB_ADY_2M</t>
  </si>
  <si>
    <t>PROD_0207</t>
  </si>
  <si>
    <t>CPW1SFR4</t>
  </si>
  <si>
    <t>REG_ABB_SNIE_1M_1, REG_ABB_SNIE_1M_2</t>
  </si>
  <si>
    <t>CPW2SFR5</t>
  </si>
  <si>
    <t>REG_ABB_SNIE_2M</t>
  </si>
  <si>
    <t>PROD_0208</t>
  </si>
  <si>
    <t>REG_ANCH_PNTWHT_1M</t>
  </si>
  <si>
    <t>REG_ANCH_PNTWHT_2M</t>
  </si>
  <si>
    <t>PROD_0209</t>
  </si>
  <si>
    <t>65301B</t>
  </si>
  <si>
    <t>REG_ANCH_PNTGRY_1M</t>
  </si>
  <si>
    <t>65302B</t>
  </si>
  <si>
    <t>REG_ANCH_PNTGRY_2M</t>
  </si>
  <si>
    <t>PROD_0210</t>
  </si>
  <si>
    <t>REG_ANCH_ZVAWHT_1M</t>
  </si>
  <si>
    <t>REG_ANCH_ZVAWHT_2M</t>
  </si>
  <si>
    <t>PROD_0211</t>
  </si>
  <si>
    <t>REG_ANCH_ZVAGRY_1M</t>
  </si>
  <si>
    <t>REG_ANCH_ZVAGRY_2M</t>
  </si>
  <si>
    <t>PROD_0212</t>
  </si>
  <si>
    <t>REG_ANCH_RDR_1M</t>
  </si>
  <si>
    <t>REG_ANCH_RDR_2M</t>
  </si>
  <si>
    <t>PROD_0213</t>
  </si>
  <si>
    <t>6792 39</t>
  </si>
  <si>
    <t>REG_LGRD_MRS_1M_1, REG_LGRD_MRS_1M_2</t>
  </si>
  <si>
    <t>6792 40</t>
  </si>
  <si>
    <t>REG_LGRD_MRS_2M_1, REG_LGRD_MRS_2M_2</t>
  </si>
  <si>
    <t>PROD_0214</t>
  </si>
  <si>
    <t>M1700-PLUS</t>
  </si>
  <si>
    <t>REG_NRWS_STL_1M</t>
  </si>
  <si>
    <t>M1900-PLUS</t>
  </si>
  <si>
    <t>REG_NRWS_STL_2M</t>
  </si>
  <si>
    <t>PROD_0215</t>
  </si>
  <si>
    <t>ACVRFXB004</t>
  </si>
  <si>
    <t>REG_CRB_VRN_1M</t>
  </si>
  <si>
    <t>ACVRFHW008</t>
  </si>
  <si>
    <t>REG_CRB_VRN_2M</t>
  </si>
  <si>
    <t>PROD_0216</t>
  </si>
  <si>
    <t>AHBRFXW001</t>
  </si>
  <si>
    <t>REG_HVL_REO_BLSWHT_1M</t>
  </si>
  <si>
    <t>AHBRFXW002</t>
  </si>
  <si>
    <t>REG_HVL_REO_BLSWHT_2M</t>
  </si>
  <si>
    <t>PROD_0217</t>
  </si>
  <si>
    <t>AHBRFXG001</t>
  </si>
  <si>
    <t>REG_HVL_REO_BLSASHGRY_1M</t>
  </si>
  <si>
    <t>AHBRFXG002</t>
  </si>
  <si>
    <t>REG_HVL_REO_BLSASHGRY_2M</t>
  </si>
  <si>
    <t>PROD_0218</t>
  </si>
  <si>
    <t>P3100</t>
  </si>
  <si>
    <t>REG_SCH_LIVA_1M</t>
  </si>
  <si>
    <t>P3200</t>
  </si>
  <si>
    <t>REG_SCH_LIVA_2M</t>
  </si>
  <si>
    <t>PROD_0219</t>
  </si>
  <si>
    <t>Sockets</t>
  </si>
  <si>
    <t>1SYK100001A1327</t>
  </si>
  <si>
    <t>1SYK100001A1323</t>
  </si>
  <si>
    <t>SCK_ABB_ADY_2M</t>
  </si>
  <si>
    <t>PROD_0220</t>
  </si>
  <si>
    <t>CPWS2166</t>
  </si>
  <si>
    <t>CPWS2065</t>
  </si>
  <si>
    <t>SCK_ABB_SNIE_2M_1, SCK_ABB_SNIE_2M_2</t>
  </si>
  <si>
    <t>PROD_0221</t>
  </si>
  <si>
    <t>SCK_ANCH_PNTWHT_1M_1, SCK_ANCH_PNTWHT_1M_2</t>
  </si>
  <si>
    <t>SCK_ANCH_PNTWHT_2M</t>
  </si>
  <si>
    <t>PROD_0222</t>
  </si>
  <si>
    <t>65208B</t>
  </si>
  <si>
    <t>SCK_ANCH_PNTGRY_1M_1, SCK_ANCH_PNTGRY_1M_2</t>
  </si>
  <si>
    <t>65204B</t>
  </si>
  <si>
    <t>SCK_ANCH_PNTGRY_2M</t>
  </si>
  <si>
    <t>PROD_0223</t>
  </si>
  <si>
    <t>SCK_ANCH_ZVAWHT</t>
  </si>
  <si>
    <t>PROD_0224</t>
  </si>
  <si>
    <t>SCK_ANCH_ZVAGRY</t>
  </si>
  <si>
    <t>PROD_0225</t>
  </si>
  <si>
    <t>SCK_ANCH_RDR</t>
  </si>
  <si>
    <t>PROD_0226</t>
  </si>
  <si>
    <t>SCK_LEG_MRS_1, SCK_LEG_MRS_2</t>
  </si>
  <si>
    <t>6792 29</t>
  </si>
  <si>
    <t>PROD_0227</t>
  </si>
  <si>
    <t>M1212-PLUS</t>
  </si>
  <si>
    <t>SCK_NRWS_STL_6A_1, SCK_NRWS_STL_6A_2</t>
  </si>
  <si>
    <t>M1332-PLUS</t>
  </si>
  <si>
    <t>SCK_NRWS_STL_16A_1, SCK_NRWS_STL_16A_2</t>
  </si>
  <si>
    <t>PROD_0228</t>
  </si>
  <si>
    <t>ACVKSWW063</t>
  </si>
  <si>
    <t>SCK_CRB_VRN_1, SCK_CRB_VRN_2</t>
  </si>
  <si>
    <t>ACVKCWW163</t>
  </si>
  <si>
    <t>PROD_0229</t>
  </si>
  <si>
    <t>AHBKSWW063</t>
  </si>
  <si>
    <t>SCK_HVL_REO_BLSWHT_6A</t>
  </si>
  <si>
    <t>AHBKCXW062</t>
  </si>
  <si>
    <t>SCK_HVL_REO_BLSWHT_16A</t>
  </si>
  <si>
    <t>PROD_0230</t>
  </si>
  <si>
    <t>AHBKSWG063</t>
  </si>
  <si>
    <t>SCK_HVL_REO_BLSGRY</t>
  </si>
  <si>
    <t>AHBKCXG062</t>
  </si>
  <si>
    <t>PROD_0231</t>
  </si>
  <si>
    <t>P2005NS_PG</t>
  </si>
  <si>
    <t>SCK_SCH_LIVA_6A</t>
  </si>
  <si>
    <t>P2106</t>
  </si>
  <si>
    <t>SCK_SCH_LIVA_16A</t>
  </si>
  <si>
    <t>PROD_0232</t>
  </si>
  <si>
    <t>MCB/ RCCB</t>
  </si>
  <si>
    <t>Havells</t>
  </si>
  <si>
    <t>MCB</t>
  </si>
  <si>
    <t>Series</t>
  </si>
  <si>
    <t>B</t>
  </si>
  <si>
    <t>6 A - 32 A</t>
  </si>
  <si>
    <t>Poles</t>
  </si>
  <si>
    <t>SP</t>
  </si>
  <si>
    <t>DHMGBSPF006-032</t>
  </si>
  <si>
    <t>MCB_HVL_B_SP</t>
  </si>
  <si>
    <t>25 A</t>
  </si>
  <si>
    <t>32 A</t>
  </si>
  <si>
    <t>40 A</t>
  </si>
  <si>
    <t>upto 5 A</t>
  </si>
  <si>
    <t>DHMZCSPF0X5-005</t>
  </si>
  <si>
    <t>MCB_HVL_C_SP</t>
  </si>
  <si>
    <t>DHMZCSPF006-032</t>
  </si>
  <si>
    <t>DHMZCSPF040</t>
  </si>
  <si>
    <t>63 A</t>
  </si>
  <si>
    <t>DHMZCSPF063</t>
  </si>
  <si>
    <t>80 A</t>
  </si>
  <si>
    <t xml:space="preserve">DHMZCSPF080 </t>
  </si>
  <si>
    <t>100 A</t>
  </si>
  <si>
    <t>DHMZCSPF100</t>
  </si>
  <si>
    <t>125 A</t>
  </si>
  <si>
    <t xml:space="preserve"> DHMZCSPF125</t>
  </si>
  <si>
    <t>DP</t>
  </si>
  <si>
    <t>DHMZCDPF0X5-005</t>
  </si>
  <si>
    <t>MCB_HVL_C_DP</t>
  </si>
  <si>
    <t>DHMZCDPF006-032</t>
  </si>
  <si>
    <t>DHMZCDPF040</t>
  </si>
  <si>
    <t>DHMZCDPF063</t>
  </si>
  <si>
    <t>DHMZCDPF080</t>
  </si>
  <si>
    <t>DHMZCDPF100</t>
  </si>
  <si>
    <t>DHMZCDPF125</t>
  </si>
  <si>
    <t>TP</t>
  </si>
  <si>
    <t>DHMZCTPF0x5-005</t>
  </si>
  <si>
    <t>MCB_HVL_C_TP</t>
  </si>
  <si>
    <t>DHMZCTPF006-032</t>
  </si>
  <si>
    <t>DHMZCTPF040</t>
  </si>
  <si>
    <t>DHMZCTPF063</t>
  </si>
  <si>
    <t>DHMZCTPF080</t>
  </si>
  <si>
    <t>DHMZCTPF100</t>
  </si>
  <si>
    <t>DHMZCTPF125</t>
  </si>
  <si>
    <t>FP</t>
  </si>
  <si>
    <t>DHMZCFPF0x5-005</t>
  </si>
  <si>
    <t>MCB_HVL_C_FP</t>
  </si>
  <si>
    <t>DHMZCFPF006-032</t>
  </si>
  <si>
    <t>DHMZCFPF040</t>
  </si>
  <si>
    <t>DHMZCFPF063</t>
  </si>
  <si>
    <t>DHMZCFPF080</t>
  </si>
  <si>
    <t>DHMZCFPF100</t>
  </si>
  <si>
    <t>DHMZCFPF125</t>
  </si>
  <si>
    <t>SPN</t>
  </si>
  <si>
    <t>DHMZCSNF0x5-005</t>
  </si>
  <si>
    <t>MCB_HVL_C_SPN</t>
  </si>
  <si>
    <t>DHMZCSNF006-032</t>
  </si>
  <si>
    <t>DHMZCSNF040</t>
  </si>
  <si>
    <t>DHMZCSNF063</t>
  </si>
  <si>
    <t>DC</t>
  </si>
  <si>
    <t>DHMZEDPF016</t>
  </si>
  <si>
    <t>MCB_HVL_DPDC</t>
  </si>
  <si>
    <t>VAR_41</t>
  </si>
  <si>
    <t>DHMZEDPF020</t>
  </si>
  <si>
    <t>VAR_42</t>
  </si>
  <si>
    <t>DHMZEDPF025</t>
  </si>
  <si>
    <t>VAR_43</t>
  </si>
  <si>
    <t>DHMZEDPF032</t>
  </si>
  <si>
    <t>PROD_0233</t>
  </si>
  <si>
    <t>RCCB</t>
  </si>
  <si>
    <t xml:space="preserve">Series </t>
  </si>
  <si>
    <t>AC</t>
  </si>
  <si>
    <t>DHRXCMDF030016</t>
  </si>
  <si>
    <t>RCCB_HVL_AC_DP</t>
  </si>
  <si>
    <t>DHRXCMDF030025</t>
  </si>
  <si>
    <t>DHRXCMDF030032</t>
  </si>
  <si>
    <t>DHRXCMDF030040</t>
  </si>
  <si>
    <t>DHRXCMDF030063</t>
  </si>
  <si>
    <t>DHRZCMDF030100</t>
  </si>
  <si>
    <t>DHRXCMFF030016</t>
  </si>
  <si>
    <t>RCCB_HVL_AC_FP</t>
  </si>
  <si>
    <t>DHRXCMFF030025</t>
  </si>
  <si>
    <t>DHRXCMFF030032</t>
  </si>
  <si>
    <t>DHRXCMFF030040</t>
  </si>
  <si>
    <t>DHRXCMFF030063</t>
  </si>
  <si>
    <t>DHRZCMFF030100</t>
  </si>
  <si>
    <t>H Li</t>
  </si>
  <si>
    <t>DHRZDTDF030040</t>
  </si>
  <si>
    <t>RCCB_HVL_HLi_DP</t>
  </si>
  <si>
    <t>DHRZDTDF030063</t>
  </si>
  <si>
    <t>DHRZDTFF030040</t>
  </si>
  <si>
    <t>RCCB_HVL_HLi_FP</t>
  </si>
  <si>
    <t>DHRZDTFF030063</t>
  </si>
  <si>
    <t>RCCB_HVL_HLi_FP, RCCB_HVL_HLi_FP_2</t>
  </si>
  <si>
    <t>PROD_0234</t>
  </si>
  <si>
    <t>0.5 A</t>
  </si>
  <si>
    <t>4085 80</t>
  </si>
  <si>
    <t>MCB_LGR_C_SP_0.5A</t>
  </si>
  <si>
    <t>1 A</t>
  </si>
  <si>
    <t>4085 81</t>
  </si>
  <si>
    <t>MCB_LGR_C_SP</t>
  </si>
  <si>
    <t>2 A</t>
  </si>
  <si>
    <t>4085 83</t>
  </si>
  <si>
    <t>3 A</t>
  </si>
  <si>
    <t>4085 84</t>
  </si>
  <si>
    <t>4 A</t>
  </si>
  <si>
    <t>4085 85</t>
  </si>
  <si>
    <t>4085 87</t>
  </si>
  <si>
    <t>4085 90</t>
  </si>
  <si>
    <t>4085 92</t>
  </si>
  <si>
    <t>4085 93</t>
  </si>
  <si>
    <t>4085 94</t>
  </si>
  <si>
    <t>4085 95</t>
  </si>
  <si>
    <t>4085 96</t>
  </si>
  <si>
    <t>50 A</t>
  </si>
  <si>
    <t>4085 97</t>
  </si>
  <si>
    <t>4085 98</t>
  </si>
  <si>
    <t>MCB_LGR_C_SPN</t>
  </si>
  <si>
    <t>4086 14</t>
  </si>
  <si>
    <t>4086 15</t>
  </si>
  <si>
    <t>4086 16</t>
  </si>
  <si>
    <t>4086 17</t>
  </si>
  <si>
    <t>4086 18</t>
  </si>
  <si>
    <t>4086 19</t>
  </si>
  <si>
    <t>4086 20</t>
  </si>
  <si>
    <t>4086 21</t>
  </si>
  <si>
    <t>MCB_LGR_C_DP</t>
  </si>
  <si>
    <t>4086 22</t>
  </si>
  <si>
    <t>4086 24</t>
  </si>
  <si>
    <t>4086 25</t>
  </si>
  <si>
    <t>4086 26</t>
  </si>
  <si>
    <t>4086 31</t>
  </si>
  <si>
    <t>4086 33</t>
  </si>
  <si>
    <t>4086 34</t>
  </si>
  <si>
    <t>4086 35</t>
  </si>
  <si>
    <t>4086 36</t>
  </si>
  <si>
    <t>4086 37</t>
  </si>
  <si>
    <t>4086 38</t>
  </si>
  <si>
    <t>4086 39</t>
  </si>
  <si>
    <t>4086 43</t>
  </si>
  <si>
    <t>MCB_LGR_C_TP</t>
  </si>
  <si>
    <t>VAR_44</t>
  </si>
  <si>
    <t>4086 44</t>
  </si>
  <si>
    <t>VAR_45</t>
  </si>
  <si>
    <t>4086 46</t>
  </si>
  <si>
    <t>VAR_46</t>
  </si>
  <si>
    <t>4086 47</t>
  </si>
  <si>
    <t>VAR_47</t>
  </si>
  <si>
    <t>4086 48</t>
  </si>
  <si>
    <t>VAR_48</t>
  </si>
  <si>
    <t>4086 50</t>
  </si>
  <si>
    <t>VAR_49</t>
  </si>
  <si>
    <t>4086 53</t>
  </si>
  <si>
    <t>VAR_50</t>
  </si>
  <si>
    <t>4086 55</t>
  </si>
  <si>
    <t>VAR_51</t>
  </si>
  <si>
    <t xml:space="preserve">4086 56 </t>
  </si>
  <si>
    <t>VAR_52</t>
  </si>
  <si>
    <t>4086 57</t>
  </si>
  <si>
    <t>VAR_53</t>
  </si>
  <si>
    <t>4086 58</t>
  </si>
  <si>
    <t>VAR_54</t>
  </si>
  <si>
    <t>4086 59</t>
  </si>
  <si>
    <t>VAR_55</t>
  </si>
  <si>
    <t xml:space="preserve">4086 60 </t>
  </si>
  <si>
    <t>VAR_56</t>
  </si>
  <si>
    <t>4086 61</t>
  </si>
  <si>
    <t>VAR_57</t>
  </si>
  <si>
    <t>TPN</t>
  </si>
  <si>
    <t>4086 65</t>
  </si>
  <si>
    <t>MCB_LGR_C_TPN</t>
  </si>
  <si>
    <t>VAR_58</t>
  </si>
  <si>
    <t>4086 66</t>
  </si>
  <si>
    <t>VAR_59</t>
  </si>
  <si>
    <t>4086 68</t>
  </si>
  <si>
    <t>VAR_60</t>
  </si>
  <si>
    <t>4086 69</t>
  </si>
  <si>
    <t>VAR_61</t>
  </si>
  <si>
    <t>4086 70</t>
  </si>
  <si>
    <t>VAR_62</t>
  </si>
  <si>
    <t>4086 72</t>
  </si>
  <si>
    <t>VAR_63</t>
  </si>
  <si>
    <t>4086 75</t>
  </si>
  <si>
    <t>VAR_64</t>
  </si>
  <si>
    <t>4086 77</t>
  </si>
  <si>
    <t>VAR_65</t>
  </si>
  <si>
    <t>4086 78</t>
  </si>
  <si>
    <t>VAR_66</t>
  </si>
  <si>
    <t>4086 79</t>
  </si>
  <si>
    <t>VAR_67</t>
  </si>
  <si>
    <t>4086 80</t>
  </si>
  <si>
    <t>VAR_68</t>
  </si>
  <si>
    <t>4086 81</t>
  </si>
  <si>
    <t>VAR_69</t>
  </si>
  <si>
    <t>4086 82</t>
  </si>
  <si>
    <t>VAR_70</t>
  </si>
  <si>
    <t>4086 83</t>
  </si>
  <si>
    <t>VAR_71</t>
  </si>
  <si>
    <t>4086 84</t>
  </si>
  <si>
    <t>MCB_LGR_C_FP</t>
  </si>
  <si>
    <t>VAR_72</t>
  </si>
  <si>
    <t>4086 85</t>
  </si>
  <si>
    <t>VAR_73</t>
  </si>
  <si>
    <t>4086 87</t>
  </si>
  <si>
    <t>VAR_74</t>
  </si>
  <si>
    <t>4086 88</t>
  </si>
  <si>
    <t>VAR_75</t>
  </si>
  <si>
    <t>4086 89</t>
  </si>
  <si>
    <t>VAR_76</t>
  </si>
  <si>
    <t>4086 91</t>
  </si>
  <si>
    <t>VAR_77</t>
  </si>
  <si>
    <t>4086 94</t>
  </si>
  <si>
    <t>VAR_78</t>
  </si>
  <si>
    <t>4086 96</t>
  </si>
  <si>
    <t>VAR_79</t>
  </si>
  <si>
    <t>4086 97</t>
  </si>
  <si>
    <t>VAR_80</t>
  </si>
  <si>
    <t>4086 98</t>
  </si>
  <si>
    <t>VAR_81</t>
  </si>
  <si>
    <t>4086 99</t>
  </si>
  <si>
    <t>VAR_82</t>
  </si>
  <si>
    <t>4087 00</t>
  </si>
  <si>
    <t>VAR_83</t>
  </si>
  <si>
    <t>VAR_84</t>
  </si>
  <si>
    <t>PROD_0235</t>
  </si>
  <si>
    <t>4024 88</t>
  </si>
  <si>
    <t>RCCB_LGR_DP</t>
  </si>
  <si>
    <t>4024 89</t>
  </si>
  <si>
    <t>4024 90</t>
  </si>
  <si>
    <t>4025 19</t>
  </si>
  <si>
    <t>RCCB_LGR_FP</t>
  </si>
  <si>
    <t>4025 20</t>
  </si>
  <si>
    <t>4025 21</t>
  </si>
  <si>
    <t>PROD_0236</t>
  </si>
  <si>
    <t>Cieling Lights</t>
  </si>
  <si>
    <t>Philips</t>
  </si>
  <si>
    <t>Astra Prime</t>
  </si>
  <si>
    <t>Wattage</t>
  </si>
  <si>
    <t>3 W</t>
  </si>
  <si>
    <t>Cutting Size</t>
  </si>
  <si>
    <t>43 mm</t>
  </si>
  <si>
    <t>Warm White</t>
  </si>
  <si>
    <t>Shape</t>
  </si>
  <si>
    <t>Round</t>
  </si>
  <si>
    <t>EM_CLN_PHILLIPS_ASTRAROUND</t>
  </si>
  <si>
    <t>Natural White</t>
  </si>
  <si>
    <t>Cool White</t>
  </si>
  <si>
    <t>5 W</t>
  </si>
  <si>
    <t>10 W</t>
  </si>
  <si>
    <t>110 mm</t>
  </si>
  <si>
    <t>15 W</t>
  </si>
  <si>
    <t>140 mm</t>
  </si>
  <si>
    <t>22 W</t>
  </si>
  <si>
    <t>188 mm</t>
  </si>
  <si>
    <t>Square</t>
  </si>
  <si>
    <t>EM_CLN_PHILLIPS_ASTRA_SQR</t>
  </si>
  <si>
    <t>PROD_0237</t>
  </si>
  <si>
    <t>Astra Max Metal Panel</t>
  </si>
  <si>
    <t>EM_CLN_PHILLIPS_ASTRAMETAL_ROUND</t>
  </si>
  <si>
    <t>136 mm</t>
  </si>
  <si>
    <t>159 mm</t>
  </si>
  <si>
    <t>18 W</t>
  </si>
  <si>
    <t>178 mm</t>
  </si>
  <si>
    <t>EM_CLN_PHILLIPS_ASTRAMETAL_SQR</t>
  </si>
  <si>
    <t>PROD_0238</t>
  </si>
  <si>
    <t>Ultra Slim +</t>
  </si>
  <si>
    <t>EM_CLN_PHILLIPS_ULTRA_ROUND</t>
  </si>
  <si>
    <t>7 W</t>
  </si>
  <si>
    <t>104 mm</t>
  </si>
  <si>
    <t>94 mm</t>
  </si>
  <si>
    <t>EM_CLN_PHILLIPS_ULTRA_SQR</t>
  </si>
  <si>
    <t>12 W</t>
  </si>
  <si>
    <t>145 mm</t>
  </si>
  <si>
    <t>120 mm</t>
  </si>
  <si>
    <t>165 mm</t>
  </si>
  <si>
    <t>185 mm</t>
  </si>
  <si>
    <t>160 mm</t>
  </si>
  <si>
    <t>208 mm</t>
  </si>
  <si>
    <t>PROD_0239</t>
  </si>
  <si>
    <t>Orient</t>
  </si>
  <si>
    <t>Backlite Trim Recess Panel</t>
  </si>
  <si>
    <t>6 W</t>
  </si>
  <si>
    <t>CL_OR_BLTRPL_6_12_18W, CL_OR_BLTRPL</t>
  </si>
  <si>
    <t>PROD_0240</t>
  </si>
  <si>
    <t>Eternal Backlit LED Recess Panel</t>
  </si>
  <si>
    <t>105 mm</t>
  </si>
  <si>
    <t>CL_OR_ETRBLT_RND_10W</t>
  </si>
  <si>
    <t>CL_OR_ETRBLT_RND_15W</t>
  </si>
  <si>
    <t>CL_OR_ETRBLT_SQ_10W</t>
  </si>
  <si>
    <t>CL_OR_ETRBLT_SQ_15W</t>
  </si>
  <si>
    <t>PROD_0241</t>
  </si>
  <si>
    <t>Surface Light</t>
  </si>
  <si>
    <t>Star Surface</t>
  </si>
  <si>
    <t>146 mm X 146 mm</t>
  </si>
  <si>
    <t>EM_CLN_PHILLIPS_STARSURF_ROUND</t>
  </si>
  <si>
    <t>EM_CLN_PHILLIPS_STARSURF_SQR</t>
  </si>
  <si>
    <t>PROD_0242</t>
  </si>
  <si>
    <t xml:space="preserve">Rimless LED </t>
  </si>
  <si>
    <t>229 mm X 69 mm</t>
  </si>
  <si>
    <t>SL_OR_RMLS_RND_6W</t>
  </si>
  <si>
    <t>SL_OR_RMLS_RND_12W</t>
  </si>
  <si>
    <t>SL_OR_RMLS_RND_18W</t>
  </si>
  <si>
    <t>PROD_0243</t>
  </si>
  <si>
    <t>Panasonic</t>
  </si>
  <si>
    <t>Rimless Surface Panel</t>
  </si>
  <si>
    <t>SL_PS_RMLS_RND</t>
  </si>
  <si>
    <t>SL_PS_RMLS_SQ</t>
  </si>
  <si>
    <t>24 W</t>
  </si>
  <si>
    <t>PROD_0244</t>
  </si>
  <si>
    <t>LED PC Panel Light</t>
  </si>
  <si>
    <t>SL_PS_LEDPC_RND_1, SL_PS_LEDPC_RND_2</t>
  </si>
  <si>
    <t>20 W</t>
  </si>
  <si>
    <t>SL_PS_LEDPC_SQ_1, SL_PS_LEDPC_SQ_2</t>
  </si>
  <si>
    <t>PROD_0245</t>
  </si>
  <si>
    <t>COB Light</t>
  </si>
  <si>
    <t>Astra Spot</t>
  </si>
  <si>
    <t>52 mm</t>
  </si>
  <si>
    <t>COB_PH_AST_1, COB_PH_AST_2</t>
  </si>
  <si>
    <t>2 W</t>
  </si>
  <si>
    <t>35 mm</t>
  </si>
  <si>
    <t>77 mm</t>
  </si>
  <si>
    <t>92 mm</t>
  </si>
  <si>
    <t>PROD_0246</t>
  </si>
  <si>
    <t>Astra Spot (Tilt)</t>
  </si>
  <si>
    <t>64 mm</t>
  </si>
  <si>
    <t>PROD_0247</t>
  </si>
  <si>
    <t>Spot Plus</t>
  </si>
  <si>
    <t>COB_PH_ASTSPT+</t>
  </si>
  <si>
    <t>PROD_0248</t>
  </si>
  <si>
    <t>Strip Light</t>
  </si>
  <si>
    <t>Linea Bright | 5 m</t>
  </si>
  <si>
    <t>28 W</t>
  </si>
  <si>
    <t>Luminex (per meter)</t>
  </si>
  <si>
    <t>480 LM</t>
  </si>
  <si>
    <t>Bulb per meter</t>
  </si>
  <si>
    <t>SL_PH_LIN</t>
  </si>
  <si>
    <t>PROD_0249</t>
  </si>
  <si>
    <t>Cove Glow | 5 m</t>
  </si>
  <si>
    <t>360 LM</t>
  </si>
  <si>
    <t>SL_PH_CVGLW, SL_PH_CVGLW_WW</t>
  </si>
  <si>
    <t>SL_PH_CVGLW, SL_PH_CVGLW_NW</t>
  </si>
  <si>
    <t>SL_PH_CVGLW, SL_PH_CVGLW_CW</t>
  </si>
  <si>
    <t>PROD_0250</t>
  </si>
  <si>
    <t>Even Glow | 5 m</t>
  </si>
  <si>
    <t>33 W</t>
  </si>
  <si>
    <t>500 LM</t>
  </si>
  <si>
    <t>Additional Adapter</t>
  </si>
  <si>
    <t>SL_PH_EVGLW</t>
  </si>
  <si>
    <t>Cool Daily White</t>
  </si>
  <si>
    <t>PROD_0251</t>
  </si>
  <si>
    <t>320 LED Zuro  | 5 m</t>
  </si>
  <si>
    <t>45 W</t>
  </si>
  <si>
    <t>Luminex</t>
  </si>
  <si>
    <t>4500 LM</t>
  </si>
  <si>
    <t>P-54307</t>
  </si>
  <si>
    <t>SL_PLCB_ZU_COB_320</t>
  </si>
  <si>
    <t>P-54306</t>
  </si>
  <si>
    <t>P-54303</t>
  </si>
  <si>
    <t>PROD_0252</t>
  </si>
  <si>
    <t>240 LED | 5 m</t>
  </si>
  <si>
    <t>60 W</t>
  </si>
  <si>
    <t>5400 LM</t>
  </si>
  <si>
    <t>P-54294</t>
  </si>
  <si>
    <t>SL_PLCB_ZU_COB_240</t>
  </si>
  <si>
    <t>P-54293</t>
  </si>
  <si>
    <t>PROD_0253</t>
  </si>
  <si>
    <t>120 LED | 5 m</t>
  </si>
  <si>
    <t>P-54296</t>
  </si>
  <si>
    <t>SL_PLCB_ZU_COB_120</t>
  </si>
  <si>
    <t>P-54297</t>
  </si>
  <si>
    <t>PROD_0254</t>
  </si>
  <si>
    <t>Tube Light</t>
  </si>
  <si>
    <t>Ultron | 5 m</t>
  </si>
  <si>
    <t>17 W</t>
  </si>
  <si>
    <t>1350 LM</t>
  </si>
  <si>
    <t>93 mm</t>
  </si>
  <si>
    <t>TL_PH_ULT</t>
  </si>
  <si>
    <t>24W</t>
  </si>
  <si>
    <t>PROD_0255</t>
  </si>
  <si>
    <t>Deco Bright | 5 m</t>
  </si>
  <si>
    <t>25 W</t>
  </si>
  <si>
    <t>2500 LM</t>
  </si>
  <si>
    <t>25 mm</t>
  </si>
  <si>
    <t>TL_PH_DECO</t>
  </si>
  <si>
    <t>PROD_0256</t>
  </si>
  <si>
    <t>Slimline Super Bright | 5 m</t>
  </si>
  <si>
    <t>TL_PH_SLMLN</t>
  </si>
  <si>
    <t>30 W</t>
  </si>
  <si>
    <t>36 W</t>
  </si>
  <si>
    <t>PROD_0257</t>
  </si>
  <si>
    <t>High Wattage Batten | 5 m</t>
  </si>
  <si>
    <t>45 mm</t>
  </si>
  <si>
    <t>p-54159</t>
  </si>
  <si>
    <t>TL_PLCB_HIWTG</t>
  </si>
  <si>
    <t>p-54160</t>
  </si>
  <si>
    <t>40 W</t>
  </si>
  <si>
    <t>p-54161</t>
  </si>
  <si>
    <t>PROD_0258</t>
  </si>
  <si>
    <t>Rope Light</t>
  </si>
  <si>
    <t>Ultra Marathon | 5 m</t>
  </si>
  <si>
    <t>1 W</t>
  </si>
  <si>
    <t>35000 LM</t>
  </si>
  <si>
    <t>50 meter</t>
  </si>
  <si>
    <t>PH 1450</t>
  </si>
  <si>
    <t>RL_PH_UM_1, RL_PH_UM_2</t>
  </si>
  <si>
    <t>PROD_0259</t>
  </si>
  <si>
    <t>120 LED rope Light | 5 m</t>
  </si>
  <si>
    <t>360 W</t>
  </si>
  <si>
    <t>28800 LM</t>
  </si>
  <si>
    <t>45 meter</t>
  </si>
  <si>
    <t>p-54279</t>
  </si>
  <si>
    <t>RL_PLCB_120</t>
  </si>
  <si>
    <t>PROD_0260</t>
  </si>
  <si>
    <t>Paint</t>
  </si>
  <si>
    <t>Interior Paint</t>
  </si>
  <si>
    <t>Asian Paint</t>
  </si>
  <si>
    <t>Uno Acrylic Distemper</t>
  </si>
  <si>
    <t>INTPNT_AP_DST_UNO</t>
  </si>
  <si>
    <t>4 Ltr</t>
  </si>
  <si>
    <t>10 Ltr</t>
  </si>
  <si>
    <t>20 Ltr</t>
  </si>
  <si>
    <t>PROD_0261</t>
  </si>
  <si>
    <t>Synthetic Distemper</t>
  </si>
  <si>
    <t>INTPNT_AP_DST_SYNTH</t>
  </si>
  <si>
    <t>PROD_0262</t>
  </si>
  <si>
    <t>Apcolite Advanced Emulsion</t>
  </si>
  <si>
    <t>INTPNT_AP_EML_APCADV</t>
  </si>
  <si>
    <t>PROD_0263</t>
  </si>
  <si>
    <t>Apcolite Premium Emulsion</t>
  </si>
  <si>
    <t>INTPNT_AP_EML_APCPRM</t>
  </si>
  <si>
    <t>PROD_0264</t>
  </si>
  <si>
    <t>Apcolite Premium Satin Emulsion</t>
  </si>
  <si>
    <t>INTPNT_AP_EML_APCPRMSTN</t>
  </si>
  <si>
    <t>PROD_0265</t>
  </si>
  <si>
    <t xml:space="preserve">Luxury Royale </t>
  </si>
  <si>
    <t>Sample (200 ml)</t>
  </si>
  <si>
    <t>INTPNT_AP_RYL_LXRY</t>
  </si>
  <si>
    <t>PROD_0266</t>
  </si>
  <si>
    <t xml:space="preserve">Matt Royale </t>
  </si>
  <si>
    <t>INTPNT_AP_RYL_MAT</t>
  </si>
  <si>
    <t>PROD_0267</t>
  </si>
  <si>
    <t xml:space="preserve">Shyne Royale </t>
  </si>
  <si>
    <t>INTPNT_AP_RYL_SHYN</t>
  </si>
  <si>
    <t>PROD_0268</t>
  </si>
  <si>
    <t>Birla Opus</t>
  </si>
  <si>
    <t>Style Color Fresh Distemper</t>
  </si>
  <si>
    <t>INTPNT_BRLOP_DSTM_STLCLR</t>
  </si>
  <si>
    <t>PROD_0269</t>
  </si>
  <si>
    <t>Style Super Smooth Distemper</t>
  </si>
  <si>
    <t>INTPNT_BRLOP_DSTM_STLSPRSM</t>
  </si>
  <si>
    <t>PROD_0270</t>
  </si>
  <si>
    <t>Style Super Bright Distemper</t>
  </si>
  <si>
    <t>INTPNT_BRLOP_DSTM_STLSPRBR</t>
  </si>
  <si>
    <t>PROD_0271</t>
  </si>
  <si>
    <t>One Pure Elegance Emulsion</t>
  </si>
  <si>
    <t>INTPNT_BRLOP_EML_ONPRELG</t>
  </si>
  <si>
    <t>PROD_0272</t>
  </si>
  <si>
    <t>Calista Ever Wash Emulsion</t>
  </si>
  <si>
    <t>INTPNT_BRLOP_EML_CLSEVWS</t>
  </si>
  <si>
    <t>PROD_0273</t>
  </si>
  <si>
    <t>Style Color Fresh Emulsion</t>
  </si>
  <si>
    <t>INTPNT_BRLOP_EML_STLCLRFRS</t>
  </si>
  <si>
    <t>PROD_0274</t>
  </si>
  <si>
    <t>Exterior Paint</t>
  </si>
  <si>
    <t>Dust Proof Apex</t>
  </si>
  <si>
    <t>EXTPNT_AP_APX_DSTPRF</t>
  </si>
  <si>
    <t>PROD_0275</t>
  </si>
  <si>
    <t>Advanced Dust Proof Apex</t>
  </si>
  <si>
    <t>EXTPNT_AP_APX_ADVDSTPRF</t>
  </si>
  <si>
    <t>PROD_0276</t>
  </si>
  <si>
    <t>Shyne Dust Proof Apex</t>
  </si>
  <si>
    <t>EXTPNT_AP_APX_SHNDSTPRF</t>
  </si>
  <si>
    <t>PROD_0277</t>
  </si>
  <si>
    <t>Protek Advanced Ultima</t>
  </si>
  <si>
    <t>EXTPNT_AP_ULT_PRTKADV</t>
  </si>
  <si>
    <t>PROD_0278</t>
  </si>
  <si>
    <t>Apex Ultima Ultima</t>
  </si>
  <si>
    <t>EXTPNT_AP_ULT_APX</t>
  </si>
  <si>
    <t>PROD_0279</t>
  </si>
  <si>
    <t>Birla Ocus</t>
  </si>
  <si>
    <t>One True Life Emulsion</t>
  </si>
  <si>
    <t>EXTPNT_BRLOP_EML_ONTRLF</t>
  </si>
  <si>
    <t>PROD_0280</t>
  </si>
  <si>
    <t>Calista Neo Star Emulsion</t>
  </si>
  <si>
    <t>EXTPNT_BRLOP_EML_CLSNESTR</t>
  </si>
  <si>
    <t>PROD_0281</t>
  </si>
  <si>
    <t>Style Power Bright Emulsion</t>
  </si>
  <si>
    <t>EXTPNT_BRLOP_EML_STLPWBGT</t>
  </si>
  <si>
    <t>PROD_0282</t>
  </si>
  <si>
    <t>Waterproofing</t>
  </si>
  <si>
    <t>Ultratech</t>
  </si>
  <si>
    <t>Weather Pro WP+200</t>
  </si>
  <si>
    <t>WP_ULTCH_WTHPR</t>
  </si>
  <si>
    <t>ULTRA01-d</t>
  </si>
  <si>
    <t>50 Ltr</t>
  </si>
  <si>
    <t>PROD_0283</t>
  </si>
  <si>
    <t>Dr. FixIt</t>
  </si>
  <si>
    <t>Pidiproof LW+</t>
  </si>
  <si>
    <t>WP_DRFXIT_PIDPRFLW</t>
  </si>
  <si>
    <t>PROD_0284</t>
  </si>
  <si>
    <t>Pidicrete URP</t>
  </si>
  <si>
    <t>WP_DRFXIT_PIDCRT</t>
  </si>
  <si>
    <t>1 kg</t>
  </si>
  <si>
    <t>PROD_0285</t>
  </si>
  <si>
    <t>Wall Putty</t>
  </si>
  <si>
    <t>Birla White</t>
  </si>
  <si>
    <t>Wallcare</t>
  </si>
  <si>
    <t>1 Kg</t>
  </si>
  <si>
    <t>WP_BRLWHT_WLCR</t>
  </si>
  <si>
    <t>20 Kg</t>
  </si>
  <si>
    <t>40 Kg</t>
  </si>
  <si>
    <t>PROD_0286</t>
  </si>
  <si>
    <t>JK Maxx</t>
  </si>
  <si>
    <t>Wallmaxx</t>
  </si>
  <si>
    <t>WP_JK_MAX_WALL</t>
  </si>
  <si>
    <t>PROD_0287</t>
  </si>
  <si>
    <t>Tools</t>
  </si>
  <si>
    <t>Paint Brush</t>
  </si>
  <si>
    <t>.5 inch</t>
  </si>
  <si>
    <t>PNT_TL_BRS_1/2IN</t>
  </si>
  <si>
    <t>1 inch</t>
  </si>
  <si>
    <t>PNT_TL_BRS_1IN</t>
  </si>
  <si>
    <t>2 inch</t>
  </si>
  <si>
    <t>PNT_TL_BRS_2IN</t>
  </si>
  <si>
    <t>3 inch</t>
  </si>
  <si>
    <t>PNT_TL_BRS_3IN</t>
  </si>
  <si>
    <t>4 inch</t>
  </si>
  <si>
    <t>PNT_TL_BRS_4IN</t>
  </si>
  <si>
    <t>5 inch</t>
  </si>
  <si>
    <t>PNT_TL_BRS_5IN</t>
  </si>
  <si>
    <t>PROD_0288</t>
  </si>
  <si>
    <t>Roller Brush</t>
  </si>
  <si>
    <t>PNT_TL_RLRBRS</t>
  </si>
  <si>
    <t>6 inch</t>
  </si>
  <si>
    <t>PNT_TL_RLRBRS_6IN</t>
  </si>
  <si>
    <t>9 inch</t>
  </si>
  <si>
    <t>PNT_TL_RLRBRS_9IN</t>
  </si>
  <si>
    <t>14 inch</t>
  </si>
  <si>
    <t>18 inch</t>
  </si>
  <si>
    <t>PROD_0289</t>
  </si>
  <si>
    <t>Multi Roller</t>
  </si>
  <si>
    <t>7 inch</t>
  </si>
  <si>
    <t>PROD_0290</t>
  </si>
  <si>
    <t>Waterpoof Sandpaper</t>
  </si>
  <si>
    <t>Grit (number)</t>
  </si>
  <si>
    <t>9 in X 11 in</t>
  </si>
  <si>
    <t>PNT_SNDPPR</t>
  </si>
  <si>
    <t>PROD_0291</t>
  </si>
  <si>
    <t>Non Water Proof Sandpaper</t>
  </si>
  <si>
    <t>PNT_SNDPPR_DRY</t>
  </si>
  <si>
    <t>PROD_0292</t>
  </si>
  <si>
    <t>Dhoti</t>
  </si>
  <si>
    <t>PNT_DHOTI</t>
  </si>
  <si>
    <t>PROD_0293</t>
  </si>
  <si>
    <t>Plumbing</t>
  </si>
  <si>
    <t>Pipes</t>
  </si>
  <si>
    <t>Astral</t>
  </si>
  <si>
    <t>Pipe (HD 11)</t>
  </si>
  <si>
    <t>Diameter</t>
  </si>
  <si>
    <t>15 mm (.5 inch)</t>
  </si>
  <si>
    <t>3 meter</t>
  </si>
  <si>
    <t>M511110301^</t>
  </si>
  <si>
    <t>PLB_AST_CPVC, PLB_AST_CPVC_1</t>
  </si>
  <si>
    <t>20 mm (.75 inch)</t>
  </si>
  <si>
    <t>M511110302^</t>
  </si>
  <si>
    <t xml:space="preserve"> </t>
  </si>
  <si>
    <t>25 mm (1 inch)</t>
  </si>
  <si>
    <t>M511110303^</t>
  </si>
  <si>
    <t>32 mm (1.25 inch)</t>
  </si>
  <si>
    <t>M511110304^</t>
  </si>
  <si>
    <t>40 mm (1.5 inch)</t>
  </si>
  <si>
    <t>M511110305^</t>
  </si>
  <si>
    <t>50 mm (2 inch)</t>
  </si>
  <si>
    <t>M511110306^</t>
  </si>
  <si>
    <t>5 meter</t>
  </si>
  <si>
    <t>M511110501^</t>
  </si>
  <si>
    <t>M511110502^</t>
  </si>
  <si>
    <t>M511110503^</t>
  </si>
  <si>
    <t>M511110504^</t>
  </si>
  <si>
    <t>M511110505^</t>
  </si>
  <si>
    <t>M511110506^</t>
  </si>
  <si>
    <t>PROD_0294</t>
  </si>
  <si>
    <t>Pipe (Schedule 80)</t>
  </si>
  <si>
    <t>65 mm (2.5 inch)</t>
  </si>
  <si>
    <t>M511800307</t>
  </si>
  <si>
    <t>PLB_AST_CPVC_SCH80</t>
  </si>
  <si>
    <t>80 mm (3 inch)</t>
  </si>
  <si>
    <t>M511800308</t>
  </si>
  <si>
    <t>100 mm (4 inch)</t>
  </si>
  <si>
    <t>M511800309</t>
  </si>
  <si>
    <t>150 mm (6 inch)</t>
  </si>
  <si>
    <t>M511800310</t>
  </si>
  <si>
    <t>200 mm (8 inch)</t>
  </si>
  <si>
    <t>M511800311</t>
  </si>
  <si>
    <t>M511800507</t>
  </si>
  <si>
    <t>M511800508</t>
  </si>
  <si>
    <t>M511800509</t>
  </si>
  <si>
    <t>M511800510</t>
  </si>
  <si>
    <t>M511800511</t>
  </si>
  <si>
    <t>PROD_0295</t>
  </si>
  <si>
    <t>Pipe (SDR 13.5)</t>
  </si>
  <si>
    <t>M511130301^</t>
  </si>
  <si>
    <t>PLB_AST_CPVC_SDR13.5</t>
  </si>
  <si>
    <t>M511130302^</t>
  </si>
  <si>
    <t>M511130303^</t>
  </si>
  <si>
    <t>M511130304^</t>
  </si>
  <si>
    <t>M511130305^</t>
  </si>
  <si>
    <t>M511130306^</t>
  </si>
  <si>
    <t>M511130501^</t>
  </si>
  <si>
    <t>M511130502^</t>
  </si>
  <si>
    <t>M511130503^</t>
  </si>
  <si>
    <t>M511130504^</t>
  </si>
  <si>
    <t>M511130505^</t>
  </si>
  <si>
    <t>M511130506^</t>
  </si>
  <si>
    <t>PROD_0296</t>
  </si>
  <si>
    <t>Pipe (Schedule 40)</t>
  </si>
  <si>
    <t>M511400307</t>
  </si>
  <si>
    <t>PLB_AST_CPVC_SCH40</t>
  </si>
  <si>
    <t>M511400308</t>
  </si>
  <si>
    <t>M511400309</t>
  </si>
  <si>
    <t>M511400310</t>
  </si>
  <si>
    <t>M511400507</t>
  </si>
  <si>
    <t>M511400508</t>
  </si>
  <si>
    <t>M511400509</t>
  </si>
  <si>
    <t>M511400510</t>
  </si>
  <si>
    <t>PROD_0297</t>
  </si>
  <si>
    <t>Prince</t>
  </si>
  <si>
    <t>SDR 11</t>
  </si>
  <si>
    <t>SIM204941</t>
  </si>
  <si>
    <t>PLB_PRNC_CPVC</t>
  </si>
  <si>
    <t>SIM204942</t>
  </si>
  <si>
    <t>SIM204943</t>
  </si>
  <si>
    <t>SIM204944</t>
  </si>
  <si>
    <t>SIM204945</t>
  </si>
  <si>
    <t>SIM204946</t>
  </si>
  <si>
    <t>SIM204947</t>
  </si>
  <si>
    <t>SIM204948</t>
  </si>
  <si>
    <t>SIM204949</t>
  </si>
  <si>
    <t>SIM204950</t>
  </si>
  <si>
    <t>SIM204951</t>
  </si>
  <si>
    <t>SIM204952</t>
  </si>
  <si>
    <t>PROD_0298</t>
  </si>
  <si>
    <t>SDR 13.5</t>
  </si>
  <si>
    <t>SIM204953</t>
  </si>
  <si>
    <t>SIM204954</t>
  </si>
  <si>
    <t>SIM204955</t>
  </si>
  <si>
    <t>SIM204956</t>
  </si>
  <si>
    <t>SIM204957</t>
  </si>
  <si>
    <t>SIM204958</t>
  </si>
  <si>
    <t>SIM204959</t>
  </si>
  <si>
    <t>SIM204960</t>
  </si>
  <si>
    <t>SIM204961</t>
  </si>
  <si>
    <t>SIM204962</t>
  </si>
  <si>
    <t>SIM204963</t>
  </si>
  <si>
    <t>SIM204964</t>
  </si>
  <si>
    <t>PROD_0299</t>
  </si>
  <si>
    <t>SCH 40</t>
  </si>
  <si>
    <t>SIM204972</t>
  </si>
  <si>
    <t>SIM204973</t>
  </si>
  <si>
    <t>SIM204974</t>
  </si>
  <si>
    <t>SIM204991</t>
  </si>
  <si>
    <t>SIM205192</t>
  </si>
  <si>
    <t>SIM204992</t>
  </si>
  <si>
    <t>SIM204978</t>
  </si>
  <si>
    <t>SIM204979</t>
  </si>
  <si>
    <t>SIM204980</t>
  </si>
  <si>
    <t>SIM205193</t>
  </si>
  <si>
    <t>PROD_0300</t>
  </si>
  <si>
    <t>SCH 80</t>
  </si>
  <si>
    <t>SIM204975</t>
  </si>
  <si>
    <t>SIM204976</t>
  </si>
  <si>
    <t>SIM204977</t>
  </si>
  <si>
    <t>SIM204990</t>
  </si>
  <si>
    <t xml:space="preserve">SIM205000 </t>
  </si>
  <si>
    <t>250 mm (10 inch)</t>
  </si>
  <si>
    <t>SIM204993</t>
  </si>
  <si>
    <t>SIM204981</t>
  </si>
  <si>
    <t>SIM204982</t>
  </si>
  <si>
    <t>SIM204983</t>
  </si>
  <si>
    <t>SIM205135</t>
  </si>
  <si>
    <t xml:space="preserve">SIM205406 </t>
  </si>
  <si>
    <t>SIM205434</t>
  </si>
  <si>
    <t>PROD_0301</t>
  </si>
  <si>
    <t>Bends &amp; Connectors</t>
  </si>
  <si>
    <t>Coupler (SOC)</t>
  </si>
  <si>
    <t>M512111001^</t>
  </si>
  <si>
    <t>PLB_AST_CPLR</t>
  </si>
  <si>
    <t>M512111002^</t>
  </si>
  <si>
    <t>M512111003^</t>
  </si>
  <si>
    <t>M512111004^</t>
  </si>
  <si>
    <t>M512111005^</t>
  </si>
  <si>
    <t>M512111006^</t>
  </si>
  <si>
    <t>PROD_0302</t>
  </si>
  <si>
    <t>Cross (SOC)</t>
  </si>
  <si>
    <t>M512112401^</t>
  </si>
  <si>
    <t>PLB_AST_CRSS</t>
  </si>
  <si>
    <t>M512112402^</t>
  </si>
  <si>
    <t>M512112403^</t>
  </si>
  <si>
    <t>M512112404</t>
  </si>
  <si>
    <t>M512112405</t>
  </si>
  <si>
    <t>M512112406</t>
  </si>
  <si>
    <t>PROD_0303</t>
  </si>
  <si>
    <t>Union (SOC)</t>
  </si>
  <si>
    <t>M512112601</t>
  </si>
  <si>
    <t>PLB_AST_UN</t>
  </si>
  <si>
    <t>M512112602</t>
  </si>
  <si>
    <t>M512112603</t>
  </si>
  <si>
    <t>M512112604</t>
  </si>
  <si>
    <t>M512112605</t>
  </si>
  <si>
    <t>M512112606</t>
  </si>
  <si>
    <t>PROD_0304</t>
  </si>
  <si>
    <t>Elbow 90 (SOC)</t>
  </si>
  <si>
    <t>M512110501^</t>
  </si>
  <si>
    <t>PLB_AST_ELBW90</t>
  </si>
  <si>
    <t>M512110502^</t>
  </si>
  <si>
    <t>M512110503^</t>
  </si>
  <si>
    <t>M512110504^</t>
  </si>
  <si>
    <t>M512110505^</t>
  </si>
  <si>
    <t>M512110506^</t>
  </si>
  <si>
    <t>PROD_0305</t>
  </si>
  <si>
    <t>Male Adaptor (THD X SOC)</t>
  </si>
  <si>
    <t>M512111301^</t>
  </si>
  <si>
    <t>PLB_AST_MALADAP</t>
  </si>
  <si>
    <t>M512111302^</t>
  </si>
  <si>
    <t>M512111303^</t>
  </si>
  <si>
    <t>M512111304^</t>
  </si>
  <si>
    <t>M512111305^</t>
  </si>
  <si>
    <t>M512111306^</t>
  </si>
  <si>
    <t>PROD_0306</t>
  </si>
  <si>
    <t xml:space="preserve">Tank Adaptor (THD X THD) </t>
  </si>
  <si>
    <t>M512112501</t>
  </si>
  <si>
    <t>PLB_AST_TNKADAP</t>
  </si>
  <si>
    <t>M512112502</t>
  </si>
  <si>
    <t>M512112503</t>
  </si>
  <si>
    <t>M512112504</t>
  </si>
  <si>
    <t>M512112505</t>
  </si>
  <si>
    <t>M512112506</t>
  </si>
  <si>
    <t>PROD_0307</t>
  </si>
  <si>
    <t>End Cap (SOC)</t>
  </si>
  <si>
    <t>M512114101^</t>
  </si>
  <si>
    <t>PLB_AST_NDCP</t>
  </si>
  <si>
    <t>M512114102^</t>
  </si>
  <si>
    <t>M512114103^</t>
  </si>
  <si>
    <t>M512114104^</t>
  </si>
  <si>
    <t>M512114105^</t>
  </si>
  <si>
    <t>M512114106^</t>
  </si>
  <si>
    <t>PROD_0308</t>
  </si>
  <si>
    <t>Reducer Male Adaptor (THD X SOC)</t>
  </si>
  <si>
    <t>20 mm X 15 mm (.75 inch X .5 inch)</t>
  </si>
  <si>
    <t>M512111314^</t>
  </si>
  <si>
    <t>PLB_AST_REDMLADAP</t>
  </si>
  <si>
    <t>25 mm X 20 mm (1 inch X .75 inch)</t>
  </si>
  <si>
    <t>M512111316^</t>
  </si>
  <si>
    <t>PROD_0309</t>
  </si>
  <si>
    <t>Reducer Elbow 90˚ (SOC)</t>
  </si>
  <si>
    <t>M512110614^</t>
  </si>
  <si>
    <t>PLB_AST_REDELB90</t>
  </si>
  <si>
    <t>25 mm X 15 mm (1 inch X .5 inch)</t>
  </si>
  <si>
    <t>M512110615^</t>
  </si>
  <si>
    <t>M512110616^</t>
  </si>
  <si>
    <t>32 mm X 15 mm (1.25 inch X .5 inch)</t>
  </si>
  <si>
    <t>A512110617*</t>
  </si>
  <si>
    <t>32 mm X 20 mm (1.25 inch X .75 inch)</t>
  </si>
  <si>
    <t>M512110618^</t>
  </si>
  <si>
    <t>32 mm X 25 mm (1.25 inch X 1 inch)</t>
  </si>
  <si>
    <t>M512110619^</t>
  </si>
  <si>
    <t>50 mm X 25 mm (2 inch X 1 inch)</t>
  </si>
  <si>
    <t>A512110626*</t>
  </si>
  <si>
    <t>PROD_0310</t>
  </si>
  <si>
    <t>Reducer Elbow 45˚ (SOC)</t>
  </si>
  <si>
    <t>M512112301^</t>
  </si>
  <si>
    <t>PLB_AST_REDELB45</t>
  </si>
  <si>
    <t>M512112302^</t>
  </si>
  <si>
    <t>M512112303^</t>
  </si>
  <si>
    <t>M512112304^</t>
  </si>
  <si>
    <t>M512112305^</t>
  </si>
  <si>
    <t>M512112306^</t>
  </si>
  <si>
    <t>PROD_0311</t>
  </si>
  <si>
    <t>Female Adaptor (THD X SOC)</t>
  </si>
  <si>
    <t>M512111601^</t>
  </si>
  <si>
    <t>PLB_AST_FEMADAP</t>
  </si>
  <si>
    <t>M512111602^</t>
  </si>
  <si>
    <t>M512111603^</t>
  </si>
  <si>
    <t>M512111604^</t>
  </si>
  <si>
    <t>M512111605^</t>
  </si>
  <si>
    <t>M512111606^</t>
  </si>
  <si>
    <t>PROD_0312</t>
  </si>
  <si>
    <t>Reducer Tee (SOC)</t>
  </si>
  <si>
    <t>15 mm X 15 mm X 20 mm
(.5 inch X .5 inch X .75 inch)</t>
  </si>
  <si>
    <t>A512110291*</t>
  </si>
  <si>
    <t>PLB_AST_REDTEE</t>
  </si>
  <si>
    <t>20 mm X 15 mm X 20 mm
(.75 inch X .5 inch X .75 inch)</t>
  </si>
  <si>
    <t>A512110292*</t>
  </si>
  <si>
    <t>20 mm X 15 mm X 15 mm
(.75 inch X .5 inch X .5 inch)</t>
  </si>
  <si>
    <t>A512110293*</t>
  </si>
  <si>
    <t>20 mm X 20 mm X 15 mm
(.75 inch X .75 inch X .5 inch)</t>
  </si>
  <si>
    <t>M512110214^</t>
  </si>
  <si>
    <t>25 mm X 25 mm X 15 mm
(1 inch X 1 inch X .5 inch)</t>
  </si>
  <si>
    <t>M512110215^</t>
  </si>
  <si>
    <t>25 mm X 25 mm X 20 mm
(1 inch X 1 inch X .75 inch)</t>
  </si>
  <si>
    <t>M512110216^</t>
  </si>
  <si>
    <t>32 mm X 32 mm X 15 mm
(1.25 inch X 1.25 inch X .5 inch)</t>
  </si>
  <si>
    <t>M512110217^</t>
  </si>
  <si>
    <t>32 mm X 32 mm X 20 mm
(1.25 inch X 1.25 inch X.75 inch)</t>
  </si>
  <si>
    <t>M512110218^</t>
  </si>
  <si>
    <t>32 mm X 32 mm X 25 mm
(1.25 inch X 1.25 inch X 1 inch)</t>
  </si>
  <si>
    <t>M512110219^</t>
  </si>
  <si>
    <t>40 mm X 40 mm X 15 mm
(1.5 inch X 1.5 inch X .5 inch)</t>
  </si>
  <si>
    <t>M512110220^</t>
  </si>
  <si>
    <t>40 mm X 40 mm X 20 mm
(1.5 inch X 1.5 inch X .75 inch)</t>
  </si>
  <si>
    <t>M512110221^</t>
  </si>
  <si>
    <t>40 mm X 40 mm X 25 mm
(1.5 inch X 1.5 inch X 1 inch)</t>
  </si>
  <si>
    <t>M512110222^</t>
  </si>
  <si>
    <t>40 mm X 40 mm X 32 mm
(1.5 inch X 1.5 inch X 1.25 inch)</t>
  </si>
  <si>
    <t>M512110223^</t>
  </si>
  <si>
    <t>50 mm X 50 mm X 15 mm
(2 inch X 2 inch X .5 inch)</t>
  </si>
  <si>
    <t>M512110224^</t>
  </si>
  <si>
    <t>50 mm X 50 mm X 20 mm
(2 inch X 2 inch X .75 inch)</t>
  </si>
  <si>
    <t>M512110225^</t>
  </si>
  <si>
    <t>50 mm X 50 mm X 25 mm
(2 inch X 2 inch X 1 inch)</t>
  </si>
  <si>
    <t>M512110226^</t>
  </si>
  <si>
    <t>50 mm X 50 mm X 32 mm
(2 inch X 2 inch X 1.25 inch)</t>
  </si>
  <si>
    <t>M512110227^</t>
  </si>
  <si>
    <t>50 mm X 50 mm X 40 mm
(2 inch X 2 inch X 1.5 inch)</t>
  </si>
  <si>
    <t>M512110228^</t>
  </si>
  <si>
    <t>PROD_0313</t>
  </si>
  <si>
    <t>Tee (SOC)</t>
  </si>
  <si>
    <t>M512110101^</t>
  </si>
  <si>
    <t>PLB_AST_TEE</t>
  </si>
  <si>
    <t>M512110102^</t>
  </si>
  <si>
    <t>M512110103^</t>
  </si>
  <si>
    <t>M512110104^</t>
  </si>
  <si>
    <t>M512110105^</t>
  </si>
  <si>
    <t>M512110106^</t>
  </si>
  <si>
    <t>PROD_0314</t>
  </si>
  <si>
    <t>Reducer Female Adaptor (THD X SOC)</t>
  </si>
  <si>
    <t>M512111614^</t>
  </si>
  <si>
    <t>PROD_0315</t>
  </si>
  <si>
    <t>Brass FPT Elbow (SOC) 90°</t>
  </si>
  <si>
    <t>15 mm X 15 mm (.5 inch X .5 inch)</t>
  </si>
  <si>
    <t>M512110701^</t>
  </si>
  <si>
    <t>PLB_AST_BRSFPTELBW90</t>
  </si>
  <si>
    <t>M512110714^</t>
  </si>
  <si>
    <t>20 mm X 20 mm (.75 mm X .75 mm)</t>
  </si>
  <si>
    <t>M512110702^</t>
  </si>
  <si>
    <t>M512110715^</t>
  </si>
  <si>
    <t>M512110716^</t>
  </si>
  <si>
    <t>25 mm X 25 mm (1 inch X 1 inch)</t>
  </si>
  <si>
    <t>M512110703^</t>
  </si>
  <si>
    <t>M512110517^</t>
  </si>
  <si>
    <t>M512110518^</t>
  </si>
  <si>
    <t>32 mm X 32 mm (1.25 inch X 1.25 inch)</t>
  </si>
  <si>
    <t>M512110704^</t>
  </si>
  <si>
    <t>PROD_0316</t>
  </si>
  <si>
    <t>Brass FPT Tee (SOC)</t>
  </si>
  <si>
    <t>15 mm X 15 mm X 15 mm
(.5 inch X .5 inch X .5 inch)</t>
  </si>
  <si>
    <t>M512110301^</t>
  </si>
  <si>
    <t>PLB_AST_BRSFPTEE</t>
  </si>
  <si>
    <t>M512110314^</t>
  </si>
  <si>
    <t>20 mm X 20 mm X 20 mm
(.75 inch X .75 inch X .75 inch)</t>
  </si>
  <si>
    <t>M512110302^</t>
  </si>
  <si>
    <t>M512110315^</t>
  </si>
  <si>
    <t>M512110316^</t>
  </si>
  <si>
    <t>25 mm X 25 mm X 20 mm
(1 inch X 1 inch X 1 inch)</t>
  </si>
  <si>
    <t>M512110303^</t>
  </si>
  <si>
    <t>M512110304^</t>
  </si>
  <si>
    <t>32 mm X 32 mm X 32 mm
(1.25 inch X 1.25 inch X 1.25 inch)</t>
  </si>
  <si>
    <t>M512110317^</t>
  </si>
  <si>
    <t>PROD_0317</t>
  </si>
  <si>
    <t>End Plug Threaded</t>
  </si>
  <si>
    <t>M214002901</t>
  </si>
  <si>
    <t>PLB_AST_NDPLGTHRD</t>
  </si>
  <si>
    <t>M214002902</t>
  </si>
  <si>
    <t>PROD_0318</t>
  </si>
  <si>
    <t>Reducer Coupler (Brass THDXSOC)</t>
  </si>
  <si>
    <t>M512111214^</t>
  </si>
  <si>
    <t>PLB_AST_REDCPLBRS</t>
  </si>
  <si>
    <t>M512111215^</t>
  </si>
  <si>
    <t>M512111216^</t>
  </si>
  <si>
    <t>PROD_0319</t>
  </si>
  <si>
    <t>Coupler</t>
  </si>
  <si>
    <t>SIM104918</t>
  </si>
  <si>
    <t>PLB_PRNC_CPLR</t>
  </si>
  <si>
    <t>SIM104919</t>
  </si>
  <si>
    <t>SIM104920</t>
  </si>
  <si>
    <t>SIM104921</t>
  </si>
  <si>
    <t>SIM104922</t>
  </si>
  <si>
    <t>SIM104923</t>
  </si>
  <si>
    <t>SIM105025</t>
  </si>
  <si>
    <t>SIM105026</t>
  </si>
  <si>
    <t>SIM105027</t>
  </si>
  <si>
    <t>SIM106984</t>
  </si>
  <si>
    <t>PROD_0320</t>
  </si>
  <si>
    <t>Elbow (SCH 40)</t>
  </si>
  <si>
    <t>SIM105124</t>
  </si>
  <si>
    <t>PLB_PRNC_ELBW_SCH90</t>
  </si>
  <si>
    <t>SIM105125</t>
  </si>
  <si>
    <t>SIM105126</t>
  </si>
  <si>
    <t>SIM105108</t>
  </si>
  <si>
    <t>PROD_0321</t>
  </si>
  <si>
    <t>Tee (CH 40)</t>
  </si>
  <si>
    <t>SIM105127</t>
  </si>
  <si>
    <t>PLB_PRNC_TEE_SCH40</t>
  </si>
  <si>
    <t>SIM105128</t>
  </si>
  <si>
    <t>SIM105129</t>
  </si>
  <si>
    <t>SIM105109</t>
  </si>
  <si>
    <t>PROD_0322</t>
  </si>
  <si>
    <t>Coupler (SCH 40)</t>
  </si>
  <si>
    <t>SIM105121</t>
  </si>
  <si>
    <t>PLB_PRNC_CPLR_40</t>
  </si>
  <si>
    <t>SIM105122</t>
  </si>
  <si>
    <t>SIM105123</t>
  </si>
  <si>
    <t>SIM105106</t>
  </si>
  <si>
    <t>PROD_0323</t>
  </si>
  <si>
    <t>Elbow 45˚ (SDR 11)</t>
  </si>
  <si>
    <t>SIM105004</t>
  </si>
  <si>
    <t>PLB_PRNC_ELBW_45</t>
  </si>
  <si>
    <t>SIM105005</t>
  </si>
  <si>
    <t>SIM105006</t>
  </si>
  <si>
    <t xml:space="preserve">SIM105013 </t>
  </si>
  <si>
    <t>SIM105014</t>
  </si>
  <si>
    <t>SIM105015</t>
  </si>
  <si>
    <t>SIM106720</t>
  </si>
  <si>
    <t>SIM106721</t>
  </si>
  <si>
    <t>SIM107086 -</t>
  </si>
  <si>
    <t>SIM107088</t>
  </si>
  <si>
    <t>SIM107023</t>
  </si>
  <si>
    <t>PROD_0324</t>
  </si>
  <si>
    <t>Union (SDR 11)</t>
  </si>
  <si>
    <t>SIM105008</t>
  </si>
  <si>
    <t>PLB_PRNC_UNIN</t>
  </si>
  <si>
    <t>SIM105009</t>
  </si>
  <si>
    <t>SIM105010</t>
  </si>
  <si>
    <t>SIM105016</t>
  </si>
  <si>
    <t>SIM105017</t>
  </si>
  <si>
    <t>SIM105018</t>
  </si>
  <si>
    <t>SIM106382</t>
  </si>
  <si>
    <t>SIM106374</t>
  </si>
  <si>
    <t>SIM106378</t>
  </si>
  <si>
    <t>PROD_0325</t>
  </si>
  <si>
    <t>Elbow (SDR 11 &amp; SCH 80)</t>
  </si>
  <si>
    <t>SIM104924</t>
  </si>
  <si>
    <t>PLB_PRNC_ELBW_SDR11</t>
  </si>
  <si>
    <t>SIM104925</t>
  </si>
  <si>
    <t>SIM104926</t>
  </si>
  <si>
    <t>SIM104927</t>
  </si>
  <si>
    <t>SIM104928</t>
  </si>
  <si>
    <t>SIM104929</t>
  </si>
  <si>
    <t>SIM105028</t>
  </si>
  <si>
    <t>SIM105029</t>
  </si>
  <si>
    <t>SIM105030</t>
  </si>
  <si>
    <t>SIM107068</t>
  </si>
  <si>
    <t>PROD_0326</t>
  </si>
  <si>
    <t>Tee (SDR 11 &amp; SCH 80)</t>
  </si>
  <si>
    <t>SIM104930</t>
  </si>
  <si>
    <t>PLB_PRNC_TEE_SDR11</t>
  </si>
  <si>
    <t>SIM104931</t>
  </si>
  <si>
    <t>SIM104932</t>
  </si>
  <si>
    <t>SIM104933</t>
  </si>
  <si>
    <t>SIM104934</t>
  </si>
  <si>
    <t>SIM104935</t>
  </si>
  <si>
    <t>SIM105040</t>
  </si>
  <si>
    <t>SIM105041</t>
  </si>
  <si>
    <t>SIM105042</t>
  </si>
  <si>
    <t>SIM107069</t>
  </si>
  <si>
    <t>SIM107022</t>
  </si>
  <si>
    <t>PROD_0327</t>
  </si>
  <si>
    <t>End Cap (SDR 11 &amp; SCH 80)</t>
  </si>
  <si>
    <t>SIM104936</t>
  </si>
  <si>
    <t>PLB_PRNC_NDCP_SDR11</t>
  </si>
  <si>
    <t>SIM104937</t>
  </si>
  <si>
    <t>SIM104938</t>
  </si>
  <si>
    <t>SIM104939</t>
  </si>
  <si>
    <t>SIM104940</t>
  </si>
  <si>
    <t>SIM104941</t>
  </si>
  <si>
    <t>SIM105031</t>
  </si>
  <si>
    <t>SIM105032</t>
  </si>
  <si>
    <t>SIM105033</t>
  </si>
  <si>
    <t>PROD_0328</t>
  </si>
  <si>
    <t>Male Threaded Adaptor (SDR 11 &amp; SCH 80)</t>
  </si>
  <si>
    <t>SIM104942</t>
  </si>
  <si>
    <t>PLB_PRNC_MLTHADAP_SDR11</t>
  </si>
  <si>
    <t>SIM104943</t>
  </si>
  <si>
    <t>SIM104944</t>
  </si>
  <si>
    <t>SIM104945</t>
  </si>
  <si>
    <t>SIM104946</t>
  </si>
  <si>
    <t>SIM104947</t>
  </si>
  <si>
    <t>SIM105037</t>
  </si>
  <si>
    <t>SIM105038</t>
  </si>
  <si>
    <t>SIM105039</t>
  </si>
  <si>
    <t>PROD_0329</t>
  </si>
  <si>
    <t>Tank Connector</t>
  </si>
  <si>
    <t>SIM105021</t>
  </si>
  <si>
    <t>PLB_PRNC_TNKCNN_SCH80</t>
  </si>
  <si>
    <t>SIM105022</t>
  </si>
  <si>
    <t>SIM105019</t>
  </si>
  <si>
    <t>SIM105020</t>
  </si>
  <si>
    <t>SIM105023</t>
  </si>
  <si>
    <t>SIM105024</t>
  </si>
  <si>
    <t>PROD_0330</t>
  </si>
  <si>
    <t>Reducer (SDR 11 &amp; SCH 80)</t>
  </si>
  <si>
    <t>SIM104954</t>
  </si>
  <si>
    <t>PLB_PRNC_RED_SDR11</t>
  </si>
  <si>
    <t>SIM104955</t>
  </si>
  <si>
    <t>SIM104956</t>
  </si>
  <si>
    <t>SIM104957</t>
  </si>
  <si>
    <t>SIM104958</t>
  </si>
  <si>
    <t>SIM104959</t>
  </si>
  <si>
    <t>SIM104966</t>
  </si>
  <si>
    <t>PROD_0331</t>
  </si>
  <si>
    <t>Male Threaded Adaptor Heavy (SDR 11)</t>
  </si>
  <si>
    <t>SIM105073</t>
  </si>
  <si>
    <t>PLB_PRNC_MLTHADP_SDR11</t>
  </si>
  <si>
    <t>SIM105074</t>
  </si>
  <si>
    <t>SIM105075</t>
  </si>
  <si>
    <t>SIM105076</t>
  </si>
  <si>
    <t>SIM105077</t>
  </si>
  <si>
    <t>SIM105085</t>
  </si>
  <si>
    <t>PROD_0332</t>
  </si>
  <si>
    <t>Female Threaded Adaptor (SDR 11)</t>
  </si>
  <si>
    <t>SIM105047</t>
  </si>
  <si>
    <t>PLB_PRNC_FMTHADP_SDR11</t>
  </si>
  <si>
    <t>SIM105048</t>
  </si>
  <si>
    <t>SIM105050</t>
  </si>
  <si>
    <t>SIM105062</t>
  </si>
  <si>
    <t>SIM105064</t>
  </si>
  <si>
    <t>SIM105066</t>
  </si>
  <si>
    <t>SIM105049</t>
  </si>
  <si>
    <t>SIM105051</t>
  </si>
  <si>
    <t>SIM105068</t>
  </si>
  <si>
    <t>PROD_0333</t>
  </si>
  <si>
    <t>Female Threaded Elbow (SDR 11)</t>
  </si>
  <si>
    <t>SIM105052</t>
  </si>
  <si>
    <t>PLB_PRNC_FMTHELB_SDR11</t>
  </si>
  <si>
    <t>SIM105053</t>
  </si>
  <si>
    <t>SIM105058</t>
  </si>
  <si>
    <t>SIM105060</t>
  </si>
  <si>
    <t>SIM105054</t>
  </si>
  <si>
    <t>SIM105059</t>
  </si>
  <si>
    <t>SIM105071</t>
  </si>
  <si>
    <t>SIM107058</t>
  </si>
  <si>
    <t>PROD_0334</t>
  </si>
  <si>
    <t>Female Threaded Tee (SDR 11)</t>
  </si>
  <si>
    <t>SIM105055</t>
  </si>
  <si>
    <t>PLB_PRNC_FMTHEE_SDR11</t>
  </si>
  <si>
    <t>SIM105072</t>
  </si>
  <si>
    <t>SIM105110</t>
  </si>
  <si>
    <t>SIM105061</t>
  </si>
  <si>
    <t>SIM105056</t>
  </si>
  <si>
    <t>SIM105057</t>
  </si>
  <si>
    <t>SIM105070</t>
  </si>
  <si>
    <t>PROD_0335</t>
  </si>
  <si>
    <t>Reducing Male Threaded Tee (SDR 11)</t>
  </si>
  <si>
    <t>SIM107292</t>
  </si>
  <si>
    <t>PLB_REDUCING_MALE_THREADED_TEE</t>
  </si>
  <si>
    <t>PROD_0336</t>
  </si>
  <si>
    <t>Female Threaded Elbow Extension (SDR 11)</t>
  </si>
  <si>
    <t>SIM105091</t>
  </si>
  <si>
    <t>PLB_PRNC_FMTHELBRED_SDR11</t>
  </si>
  <si>
    <t>SIM105092</t>
  </si>
  <si>
    <t>PROD_0337</t>
  </si>
  <si>
    <t>Solvent</t>
  </si>
  <si>
    <t>Pipefix</t>
  </si>
  <si>
    <t>Quantity</t>
  </si>
  <si>
    <t>50 ml</t>
  </si>
  <si>
    <t>M003607005</t>
  </si>
  <si>
    <t>PLB_SOL_AST_PPFX</t>
  </si>
  <si>
    <t>118 ml</t>
  </si>
  <si>
    <t>M003607010</t>
  </si>
  <si>
    <t>237 ml</t>
  </si>
  <si>
    <t>M003607015</t>
  </si>
  <si>
    <t>473 ml</t>
  </si>
  <si>
    <t>M003607020</t>
  </si>
  <si>
    <t>946 ml</t>
  </si>
  <si>
    <t>M003607025</t>
  </si>
  <si>
    <t>PROD_0338</t>
  </si>
  <si>
    <t>Weld-on</t>
  </si>
  <si>
    <t>M004901006</t>
  </si>
  <si>
    <t>PLB_SOL_AST_WLDON</t>
  </si>
  <si>
    <t>M004901011</t>
  </si>
  <si>
    <t>M004901005</t>
  </si>
  <si>
    <t>M004901010</t>
  </si>
  <si>
    <t>M004901015</t>
  </si>
  <si>
    <t>PROD_0339</t>
  </si>
  <si>
    <t>Supreme</t>
  </si>
  <si>
    <t>Medium Bodied (cPVC)</t>
  </si>
  <si>
    <t>7 ml</t>
  </si>
  <si>
    <t>PLB_SOL_SPRM_MEDBND</t>
  </si>
  <si>
    <t>15 ml</t>
  </si>
  <si>
    <t>30 ml</t>
  </si>
  <si>
    <t>60 ml</t>
  </si>
  <si>
    <t>100 ml</t>
  </si>
  <si>
    <t>250 ml</t>
  </si>
  <si>
    <t>PROD_0340</t>
  </si>
  <si>
    <t>Heavy Bodied (cPVC)</t>
  </si>
  <si>
    <t>PLB_SOL_SPRM_HVYBND</t>
  </si>
  <si>
    <t>PROD_0341</t>
  </si>
  <si>
    <t>Adhesive Tape</t>
  </si>
  <si>
    <t>Teflon Tape</t>
  </si>
  <si>
    <t>PLB_GNRC_TFLNTPE</t>
  </si>
  <si>
    <t>PROD_0342</t>
  </si>
  <si>
    <t>GI Box</t>
  </si>
  <si>
    <t>3 in X 3 in</t>
  </si>
  <si>
    <t xml:space="preserve"> Metal Modular Box can be used both in industries and individual houses/flats. Modular boxes are used behind switch boards during construction. It is made of GI sheet and is available in both 18 Gauge and 20 Gauge.</t>
  </si>
  <si>
    <t>4 in X 3 in</t>
  </si>
  <si>
    <t>5 in X 3 in</t>
  </si>
  <si>
    <t>5 in X 5 in</t>
  </si>
  <si>
    <t>8 in X 3 in</t>
  </si>
  <si>
    <t>8 in X 6 in</t>
  </si>
  <si>
    <t>9 in X 3 in</t>
  </si>
  <si>
    <t>PROD_0343</t>
  </si>
  <si>
    <t>Pipe</t>
  </si>
  <si>
    <t>PVC conduit pipe</t>
  </si>
  <si>
    <t>20 mm</t>
  </si>
  <si>
    <t>PVC electrical conduit pipes are rigid, non-conductive, and durable protective tubes made from polyvinyl chloride, used to route and safeguard electrical wiring from moisture, chemicals, and mechanical damage. Ideal for both indoor and outdoor, residential or industrial applications, they are lightweight, fire-resistant, and easy to install</t>
  </si>
  <si>
    <t>PROD_0344</t>
  </si>
  <si>
    <t>Clip</t>
  </si>
  <si>
    <t>Pvc  white Cable Clip</t>
  </si>
  <si>
    <t xml:space="preserve">Package </t>
  </si>
  <si>
    <t>100 Pcs</t>
  </si>
  <si>
    <t>CLIP_GEN_PVC_WHITE</t>
  </si>
  <si>
    <t>PROD_0345</t>
  </si>
  <si>
    <t>Tape</t>
  </si>
  <si>
    <t>Electrical Tape</t>
  </si>
  <si>
    <t>10 Pcs</t>
  </si>
  <si>
    <t>PROD_0346</t>
  </si>
  <si>
    <t>Fan</t>
  </si>
  <si>
    <t>Cieling Fan | Apex FX</t>
  </si>
  <si>
    <t>Motor Type</t>
  </si>
  <si>
    <t>Brushed</t>
  </si>
  <si>
    <t>elec_fan_1</t>
  </si>
  <si>
    <t>Smoke Brown</t>
  </si>
  <si>
    <t>elec_fan_2</t>
  </si>
  <si>
    <t>PROD_0347</t>
  </si>
  <si>
    <t>Cieling Fan | Pacific Air Déco</t>
  </si>
  <si>
    <t>elec_fan_4</t>
  </si>
  <si>
    <t>Ivory Gold</t>
  </si>
  <si>
    <t>elec_fan_5</t>
  </si>
  <si>
    <t>elec_fan_6</t>
  </si>
  <si>
    <t>PROD_0348</t>
  </si>
  <si>
    <t>Cieling Fan | Zeno BLDC</t>
  </si>
  <si>
    <t>BLDC</t>
  </si>
  <si>
    <t>‎Zeno BLDC</t>
  </si>
  <si>
    <t>elec_fan_7</t>
  </si>
  <si>
    <t>Brown</t>
  </si>
  <si>
    <t>elec_fan_8</t>
  </si>
  <si>
    <t>PROD_0349</t>
  </si>
  <si>
    <t>Cieling Fan | Tome Pro BLDC</t>
  </si>
  <si>
    <t>‎2135641811011_Parent</t>
  </si>
  <si>
    <t>elec_fan_9</t>
  </si>
  <si>
    <t>Space Grey</t>
  </si>
  <si>
    <t>elec_fan_10</t>
  </si>
  <si>
    <t>Topaz Gold</t>
  </si>
  <si>
    <t>elec_fan_11</t>
  </si>
  <si>
    <t>PROD_0350</t>
  </si>
  <si>
    <t>Cieling Fan | UNO BLDC</t>
  </si>
  <si>
    <t>Glacier Grey</t>
  </si>
  <si>
    <t>‎2134861411010_Parent</t>
  </si>
  <si>
    <t>elec_fan_12</t>
  </si>
  <si>
    <t>elec_fan_13</t>
  </si>
  <si>
    <t>PROD_0351</t>
  </si>
  <si>
    <t>Crompton</t>
  </si>
  <si>
    <t>Cieling Fan | Highspeed Toro</t>
  </si>
  <si>
    <t>Magic Brown</t>
  </si>
  <si>
    <t>CFHSTOR48MBRAD1S</t>
  </si>
  <si>
    <t>ELCT_CF_CRMP_TORO_1</t>
  </si>
  <si>
    <t>Birken Effect</t>
  </si>
  <si>
    <t>CFHSTOR48BKEAD1S</t>
  </si>
  <si>
    <t>ELCT_CF_CRMP_TORO_2</t>
  </si>
  <si>
    <t>Lustre Borwn</t>
  </si>
  <si>
    <t>SEAWIND48LB</t>
  </si>
  <si>
    <t>ELCT_CF_CRMP_TORO_3</t>
  </si>
  <si>
    <t>Silver Magic White</t>
  </si>
  <si>
    <t>CFHSTOR48MWTAD1S</t>
  </si>
  <si>
    <t>ELCT_CF_CRMP_TORO_4</t>
  </si>
  <si>
    <t>Warm Grey</t>
  </si>
  <si>
    <t>CFHSTOR48WGRAD1S</t>
  </si>
  <si>
    <t>ELCT_CF_CRMP_TORO_5</t>
  </si>
  <si>
    <t>PROD_0352</t>
  </si>
  <si>
    <t>Cieling Fan | Surebreeze Sea Sapphira</t>
  </si>
  <si>
    <t>CFSBSSP48BRN1Z</t>
  </si>
  <si>
    <t>ELCT_CF_CRMP_SRBRZ_1</t>
  </si>
  <si>
    <t>Ivory White</t>
  </si>
  <si>
    <t>CFSBSSP48IVY1Z</t>
  </si>
  <si>
    <t>ELCT_CF_CRMP_SRBRZ_2</t>
  </si>
  <si>
    <t>PROD_0353</t>
  </si>
  <si>
    <t>Cieling Fan | Hyperjet BLDC</t>
  </si>
  <si>
    <t>Opal White</t>
  </si>
  <si>
    <t>CFENHP35W48OPWRM</t>
  </si>
  <si>
    <t>ELCT_CF_CRMP_HYPRJT_1</t>
  </si>
  <si>
    <t>CFENHP35W48BRNRM</t>
  </si>
  <si>
    <t>ELCT_CF_CRMP_HYPRJT_2</t>
  </si>
  <si>
    <t>Matte Black</t>
  </si>
  <si>
    <t>CFENHP35W48MBKRM</t>
  </si>
  <si>
    <t>ELCT_CF_CRMP_HYPRJT_3</t>
  </si>
  <si>
    <t>CFENHP35W48IVYRM</t>
  </si>
  <si>
    <t>ELCT_CF_CRMP_HYPRJT_4</t>
  </si>
  <si>
    <t>PROD_0354</t>
  </si>
  <si>
    <t>Cieling Fan | Energion Nucleoid BLDC</t>
  </si>
  <si>
    <t>Metallic Grey</t>
  </si>
  <si>
    <t>CFENNC30W48MGR5SRM</t>
  </si>
  <si>
    <t>ELCT_CF_CRMP_NUCLD_1</t>
  </si>
  <si>
    <t>CFENNC30W48IVY5SRM</t>
  </si>
  <si>
    <t>ELCT_CF_CRMP_NUCLD_2</t>
  </si>
  <si>
    <t>Ivory Black</t>
  </si>
  <si>
    <t>CFENNC30W48IBK5SRM</t>
  </si>
  <si>
    <t>ELCT_CF_CRMP_NUCLD_3</t>
  </si>
  <si>
    <t>CFENNC30W48MBK5SRM</t>
  </si>
  <si>
    <t>ELCT_CF_CRMP_NUCLD_4</t>
  </si>
  <si>
    <t>Silver White</t>
  </si>
  <si>
    <t>CFENNC30W48SWM5SRM</t>
  </si>
  <si>
    <t>ELCT_CF_CRMP_NUCLD_5</t>
  </si>
  <si>
    <t>White Black</t>
  </si>
  <si>
    <t>CFENNC30W48WBK5SRM</t>
  </si>
  <si>
    <t>ELCT_CF_CRMP_NUCLD_6</t>
  </si>
  <si>
    <t>PROD_0355</t>
  </si>
  <si>
    <t>Cieling Fan | Superb Plus</t>
  </si>
  <si>
    <t>FCEECST233M</t>
  </si>
  <si>
    <t>ELCT_CF_PLCB_SUP_1</t>
  </si>
  <si>
    <t>Snow White</t>
  </si>
  <si>
    <t>FCEECST232M</t>
  </si>
  <si>
    <t>ELCT_CF_PLCB_SUP_2</t>
  </si>
  <si>
    <t>PROD_0356</t>
  </si>
  <si>
    <t>Cieling Fan | Nippy</t>
  </si>
  <si>
    <t>Nippy</t>
  </si>
  <si>
    <t>ELCT_CF_PLCB_NIP_1</t>
  </si>
  <si>
    <t>PROD_0357</t>
  </si>
  <si>
    <t>Cieling Fan | Wizzy Plus</t>
  </si>
  <si>
    <t>Matt White Black</t>
  </si>
  <si>
    <t>FCBLDCES106M</t>
  </si>
  <si>
    <t>ELCT_CF_PLCB_WZYPLS_1</t>
  </si>
  <si>
    <t>Beige Rose Gold</t>
  </si>
  <si>
    <t>FCBLDCES107M</t>
  </si>
  <si>
    <t>ELCT_CF_PLCB_WZYPLS_2</t>
  </si>
  <si>
    <t>PROD_0358</t>
  </si>
  <si>
    <t>Cieling Fan | Wizzy Plus LED</t>
  </si>
  <si>
    <t>FCBLDCES114M</t>
  </si>
  <si>
    <t>ELCT_CF_PLCB_WZYPLSLD_1</t>
  </si>
  <si>
    <t>FCBLDCES112M</t>
  </si>
  <si>
    <t>ELCT_CF_PLCB_WZYPLSLD_2</t>
  </si>
  <si>
    <t>FCBLDCES113M</t>
  </si>
  <si>
    <t>ELCT_CF_PLCB_WZYPLSLD_3</t>
  </si>
  <si>
    <t>PROD_0359</t>
  </si>
  <si>
    <t>Cieling Fan | Wizzy Prime</t>
  </si>
  <si>
    <t>ELCT_CF_PLCB_WZYPR_1</t>
  </si>
  <si>
    <t>PROD_0360</t>
  </si>
  <si>
    <t>Cieling Fan | Reo Tejas</t>
  </si>
  <si>
    <t>Brushless</t>
  </si>
  <si>
    <t>Matte Blue</t>
  </si>
  <si>
    <t>FRCTJ1SMBI48</t>
  </si>
  <si>
    <t>ELCT_CF_HVL_ROTJ_1</t>
  </si>
  <si>
    <t>Bianco</t>
  </si>
  <si>
    <t>FRCTJ1SBNC48</t>
  </si>
  <si>
    <t>ELCT_CF_HVL_ROTJ_2</t>
  </si>
  <si>
    <t>FRCTJSTBRN48</t>
  </si>
  <si>
    <t>ELCT_CF_HVL_ROTJ_3</t>
  </si>
  <si>
    <t>FRCUTSTSBW48</t>
  </si>
  <si>
    <t>ELCT_CF_HVL_ROTJ_4</t>
  </si>
  <si>
    <t>FRCTJ1SWHT48</t>
  </si>
  <si>
    <t>ELCT_CF_HVL_ROTJ_5</t>
  </si>
  <si>
    <t>PROD_0361</t>
  </si>
  <si>
    <t>Cieling Fan | Ambrose</t>
  </si>
  <si>
    <t>Cola Espresso Brown</t>
  </si>
  <si>
    <t>FHCAM1SECC48E</t>
  </si>
  <si>
    <t>ELCT_CF_HVL_AMB_1</t>
  </si>
  <si>
    <t>Gold Mist Wood</t>
  </si>
  <si>
    <t>‎FHCAM1SGMW48E</t>
  </si>
  <si>
    <t>ELCT_CF_HVL_AMB_2</t>
  </si>
  <si>
    <t>PROD_0362</t>
  </si>
  <si>
    <t>Cieling Fan | Ambrose BLDC</t>
  </si>
  <si>
    <t>Midnight</t>
  </si>
  <si>
    <t>FHCAM5SMNT48E</t>
  </si>
  <si>
    <t>ELCT_CF_HVL_AMBLD_1</t>
  </si>
  <si>
    <t>FHCAM5SCHM48E</t>
  </si>
  <si>
    <t>ELCT_CF_HVL_AMBLD_2</t>
  </si>
  <si>
    <t>FHCAM5SCUP48E</t>
  </si>
  <si>
    <t>ELCT_CF_HVL_AMBLD_3</t>
  </si>
  <si>
    <t>PROD_0363</t>
  </si>
  <si>
    <t>Cieling Fan | FAB BLDC</t>
  </si>
  <si>
    <t>1200DC30W350</t>
  </si>
  <si>
    <t>ELCT_CF_HVL_FABLD_1</t>
  </si>
  <si>
    <t>Blush Ivory</t>
  </si>
  <si>
    <t>FHCFW5SBIV48</t>
  </si>
  <si>
    <t>ELCT_CF_HVL_FABLD_2</t>
  </si>
  <si>
    <t>FHCFW5SBRN48E</t>
  </si>
  <si>
    <t>ELCT_CF_HVL_FABLD_3</t>
  </si>
  <si>
    <t>Cocoa Brown</t>
  </si>
  <si>
    <t>FHCFW5STBR48</t>
  </si>
  <si>
    <t>ELCT_CF_HVL_FABLD_4</t>
  </si>
  <si>
    <t>Denim Blue</t>
  </si>
  <si>
    <t>ELCT_CF_HVL_FABLD_5</t>
  </si>
  <si>
    <t>Elegant White</t>
  </si>
  <si>
    <t>ELCT_CF_HVL_FABLD_6</t>
  </si>
  <si>
    <t>Stone Grey</t>
  </si>
  <si>
    <t>FHCFW5SSTG48</t>
  </si>
  <si>
    <t>ELCT_CF_HVL_FABLD_7</t>
  </si>
  <si>
    <t>FHCFW5SBNC48E</t>
  </si>
  <si>
    <t>ELCT_CF_HVL_FABLD_8</t>
  </si>
  <si>
    <t>ELCT_CF_HVL_FABLD_9</t>
  </si>
  <si>
    <t>PROD_0364</t>
  </si>
  <si>
    <t>Atomberg</t>
  </si>
  <si>
    <t>Cieling Fan | Renesa Enzel BLDC</t>
  </si>
  <si>
    <t>Dark Walnut</t>
  </si>
  <si>
    <t>‎Renesa Enzel</t>
  </si>
  <si>
    <t>ELEC_FAN_ATOM_14</t>
  </si>
  <si>
    <t>Misty Teal</t>
  </si>
  <si>
    <t>ELEC_FAN_ATOM_15</t>
  </si>
  <si>
    <t>Gloss Black</t>
  </si>
  <si>
    <t>ELEC_FAN_ATOM_16</t>
  </si>
  <si>
    <t>Gloss Brown</t>
  </si>
  <si>
    <t>ELEC_FAN_ATOM_17</t>
  </si>
  <si>
    <t>Gloss Seasand Ivory</t>
  </si>
  <si>
    <t>ELEC_FAN_ATOM_18</t>
  </si>
  <si>
    <t>Gloss White</t>
  </si>
  <si>
    <t>ELEC_FAN_ATOM_19</t>
  </si>
  <si>
    <t>Pebble Grey</t>
  </si>
  <si>
    <t>ELEC_FAN_ATOM_20</t>
  </si>
  <si>
    <t>Honey Maplewood</t>
  </si>
  <si>
    <t>ELEC_FAN_ATOM_21</t>
  </si>
  <si>
    <t>PROD_0365</t>
  </si>
  <si>
    <t>Cieling Fan | Ameza BLDC</t>
  </si>
  <si>
    <t>Ameza</t>
  </si>
  <si>
    <t>ELEC_FAN_ATOM_22</t>
  </si>
  <si>
    <t>ELEC_FAN_ATOM_23</t>
  </si>
  <si>
    <t>ELEC_FAN_ATOM_24</t>
  </si>
  <si>
    <t>Seasoned Ivory</t>
  </si>
  <si>
    <t>ELEC_FAN_ATOM_25</t>
  </si>
  <si>
    <t>PROD_0366</t>
  </si>
  <si>
    <t>Cieling Fan | Efficio Alpha BLDC</t>
  </si>
  <si>
    <t>‎Efficio Alpha</t>
  </si>
  <si>
    <t>ELEC_FAN_ATOM_26</t>
  </si>
  <si>
    <t>ELEC_FAN_ATOM_27</t>
  </si>
  <si>
    <t>ELEC_FAN_ATOM_28</t>
  </si>
  <si>
    <t>ELEC_FAN_ATOM_29</t>
  </si>
  <si>
    <t>ELEC_FAN_ATOM_30</t>
  </si>
  <si>
    <t>PROD_0367</t>
  </si>
  <si>
    <t>Cieling Fan | Studio+ BLDC</t>
  </si>
  <si>
    <t>Aegean Blue</t>
  </si>
  <si>
    <t>‎Studio+</t>
  </si>
  <si>
    <t>ELEC_FAN_ATOM_31</t>
  </si>
  <si>
    <t>Sand Grey</t>
  </si>
  <si>
    <t>ELEC_FAN_ATOM_32</t>
  </si>
  <si>
    <t>Earth Brown</t>
  </si>
  <si>
    <t>ELEC_FAN_ATOM_33</t>
  </si>
  <si>
    <t>Onyx Black</t>
  </si>
  <si>
    <t>ELEC_FAN_ATOM_34</t>
  </si>
  <si>
    <t>Dark Teawood</t>
  </si>
  <si>
    <t>ELEC_FAN_ATOM_35</t>
  </si>
  <si>
    <t>Marble White</t>
  </si>
  <si>
    <t>ELEC_FAN_ATOM_36</t>
  </si>
  <si>
    <t>PROD_0368</t>
  </si>
  <si>
    <t>Flexible Pipe</t>
  </si>
  <si>
    <t>ELECT_FLEXIBLEPIPE</t>
  </si>
  <si>
    <t>PROD_0369</t>
  </si>
  <si>
    <t>Locks</t>
  </si>
  <si>
    <t>Qubo</t>
  </si>
  <si>
    <t>Smart Door Lock | Essential</t>
  </si>
  <si>
    <t>Ultra Copper</t>
  </si>
  <si>
    <t>MH_LOCKS_QUBA_1</t>
  </si>
  <si>
    <t>6 hrs</t>
  </si>
  <si>
    <t>Essential Copper</t>
  </si>
  <si>
    <t>MH_LOCKS_QUBA_2</t>
  </si>
  <si>
    <t>Select Copper</t>
  </si>
  <si>
    <t>MH_LOCKS_QUBA_3</t>
  </si>
  <si>
    <t>PROD_0370</t>
  </si>
  <si>
    <t>Smart Door Lock | Essential Black</t>
  </si>
  <si>
    <t>Essential Copper VDB Pro</t>
  </si>
  <si>
    <t>MH_LOCKS_QUBA_4</t>
  </si>
  <si>
    <t>Essential Black</t>
  </si>
  <si>
    <t>MH_LOCKS_QUBA_5</t>
  </si>
  <si>
    <t>Select Black</t>
  </si>
  <si>
    <t>MH_LOCKS_QUBA_6</t>
  </si>
  <si>
    <t>Optima</t>
  </si>
  <si>
    <t>MH_LOCKS_QUBA_7</t>
  </si>
  <si>
    <t>PROD_0371</t>
  </si>
  <si>
    <t>Smart Door Lock | Essential + Video Doorbell Pro Combo</t>
  </si>
  <si>
    <t>Select Black VDB Pro</t>
  </si>
  <si>
    <t>MH_LOCK_QUBO_1</t>
  </si>
  <si>
    <t>PROD_0372</t>
  </si>
  <si>
    <t>Qubo Smart Wi-Fi Video Doorbell Pro 2K from Hero Group | Instant Phone Visitor Video Call | Intruder Alarm | 3MP 1296P Resolution | 2-Way Talk | NightPulse Vision</t>
  </si>
  <si>
    <t>MH_LOCK_QUBO_2</t>
  </si>
  <si>
    <t>PROD_0373</t>
  </si>
  <si>
    <t>Handle Lock</t>
  </si>
  <si>
    <t>Satin Steel</t>
  </si>
  <si>
    <t>Style</t>
  </si>
  <si>
    <t>MH_LOOK_GOD_1</t>
  </si>
  <si>
    <t>EM 01 200 mm Door Handle Set 1CK</t>
  </si>
  <si>
    <t>MH_LOOK_GOD_2</t>
  </si>
  <si>
    <t>Matt Black Nickle</t>
  </si>
  <si>
    <t>NEH 19 200 mm Door Handle Set 1CK</t>
  </si>
  <si>
    <t>MH_LOOK_GOD_3</t>
  </si>
  <si>
    <t>PROD_0374</t>
  </si>
  <si>
    <t>Silver Chrome</t>
  </si>
  <si>
    <t>Key Lock</t>
  </si>
  <si>
    <t>MLKAIASC</t>
  </si>
  <si>
    <t>MH_LOCKS_DORSET_6</t>
  </si>
  <si>
    <t>Both Side Key</t>
  </si>
  <si>
    <t>‎Dorset Kaira Lever Handle</t>
  </si>
  <si>
    <t>MH_LOOK_GOD_SS</t>
  </si>
  <si>
    <t>Key and Knob</t>
  </si>
  <si>
    <t>HLKAIASC</t>
  </si>
  <si>
    <t>MH_LOOK_GOD_C</t>
  </si>
  <si>
    <t>Antique Brown</t>
  </si>
  <si>
    <t>‎Key and Knob</t>
  </si>
  <si>
    <t>MH_LOOK_GOD_A</t>
  </si>
  <si>
    <t>Coin and Knob</t>
  </si>
  <si>
    <t>MLZOVAPT</t>
  </si>
  <si>
    <t>MH_LOCKS_DORSET_5</t>
  </si>
  <si>
    <t>Satin Chrome</t>
  </si>
  <si>
    <t>HLOBLKSC</t>
  </si>
  <si>
    <t>MH_LOCKS_DORSET_4</t>
  </si>
  <si>
    <t>PROD_0375</t>
  </si>
  <si>
    <t>Latch Lock</t>
  </si>
  <si>
    <t>SM101NS</t>
  </si>
  <si>
    <t>MH_LOCKS_DORSET_3</t>
  </si>
  <si>
    <t>PROD_0376</t>
  </si>
  <si>
    <t>Rim Lock</t>
  </si>
  <si>
    <t>Nickel Silver</t>
  </si>
  <si>
    <t>Deadbolt</t>
  </si>
  <si>
    <t>PHA303NS</t>
  </si>
  <si>
    <t>MH_LOCKS_DORSET_2</t>
  </si>
  <si>
    <t>Antique</t>
  </si>
  <si>
    <t>PHA 303MPT</t>
  </si>
  <si>
    <t>MH_LOCKS_DORSET_1</t>
  </si>
  <si>
    <t>PROD_0377</t>
  </si>
  <si>
    <t>Grout</t>
  </si>
  <si>
    <t>Makphalt</t>
  </si>
  <si>
    <t>Tile Grout 1 Kg</t>
  </si>
  <si>
    <t>PAINT_GROUT_1</t>
  </si>
  <si>
    <t>Alpine Blue</t>
  </si>
  <si>
    <t>PAINT_GROUT_2</t>
  </si>
  <si>
    <t>Dark Brown</t>
  </si>
  <si>
    <t>PROD_0378</t>
  </si>
  <si>
    <t>PAINT_GROUT_3</t>
  </si>
  <si>
    <t>paint_grout_4</t>
  </si>
  <si>
    <t>PROD_0379</t>
  </si>
  <si>
    <t>Antique White</t>
  </si>
  <si>
    <t>PAINT_GROUT_TRI_1</t>
  </si>
  <si>
    <t>Tusk Ivory</t>
  </si>
  <si>
    <t>PROD_0380</t>
  </si>
  <si>
    <t>Roff</t>
  </si>
  <si>
    <t>Epoxy Grout 1 Kg</t>
  </si>
  <si>
    <t>Neutral</t>
  </si>
  <si>
    <t>paint_grout_Roff_EPO_1</t>
  </si>
  <si>
    <t>PROD_0381</t>
  </si>
  <si>
    <t>Roff Pidilite RainbowEpoxy Grout 1 Kg</t>
  </si>
  <si>
    <t>paint_grout_Roff_EPO_ivory_1</t>
  </si>
  <si>
    <t>paint_grout_Roff_EPO_SW_1</t>
  </si>
  <si>
    <t>PROD_0382</t>
  </si>
  <si>
    <t>Steel Grey</t>
  </si>
  <si>
    <t>paint_grout_Roff_SG_1</t>
  </si>
  <si>
    <t>paint_grout_Roff_SW_1.jpg</t>
  </si>
  <si>
    <t>PROD_0383</t>
  </si>
  <si>
    <t>Patti</t>
  </si>
  <si>
    <t>PAINT_PATTI_1</t>
  </si>
  <si>
    <t>8 inch</t>
  </si>
  <si>
    <t>PROD_0384</t>
  </si>
  <si>
    <t>Masking Tape</t>
  </si>
  <si>
    <t>PAINT_MASKINGTAPE_1</t>
  </si>
  <si>
    <t>PAINT_MASKINGTAPE_2</t>
  </si>
  <si>
    <t>PROD_0385</t>
  </si>
  <si>
    <t>Wembley</t>
  </si>
  <si>
    <t>Thinner</t>
  </si>
  <si>
    <t>1 ltr</t>
  </si>
  <si>
    <t>PAINT_THINNER_1</t>
  </si>
  <si>
    <t>5 ltr</t>
  </si>
  <si>
    <t>PROD_0386</t>
  </si>
  <si>
    <t>PAINT_THINNER_2</t>
  </si>
  <si>
    <t>PROD_0387</t>
  </si>
  <si>
    <t>Floor Covering Sheet</t>
  </si>
  <si>
    <t>4 ft X 8 ft</t>
  </si>
  <si>
    <t>PAINT_FLOORINGSHEET</t>
  </si>
  <si>
    <t>PROD_0388</t>
  </si>
  <si>
    <t>Waste Pipe</t>
  </si>
  <si>
    <t>Alton</t>
  </si>
  <si>
    <t>PLUM_WASTEPIPE</t>
  </si>
  <si>
    <t>PROD_0389</t>
  </si>
  <si>
    <t>PROD_0390</t>
  </si>
  <si>
    <t>Connection Pipe</t>
  </si>
  <si>
    <t>Geyser, Washbasin Connection Pipe | Pack of 2</t>
  </si>
  <si>
    <t>12 inch</t>
  </si>
  <si>
    <t>PLUM_CP_GEN</t>
  </si>
  <si>
    <t>24 inch</t>
  </si>
  <si>
    <t>30 inch</t>
  </si>
  <si>
    <t>36 inch</t>
  </si>
  <si>
    <t>PROD_0391</t>
  </si>
  <si>
    <t>Silicon Sealant</t>
  </si>
  <si>
    <t>Dr. Fixit</t>
  </si>
  <si>
    <t>Silicon Sealant | Pack of 1</t>
  </si>
  <si>
    <t>280 gm</t>
  </si>
  <si>
    <t>PL_SS_DF_1</t>
  </si>
  <si>
    <t>PROD_0392</t>
  </si>
  <si>
    <t>Loctite</t>
  </si>
  <si>
    <t>PL_SS_LOC_1</t>
  </si>
  <si>
    <t>Clear</t>
  </si>
  <si>
    <t>PL_SS_LOC_CLEAR</t>
  </si>
  <si>
    <t>260 gm</t>
  </si>
  <si>
    <t>PL_SS_LOC_BLACK_1</t>
  </si>
  <si>
    <t>PROD_0393</t>
  </si>
  <si>
    <t>Abro</t>
  </si>
  <si>
    <t>PLUM_SS_ABRO_WHITE</t>
  </si>
  <si>
    <t>PLUM_SS_ABRO_CLEAR</t>
  </si>
  <si>
    <t>PLUM_SS_ABRO_BLACK</t>
  </si>
  <si>
    <t>PROD_0394</t>
  </si>
  <si>
    <t>PROD_0395</t>
  </si>
  <si>
    <t>Faucets</t>
  </si>
  <si>
    <t>Jaquar</t>
  </si>
  <si>
    <t>Deck Mounted | Florentine Series</t>
  </si>
  <si>
    <t>Design</t>
  </si>
  <si>
    <t>Flow</t>
  </si>
  <si>
    <t>Hot &amp; Cold</t>
  </si>
  <si>
    <t>FLP-CHR-5001BPM</t>
  </si>
  <si>
    <t>PL_FAU_JAQ_1</t>
  </si>
  <si>
    <t>Tall</t>
  </si>
  <si>
    <t>FLR-CHR-5005NB</t>
  </si>
  <si>
    <t>PL_FAU_JAQ_2</t>
  </si>
  <si>
    <t>Slant Type</t>
  </si>
  <si>
    <t>FLP-CHR-5173BPM</t>
  </si>
  <si>
    <t>PLUM_FAU_JAQ_3</t>
  </si>
  <si>
    <t>PROD_0396</t>
  </si>
  <si>
    <t>Deck Mounted | Continental Series</t>
  </si>
  <si>
    <t>COP-CHR-167BPM</t>
  </si>
  <si>
    <t>PL_FAU_JAQ_4</t>
  </si>
  <si>
    <t>COP-CHR-005BPM</t>
  </si>
  <si>
    <t>PL_FAU_JAQ_5</t>
  </si>
  <si>
    <t>Cold</t>
  </si>
  <si>
    <t>FLP-CHR-5015BPM</t>
  </si>
  <si>
    <t>PL_FAU_JAQ_6</t>
  </si>
  <si>
    <t>FLP-CHR-5011PM</t>
  </si>
  <si>
    <t>PLUM_FAU_JAQ_7</t>
  </si>
  <si>
    <t>OPP-CHR-15021PM</t>
  </si>
  <si>
    <t>PL_FAU_JAQ_8</t>
  </si>
  <si>
    <t>PROD_0397</t>
  </si>
  <si>
    <t>Deck Mounted | Alive Series</t>
  </si>
  <si>
    <t>ALI-CHR-85001</t>
  </si>
  <si>
    <t>PLUM_FAU_JAQ_9</t>
  </si>
  <si>
    <t>PROD_0398</t>
  </si>
  <si>
    <t>Deck Mounted | Fusion Series</t>
  </si>
  <si>
    <t>FUS-CHR-29001</t>
  </si>
  <si>
    <t>PL_FAU_JAQ_10</t>
  </si>
  <si>
    <t>PROD_0399</t>
  </si>
  <si>
    <t>Deck Mounted | Lyric Series</t>
  </si>
  <si>
    <t>LYR-CHR-38011</t>
  </si>
  <si>
    <t>PLUM_FAU_JAQ_11</t>
  </si>
  <si>
    <t>PROD_0400</t>
  </si>
  <si>
    <t>Hindware</t>
  </si>
  <si>
    <t>Deck Mounted | Cora Range</t>
  </si>
  <si>
    <t>F440009CP</t>
  </si>
  <si>
    <t>PLUM_FAU_HIND_1</t>
  </si>
  <si>
    <t>PROD_0401</t>
  </si>
  <si>
    <t>Wall Mounted | Cora Range</t>
  </si>
  <si>
    <t>F440011CP</t>
  </si>
  <si>
    <t>PL_FAU_HIND_2</t>
  </si>
  <si>
    <t>PL_FAU_HIND_3</t>
  </si>
  <si>
    <t>F440003CP</t>
  </si>
  <si>
    <t>PL_FAU_HIND_4</t>
  </si>
  <si>
    <t>PROD_0402</t>
  </si>
  <si>
    <t>Door Closure</t>
  </si>
  <si>
    <t>Hydraulic Door Close</t>
  </si>
  <si>
    <t>Door Thickness</t>
  </si>
  <si>
    <t>850 mm</t>
  </si>
  <si>
    <t>WM_DC_DORSET_1</t>
  </si>
  <si>
    <t>1 hrs</t>
  </si>
  <si>
    <t>PROD_0403</t>
  </si>
  <si>
    <t>85 kg</t>
  </si>
  <si>
    <t>WM_DC_GODREJ_1</t>
  </si>
  <si>
    <t>PROD_0404</t>
  </si>
  <si>
    <t>Door Latch</t>
  </si>
  <si>
    <t>Tower Bolt Designer</t>
  </si>
  <si>
    <t>WM_DL_GOD_1</t>
  </si>
  <si>
    <t>10 inch</t>
  </si>
  <si>
    <t>PROD_0405</t>
  </si>
  <si>
    <t>Door Stopper</t>
  </si>
  <si>
    <t>Size (in mm)</t>
  </si>
  <si>
    <t>242 x 174 x 115</t>
  </si>
  <si>
    <t>WM_DS_GOD_SS_1</t>
  </si>
  <si>
    <t>WM_DS_GOD_AB_2</t>
  </si>
  <si>
    <t>WM_DS_GOD_BLACK</t>
  </si>
  <si>
    <t>PROD_0406</t>
  </si>
  <si>
    <t>PVC Door Stopper</t>
  </si>
  <si>
    <t>Rubber</t>
  </si>
  <si>
    <t>WM_DR_GEN_1</t>
  </si>
  <si>
    <t>PROD_0407</t>
  </si>
  <si>
    <t>Bathroom</t>
  </si>
  <si>
    <t>Jet Spray</t>
  </si>
  <si>
    <t>Essco Health Chrome Faucet</t>
  </si>
  <si>
    <t>Chrome 1</t>
  </si>
  <si>
    <t>ALD-CHR-587</t>
  </si>
  <si>
    <t>BR_JS_JQ_1</t>
  </si>
  <si>
    <t>Chrome 2</t>
  </si>
  <si>
    <t>ALD-CHR-563</t>
  </si>
  <si>
    <t>BR_JS_JQ_2</t>
  </si>
  <si>
    <t>Chrome 3</t>
  </si>
  <si>
    <t>ALD-CHR-573</t>
  </si>
  <si>
    <t>BR_JS_JQ_3</t>
  </si>
  <si>
    <t>Bronze</t>
  </si>
  <si>
    <t>ALD-ABR-573M</t>
  </si>
  <si>
    <t>BR_JS_JQ_4</t>
  </si>
  <si>
    <t>ALD-ACR-573M</t>
  </si>
  <si>
    <t>BR_JS_JQ_5</t>
  </si>
  <si>
    <t>Black Chrome</t>
  </si>
  <si>
    <t>ALD-BCH-573M</t>
  </si>
  <si>
    <t>BR_JS_JQ_6</t>
  </si>
  <si>
    <t>ALD-SSF-573M</t>
  </si>
  <si>
    <t>BR_JS_JQ_7</t>
  </si>
  <si>
    <t>PROD_0408</t>
  </si>
  <si>
    <t>Health Faucet</t>
  </si>
  <si>
    <t>Polished</t>
  </si>
  <si>
    <t>F160193CP</t>
  </si>
  <si>
    <t>BR_JS_HW_1</t>
  </si>
  <si>
    <t>F160013CP</t>
  </si>
  <si>
    <t>BR_JS_HW_2</t>
  </si>
  <si>
    <t>F680013CP</t>
  </si>
  <si>
    <t>BR_JS_HW_3</t>
  </si>
  <si>
    <t>F160192CP</t>
  </si>
  <si>
    <t>BR_JS_HW_4</t>
  </si>
  <si>
    <t>BR_JS_HW_5</t>
  </si>
  <si>
    <t>PROD_0409</t>
  </si>
  <si>
    <t>Cera</t>
  </si>
  <si>
    <t>Plastic</t>
  </si>
  <si>
    <t>F9090903AB</t>
  </si>
  <si>
    <t>br_js_cera_1</t>
  </si>
  <si>
    <t>F8030104AB</t>
  </si>
  <si>
    <t>br_js_cera_2</t>
  </si>
  <si>
    <t>ABS</t>
  </si>
  <si>
    <t>F8030103AB</t>
  </si>
  <si>
    <t>br_js_cera_3</t>
  </si>
  <si>
    <t>F8030110AB</t>
  </si>
  <si>
    <t>br_js_cera_4</t>
  </si>
  <si>
    <t>Brass</t>
  </si>
  <si>
    <t>F9090902AB</t>
  </si>
  <si>
    <t>br_js_cera_5</t>
  </si>
  <si>
    <t>F8030108AB</t>
  </si>
  <si>
    <t>br_js_cera_6</t>
  </si>
  <si>
    <t>F8030103</t>
  </si>
  <si>
    <t>br_js_cera_7</t>
  </si>
  <si>
    <t>PROD_0410</t>
  </si>
  <si>
    <t>Kohler</t>
  </si>
  <si>
    <t>‎12925IN-CP</t>
  </si>
  <si>
    <t>br_js_kl_1</t>
  </si>
  <si>
    <t>‎12927IN-CP</t>
  </si>
  <si>
    <t>br_js_kl_2</t>
  </si>
  <si>
    <t>‎98100IN-CP</t>
  </si>
  <si>
    <t>br_js_kl_3</t>
  </si>
  <si>
    <t>‎98100IN-0</t>
  </si>
  <si>
    <t>br_js_kl_4</t>
  </si>
  <si>
    <t>br_js_kl_5</t>
  </si>
  <si>
    <t>PROD_0411</t>
  </si>
  <si>
    <t>BR_JS_GEN_1</t>
  </si>
  <si>
    <t>BR_JS_GEN_2</t>
  </si>
  <si>
    <t>BR_JS_GEN_3</t>
  </si>
  <si>
    <t>PROD_0412</t>
  </si>
  <si>
    <t>Door Hook/ Cloth Hook</t>
  </si>
  <si>
    <t>Cloth Hook</t>
  </si>
  <si>
    <t>BR_DH_GEN_1</t>
  </si>
  <si>
    <t>BR_DH_GEN_2</t>
  </si>
  <si>
    <t>PROD_0413</t>
  </si>
  <si>
    <t>Double Hook</t>
  </si>
  <si>
    <t>BR_DH_GEN_3</t>
  </si>
  <si>
    <t>BR_DH_GEN_4</t>
  </si>
  <si>
    <t>PROD_0414</t>
  </si>
  <si>
    <t>Inch Tape</t>
  </si>
  <si>
    <t>3 Mtr</t>
  </si>
  <si>
    <t>TOOLS_INCH TAPE</t>
  </si>
  <si>
    <t>5 Mtr</t>
  </si>
  <si>
    <t>Product ID</t>
  </si>
  <si>
    <t>MRP</t>
  </si>
  <si>
    <t>PROD_0415</t>
  </si>
  <si>
    <t>PROD_0416</t>
  </si>
  <si>
    <t>PROD_0417</t>
  </si>
  <si>
    <t>PROD_0418</t>
  </si>
  <si>
    <t>PROD_0419</t>
  </si>
  <si>
    <t>PROD_0420</t>
  </si>
  <si>
    <t>PROD_0421</t>
  </si>
  <si>
    <t>PROD_0422</t>
  </si>
  <si>
    <t>PROD_0423</t>
  </si>
  <si>
    <t>PROD_0424</t>
  </si>
  <si>
    <t>PROD_0425</t>
  </si>
  <si>
    <t>PROD_0426</t>
  </si>
  <si>
    <t>PROD_0427</t>
  </si>
  <si>
    <t>PROD_0428</t>
  </si>
  <si>
    <t>PROD_0429</t>
  </si>
  <si>
    <t>PROD_0430</t>
  </si>
  <si>
    <t>PROD_0431</t>
  </si>
  <si>
    <t>PROD_0432</t>
  </si>
  <si>
    <t>PROD_0433</t>
  </si>
  <si>
    <t>PROD_0434</t>
  </si>
  <si>
    <t>PROD_0435</t>
  </si>
  <si>
    <t>PROD_0436</t>
  </si>
  <si>
    <t>PROD_0437</t>
  </si>
  <si>
    <t>PROD_0438</t>
  </si>
  <si>
    <t>PROD_0439</t>
  </si>
  <si>
    <t>PROD_0440</t>
  </si>
  <si>
    <t>PROD_0441</t>
  </si>
  <si>
    <t>PROD_0442</t>
  </si>
  <si>
    <t>PROD_0443</t>
  </si>
  <si>
    <t>PROD_0444</t>
  </si>
  <si>
    <t>PROD_0445</t>
  </si>
  <si>
    <t>PROD_0446</t>
  </si>
  <si>
    <t>PROD_0447</t>
  </si>
  <si>
    <t>PROD_0448</t>
  </si>
  <si>
    <t>PROD_0449</t>
  </si>
  <si>
    <t>PROD_0450</t>
  </si>
  <si>
    <t>PROD_0451</t>
  </si>
  <si>
    <t>PROD_0452</t>
  </si>
  <si>
    <t>PROD_0453</t>
  </si>
  <si>
    <t>PROD_0454</t>
  </si>
  <si>
    <t>PROD_0455</t>
  </si>
  <si>
    <t>PROD_0456</t>
  </si>
  <si>
    <t>PROD_0457</t>
  </si>
  <si>
    <t>PROD_0458</t>
  </si>
  <si>
    <t>PROD_0459</t>
  </si>
  <si>
    <t>PROD_0460</t>
  </si>
  <si>
    <t>PROD_0461</t>
  </si>
  <si>
    <t>PROD_0462</t>
  </si>
  <si>
    <t>PROD_0463</t>
  </si>
  <si>
    <t>PROD_0464</t>
  </si>
  <si>
    <t>PROD_0465</t>
  </si>
  <si>
    <t>PROD_0466</t>
  </si>
  <si>
    <t>PROD_0467</t>
  </si>
  <si>
    <t>PROD_0468</t>
  </si>
  <si>
    <t>PROD_0469</t>
  </si>
  <si>
    <t>PROD_0470</t>
  </si>
  <si>
    <t>PROD_0471</t>
  </si>
  <si>
    <t>PROD_0472</t>
  </si>
  <si>
    <t>PROD_0473</t>
  </si>
  <si>
    <t>PROD_0474</t>
  </si>
  <si>
    <t>PROD_0475</t>
  </si>
  <si>
    <t>PROD_0476</t>
  </si>
  <si>
    <t>PROD_0477</t>
  </si>
  <si>
    <t>PROD_0478</t>
  </si>
  <si>
    <t>PROD_0479</t>
  </si>
  <si>
    <t>PROD_0480</t>
  </si>
  <si>
    <t>PROD_0481</t>
  </si>
  <si>
    <t>PROD_0482</t>
  </si>
  <si>
    <t>PROD_0483</t>
  </si>
  <si>
    <t>PROD_0484</t>
  </si>
  <si>
    <t>PROD_0485</t>
  </si>
  <si>
    <t>PROD_0486</t>
  </si>
  <si>
    <t>PROD_0487</t>
  </si>
  <si>
    <t>PROD_0488</t>
  </si>
  <si>
    <t>PROD_0489</t>
  </si>
  <si>
    <t>PROD_0490</t>
  </si>
  <si>
    <t>PROD_0491</t>
  </si>
  <si>
    <t>PROD_0492</t>
  </si>
  <si>
    <t>PROD_0493</t>
  </si>
  <si>
    <t>PROD_0494</t>
  </si>
  <si>
    <t>PROD_0495</t>
  </si>
  <si>
    <t>PROD_0496</t>
  </si>
  <si>
    <t>PROD_0497</t>
  </si>
  <si>
    <t>PROD_0498</t>
  </si>
  <si>
    <t>PROD_0499</t>
  </si>
  <si>
    <t>PROD_0500</t>
  </si>
  <si>
    <t>PROD_0501</t>
  </si>
  <si>
    <t>PROD_0502</t>
  </si>
  <si>
    <t>PROD_0503</t>
  </si>
  <si>
    <t>PROD_0504</t>
  </si>
  <si>
    <t>PROD_0505</t>
  </si>
  <si>
    <t>PROD_0506</t>
  </si>
  <si>
    <t>PROD_0507</t>
  </si>
  <si>
    <t>PROD_0508</t>
  </si>
  <si>
    <t>PROD_0509</t>
  </si>
  <si>
    <t>PROD_0510</t>
  </si>
  <si>
    <t>PROD_0511</t>
  </si>
  <si>
    <t>PROD_0512</t>
  </si>
  <si>
    <t>PROD_0513</t>
  </si>
  <si>
    <t>PROD_0514</t>
  </si>
  <si>
    <t>PROD_0515</t>
  </si>
  <si>
    <t>PROD_0516</t>
  </si>
  <si>
    <t>PROD_0517</t>
  </si>
  <si>
    <t>PROD_0518</t>
  </si>
  <si>
    <t>PROD_0519</t>
  </si>
  <si>
    <t>PROD_0520</t>
  </si>
  <si>
    <t>PROD_0521</t>
  </si>
  <si>
    <t>PROD_0522</t>
  </si>
  <si>
    <t>PROD_0523</t>
  </si>
  <si>
    <t>PROD_0524</t>
  </si>
  <si>
    <t>PROD_0525</t>
  </si>
  <si>
    <t>PROD_0526</t>
  </si>
  <si>
    <t>PROD_0527</t>
  </si>
  <si>
    <t>PROD_0528</t>
  </si>
  <si>
    <t>PROD_0529</t>
  </si>
  <si>
    <t>PROD_0530</t>
  </si>
  <si>
    <t>PROD_0531</t>
  </si>
  <si>
    <t>PROD_0532</t>
  </si>
  <si>
    <t>PROD_0533</t>
  </si>
  <si>
    <t>PROD_0534</t>
  </si>
  <si>
    <t>PROD_0535</t>
  </si>
  <si>
    <t>PROD_0536</t>
  </si>
  <si>
    <t>PROD_0537</t>
  </si>
  <si>
    <t>PROD_0538</t>
  </si>
  <si>
    <t>PROD_0539</t>
  </si>
  <si>
    <t>PROD_0540</t>
  </si>
  <si>
    <t>PROD_0541</t>
  </si>
  <si>
    <t>PROD_0542</t>
  </si>
  <si>
    <t>PROD_0543</t>
  </si>
  <si>
    <t>PROD_0544</t>
  </si>
  <si>
    <t>PROD_0545</t>
  </si>
  <si>
    <t>PROD_0546</t>
  </si>
  <si>
    <t>PROD_0547</t>
  </si>
  <si>
    <t>PROD_0548</t>
  </si>
  <si>
    <t>PROD_0549</t>
  </si>
  <si>
    <t>PROD_0550</t>
  </si>
  <si>
    <t>PROD_0551</t>
  </si>
  <si>
    <t>PROD_0552</t>
  </si>
  <si>
    <t>PROD_0553</t>
  </si>
  <si>
    <t>PROD_0554</t>
  </si>
  <si>
    <t>PROD_0555</t>
  </si>
  <si>
    <t>PROD_0556</t>
  </si>
  <si>
    <t>PROD_0557</t>
  </si>
  <si>
    <t>PROD_0558</t>
  </si>
  <si>
    <t>PROD_0559</t>
  </si>
  <si>
    <t>PROD_0560</t>
  </si>
  <si>
    <t>PROD_0561</t>
  </si>
  <si>
    <t>PROD_0562</t>
  </si>
  <si>
    <t>PROD_0563</t>
  </si>
  <si>
    <t>PROD_0564</t>
  </si>
  <si>
    <t>PROD_0565</t>
  </si>
  <si>
    <t>PROD_0566</t>
  </si>
  <si>
    <t>PROD_0567</t>
  </si>
  <si>
    <t>PROD_0568</t>
  </si>
  <si>
    <t>PROD_0569</t>
  </si>
  <si>
    <t>PROD_0570</t>
  </si>
  <si>
    <t>PROD_0571</t>
  </si>
  <si>
    <t>PROD_0572</t>
  </si>
  <si>
    <t>PROD_0573</t>
  </si>
  <si>
    <t>PROD_0574</t>
  </si>
  <si>
    <t>PROD_0575</t>
  </si>
  <si>
    <t>PROD_0576</t>
  </si>
  <si>
    <t>PROD_0577</t>
  </si>
  <si>
    <t>PROD_0578</t>
  </si>
  <si>
    <t>PROD_0579</t>
  </si>
  <si>
    <t>PROD_0580</t>
  </si>
  <si>
    <t>PROD_0581</t>
  </si>
  <si>
    <t>PROD_0582</t>
  </si>
  <si>
    <t>PROD_0583</t>
  </si>
  <si>
    <t>PROD_0584</t>
  </si>
  <si>
    <t>PROD_0585</t>
  </si>
  <si>
    <t>PROD_0586</t>
  </si>
  <si>
    <t>PROD_0587</t>
  </si>
  <si>
    <t>PROD_0588</t>
  </si>
  <si>
    <t>PROD_0589</t>
  </si>
  <si>
    <t>PROD_0590</t>
  </si>
  <si>
    <t>PROD_0591</t>
  </si>
  <si>
    <t>PROD_0592</t>
  </si>
  <si>
    <t>PROD_0593</t>
  </si>
  <si>
    <t>PROD_0594</t>
  </si>
  <si>
    <t>PROD_0595</t>
  </si>
  <si>
    <t>PROD_0596</t>
  </si>
  <si>
    <t>PROD_0597</t>
  </si>
  <si>
    <t>PROD_0598</t>
  </si>
  <si>
    <t>PROD_0599</t>
  </si>
  <si>
    <t>PROD_0600</t>
  </si>
  <si>
    <t>PROD_0601</t>
  </si>
  <si>
    <t>PROD_0602</t>
  </si>
  <si>
    <t>PROD_0603</t>
  </si>
  <si>
    <t>PROD_0604</t>
  </si>
  <si>
    <t>PROD_0605</t>
  </si>
  <si>
    <t>PROD_0606</t>
  </si>
  <si>
    <t>PROD_0607</t>
  </si>
  <si>
    <t>PROD_0608</t>
  </si>
  <si>
    <t>PROD_0609</t>
  </si>
  <si>
    <t>PROD_0610</t>
  </si>
  <si>
    <t>PROD_0611</t>
  </si>
  <si>
    <t>PROD_0612</t>
  </si>
  <si>
    <t>PROD_0613</t>
  </si>
  <si>
    <t>PROD_0614</t>
  </si>
  <si>
    <t>PROD_0615</t>
  </si>
  <si>
    <t>PROD_0616</t>
  </si>
  <si>
    <t>PROD_0617</t>
  </si>
  <si>
    <t>PROD_0618</t>
  </si>
  <si>
    <t>PROD_0619</t>
  </si>
  <si>
    <t>PROD_0620</t>
  </si>
  <si>
    <t>PROD_0621</t>
  </si>
  <si>
    <t>PROD_0622</t>
  </si>
  <si>
    <t>PROD_0623</t>
  </si>
  <si>
    <t>PROD_0624</t>
  </si>
  <si>
    <t>PROD_0625</t>
  </si>
  <si>
    <t>PROD_0626</t>
  </si>
  <si>
    <t>PROD_0627</t>
  </si>
  <si>
    <t>PROD_0628</t>
  </si>
  <si>
    <t>PROD_0629</t>
  </si>
  <si>
    <t>PROD_0630</t>
  </si>
  <si>
    <t>PROD_0631</t>
  </si>
  <si>
    <t>PROD_0632</t>
  </si>
  <si>
    <t>PROD_0633</t>
  </si>
  <si>
    <t>PROD_0634</t>
  </si>
  <si>
    <t>PROD_0635</t>
  </si>
  <si>
    <t>PROD_0636</t>
  </si>
  <si>
    <t>PROD_0637</t>
  </si>
  <si>
    <t>PROD_0638</t>
  </si>
  <si>
    <t>PROD_0639</t>
  </si>
  <si>
    <t>PROD_0640</t>
  </si>
  <si>
    <t>PROD_0641</t>
  </si>
  <si>
    <t>PROD_0642</t>
  </si>
  <si>
    <t>PROD_0643</t>
  </si>
  <si>
    <t>PROD_0644</t>
  </si>
  <si>
    <t>PROD_0645</t>
  </si>
  <si>
    <t>PROD_0646</t>
  </si>
  <si>
    <t>PROD_0647</t>
  </si>
  <si>
    <t>PROD_0648</t>
  </si>
  <si>
    <t>PROD_0649</t>
  </si>
  <si>
    <t>PROD_0650</t>
  </si>
  <si>
    <t>PROD_0651</t>
  </si>
  <si>
    <t>PROD_0652</t>
  </si>
  <si>
    <t>PROD_0653</t>
  </si>
  <si>
    <t>PROD_0654</t>
  </si>
  <si>
    <t>PROD_0655</t>
  </si>
  <si>
    <t>PROD_0656</t>
  </si>
  <si>
    <t>PROD_0657</t>
  </si>
  <si>
    <t>PROD_0658</t>
  </si>
  <si>
    <t>PROD_0659</t>
  </si>
  <si>
    <t>PROD_0660</t>
  </si>
  <si>
    <t>PROD_0661</t>
  </si>
  <si>
    <t>PROD_0662</t>
  </si>
  <si>
    <t>PROD_0663</t>
  </si>
  <si>
    <t>PROD_0664</t>
  </si>
  <si>
    <t>PROD_0665</t>
  </si>
  <si>
    <t>PROD_0666</t>
  </si>
  <si>
    <t>PROD_0667</t>
  </si>
  <si>
    <t>PROD_0668</t>
  </si>
  <si>
    <t>PROD_0669</t>
  </si>
  <si>
    <t>PROD_0670</t>
  </si>
  <si>
    <t>PROD_0671</t>
  </si>
  <si>
    <t>PROD_0672</t>
  </si>
  <si>
    <t>PROD_0673</t>
  </si>
  <si>
    <t>PROD_0674</t>
  </si>
  <si>
    <t>PROD_0675</t>
  </si>
  <si>
    <t>PROD_0676</t>
  </si>
  <si>
    <t>PROD_0677</t>
  </si>
  <si>
    <t>PROD_0678</t>
  </si>
  <si>
    <t>PROD_0679</t>
  </si>
  <si>
    <t>PROD_0680</t>
  </si>
  <si>
    <t>PROD_0681</t>
  </si>
  <si>
    <t>PROD_0682</t>
  </si>
  <si>
    <t>PROD_0683</t>
  </si>
  <si>
    <t>PROD_0684</t>
  </si>
  <si>
    <t>PROD_0685</t>
  </si>
  <si>
    <t>PROD_0686</t>
  </si>
  <si>
    <t>PROD_0687</t>
  </si>
  <si>
    <t>PROD_0688</t>
  </si>
  <si>
    <t>PROD_0689</t>
  </si>
  <si>
    <t>PROD_0690</t>
  </si>
  <si>
    <t>PROD_0691</t>
  </si>
  <si>
    <t>PROD_0692</t>
  </si>
  <si>
    <t>PROD_0693</t>
  </si>
  <si>
    <t>PROD_0694</t>
  </si>
  <si>
    <t>PROD_0695</t>
  </si>
  <si>
    <t>PROD_0696</t>
  </si>
  <si>
    <t>PROD_0697</t>
  </si>
  <si>
    <t>PROD_0698</t>
  </si>
  <si>
    <t>PROD_0699</t>
  </si>
  <si>
    <t>PROD_0700</t>
  </si>
  <si>
    <t>PROD_0701</t>
  </si>
  <si>
    <t>PROD_0702</t>
  </si>
  <si>
    <t>PROD_0703</t>
  </si>
  <si>
    <t>PROD_0704</t>
  </si>
  <si>
    <t>PROD_0705</t>
  </si>
  <si>
    <t>PROD_0706</t>
  </si>
  <si>
    <t>PROD_0707</t>
  </si>
  <si>
    <t>PROD_0708</t>
  </si>
  <si>
    <t>PROD_0709</t>
  </si>
  <si>
    <t>PROD_0710</t>
  </si>
  <si>
    <t>PROD_0711</t>
  </si>
  <si>
    <t>PROD_0712</t>
  </si>
  <si>
    <t>PROD_0713</t>
  </si>
  <si>
    <t>PROD_0714</t>
  </si>
  <si>
    <t>PROD_0715</t>
  </si>
  <si>
    <t>PROD_0716</t>
  </si>
  <si>
    <t>PROD_0717</t>
  </si>
  <si>
    <t>PROD_0718</t>
  </si>
  <si>
    <t>PROD_0719</t>
  </si>
  <si>
    <t>PROD_0720</t>
  </si>
  <si>
    <t>PROD_0721</t>
  </si>
  <si>
    <t>PROD_0722</t>
  </si>
  <si>
    <t>PROD_0723</t>
  </si>
  <si>
    <t>PROD_0724</t>
  </si>
  <si>
    <t>PROD_0725</t>
  </si>
  <si>
    <t>PROD_0726</t>
  </si>
  <si>
    <t>PROD_0727</t>
  </si>
  <si>
    <t>PROD_0728</t>
  </si>
  <si>
    <t>PROD_0729</t>
  </si>
  <si>
    <t>PROD_0730</t>
  </si>
  <si>
    <t>PROD_0731</t>
  </si>
  <si>
    <t>PROD_0732</t>
  </si>
  <si>
    <t>PROD_0733</t>
  </si>
  <si>
    <t>PROD_0734</t>
  </si>
  <si>
    <t>PROD_0735</t>
  </si>
  <si>
    <t>PROD_0736</t>
  </si>
  <si>
    <t>PROD_0737</t>
  </si>
  <si>
    <t>PROD_0738</t>
  </si>
  <si>
    <t>PROD_0739</t>
  </si>
  <si>
    <t>PROD_0740</t>
  </si>
  <si>
    <t>PROD_0741</t>
  </si>
  <si>
    <t>PROD_0742</t>
  </si>
  <si>
    <t>PROD_0743</t>
  </si>
  <si>
    <t>PROD_0744</t>
  </si>
  <si>
    <t>PROD_0745</t>
  </si>
  <si>
    <t>PROD_0746</t>
  </si>
  <si>
    <t>PROD_0747</t>
  </si>
  <si>
    <t>PROD_0748</t>
  </si>
  <si>
    <t>PROD_0749</t>
  </si>
  <si>
    <t>PROD_0750</t>
  </si>
  <si>
    <t>PROD_0751</t>
  </si>
  <si>
    <t>PROD_0752</t>
  </si>
  <si>
    <t>PROD_0753</t>
  </si>
  <si>
    <t>PROD_0754</t>
  </si>
  <si>
    <t>PROD_0755</t>
  </si>
  <si>
    <t>PROD_0756</t>
  </si>
  <si>
    <t>PROD_0757</t>
  </si>
  <si>
    <t>PROD_0758</t>
  </si>
  <si>
    <t>PROD_0759</t>
  </si>
  <si>
    <t>PROD_0760</t>
  </si>
  <si>
    <t>PROD_0761</t>
  </si>
  <si>
    <t>PROD_0762</t>
  </si>
  <si>
    <t>PROD_0763</t>
  </si>
  <si>
    <t>PROD_0764</t>
  </si>
  <si>
    <t>PROD_0765</t>
  </si>
  <si>
    <t>PROD_0766</t>
  </si>
  <si>
    <t>PROD_0767</t>
  </si>
  <si>
    <t>PROD_0768</t>
  </si>
  <si>
    <t>PROD_0769</t>
  </si>
  <si>
    <t>PROD_0770</t>
  </si>
  <si>
    <t>PROD_0771</t>
  </si>
  <si>
    <t>PROD_0772</t>
  </si>
  <si>
    <t>PROD_0773</t>
  </si>
  <si>
    <t>PROD_0774</t>
  </si>
  <si>
    <t>PROD_0775</t>
  </si>
  <si>
    <t>PROD_0776</t>
  </si>
  <si>
    <t>PROD_0777</t>
  </si>
  <si>
    <t>PROD_0778</t>
  </si>
  <si>
    <t>PROD_0779</t>
  </si>
  <si>
    <t>PROD_0780</t>
  </si>
  <si>
    <t>PROD_0781</t>
  </si>
  <si>
    <t>PROD_0782</t>
  </si>
  <si>
    <t>PROD_0783</t>
  </si>
  <si>
    <t>PROD_0784</t>
  </si>
  <si>
    <t>PROD_0785</t>
  </si>
  <si>
    <t>PROD_0786</t>
  </si>
  <si>
    <t>PROD_0787</t>
  </si>
  <si>
    <t>PROD_0788</t>
  </si>
  <si>
    <t>PROD_0789</t>
  </si>
  <si>
    <t>PROD_0790</t>
  </si>
  <si>
    <t>PROD_0791</t>
  </si>
  <si>
    <t>PROD_0792</t>
  </si>
  <si>
    <t>PROD_0793</t>
  </si>
  <si>
    <t>PROD_0794</t>
  </si>
  <si>
    <t>PROD_0795</t>
  </si>
  <si>
    <t>PROD_0796</t>
  </si>
  <si>
    <t>PROD_0797</t>
  </si>
  <si>
    <t>PROD_0798</t>
  </si>
  <si>
    <t>PROD_0799</t>
  </si>
  <si>
    <t>PROD_0800</t>
  </si>
  <si>
    <t>PROD_0801</t>
  </si>
  <si>
    <t>PROD_0802</t>
  </si>
  <si>
    <t>PROD_0803</t>
  </si>
  <si>
    <t>PROD_0804</t>
  </si>
  <si>
    <t>PROD_0805</t>
  </si>
  <si>
    <t>PROD_0806</t>
  </si>
  <si>
    <t>PROD_0807</t>
  </si>
  <si>
    <t>PROD_0808</t>
  </si>
  <si>
    <t>PROD_0809</t>
  </si>
  <si>
    <t>PROD_0810</t>
  </si>
  <si>
    <t>PROD_0811</t>
  </si>
  <si>
    <t>PROD_0812</t>
  </si>
  <si>
    <t>PROD_0813</t>
  </si>
  <si>
    <t>PROD_0814</t>
  </si>
  <si>
    <t>PROD_0815</t>
  </si>
  <si>
    <t>PROD_0816</t>
  </si>
  <si>
    <t>PROD_0817</t>
  </si>
  <si>
    <t>PROD_0818</t>
  </si>
  <si>
    <t>PROD_0819</t>
  </si>
  <si>
    <t>PROD_0820</t>
  </si>
  <si>
    <t>PROD_0821</t>
  </si>
  <si>
    <t>PROD_0822</t>
  </si>
  <si>
    <t>PROD_0823</t>
  </si>
  <si>
    <t>PROD_0824</t>
  </si>
  <si>
    <t>PROD_0825</t>
  </si>
  <si>
    <t>PROD_0826</t>
  </si>
  <si>
    <t>PROD_0827</t>
  </si>
  <si>
    <t>PROD_0828</t>
  </si>
  <si>
    <t>PROD_0829</t>
  </si>
  <si>
    <t>PROD_0830</t>
  </si>
  <si>
    <t>PROD_0831</t>
  </si>
  <si>
    <t>PROD_0832</t>
  </si>
  <si>
    <t>PROD_0833</t>
  </si>
  <si>
    <t>PROD_0834</t>
  </si>
  <si>
    <t>PROD_0835</t>
  </si>
  <si>
    <t>PROD_0836</t>
  </si>
  <si>
    <t>PROD_0837</t>
  </si>
  <si>
    <t>PROD_0838</t>
  </si>
  <si>
    <t>PROD_0839</t>
  </si>
  <si>
    <t>PROD_0840</t>
  </si>
  <si>
    <t>PROD_0841</t>
  </si>
  <si>
    <t>PROD_0842</t>
  </si>
  <si>
    <t>PROD_0843</t>
  </si>
  <si>
    <t>PROD_0844</t>
  </si>
  <si>
    <t>PROD_0845</t>
  </si>
  <si>
    <t>PROD_0846</t>
  </si>
  <si>
    <t>PROD_0847</t>
  </si>
  <si>
    <t>PROD_0848</t>
  </si>
  <si>
    <t>PROD_0849</t>
  </si>
  <si>
    <t>PROD_0850</t>
  </si>
  <si>
    <t>PROD_0851</t>
  </si>
  <si>
    <t>PROD_0852</t>
  </si>
  <si>
    <t>PROD_0853</t>
  </si>
  <si>
    <t>PROD_0854</t>
  </si>
  <si>
    <t>PROD_0855</t>
  </si>
  <si>
    <t>PROD_0856</t>
  </si>
  <si>
    <t>PROD_0857</t>
  </si>
  <si>
    <t>PROD_0858</t>
  </si>
  <si>
    <t>PROD_0859</t>
  </si>
  <si>
    <t>PROD_0860</t>
  </si>
  <si>
    <t>PROD_0861</t>
  </si>
  <si>
    <t>PROD_0862</t>
  </si>
  <si>
    <t>PROD_0863</t>
  </si>
  <si>
    <t>PROD_0864</t>
  </si>
  <si>
    <t>PROD_0865</t>
  </si>
  <si>
    <t>PROD_0866</t>
  </si>
  <si>
    <t>PROD_0867</t>
  </si>
  <si>
    <t>PROD_0868</t>
  </si>
  <si>
    <t>PROD_0869</t>
  </si>
  <si>
    <t>PROD_0870</t>
  </si>
  <si>
    <t>PROD_0871</t>
  </si>
  <si>
    <t>PROD_0872</t>
  </si>
  <si>
    <t>PROD_0873</t>
  </si>
  <si>
    <t>PROD_0874</t>
  </si>
  <si>
    <t>PROD_0875</t>
  </si>
  <si>
    <t>PROD_0876</t>
  </si>
  <si>
    <t>PROD_0877</t>
  </si>
  <si>
    <t>PROD_0878</t>
  </si>
  <si>
    <t>PROD_0879</t>
  </si>
  <si>
    <t>PROD_0880</t>
  </si>
  <si>
    <t>PROD_0881</t>
  </si>
  <si>
    <t>PROD_0882</t>
  </si>
  <si>
    <t>PROD_0883</t>
  </si>
  <si>
    <t>PROD_0884</t>
  </si>
  <si>
    <t>PROD_0885</t>
  </si>
  <si>
    <t>PROD_0886</t>
  </si>
  <si>
    <t>PROD_0887</t>
  </si>
  <si>
    <t>PROD_0888</t>
  </si>
  <si>
    <t>PROD_0889</t>
  </si>
  <si>
    <t>PROD_0890</t>
  </si>
  <si>
    <t>PROD_0891</t>
  </si>
  <si>
    <t>PROD_0892</t>
  </si>
  <si>
    <t>PROD_0893</t>
  </si>
  <si>
    <t>PROD_0894</t>
  </si>
  <si>
    <t>PROD_0895</t>
  </si>
  <si>
    <t>PROD_0896</t>
  </si>
  <si>
    <t>PROD_0897</t>
  </si>
  <si>
    <t>PROD_0898</t>
  </si>
  <si>
    <t>PROD_0899</t>
  </si>
  <si>
    <t>PROD_0900</t>
  </si>
  <si>
    <t>PROD_0901</t>
  </si>
  <si>
    <t>PROD_0902</t>
  </si>
  <si>
    <t>PROD_0903</t>
  </si>
  <si>
    <t>PROD_0904</t>
  </si>
  <si>
    <t>PROD_0905</t>
  </si>
  <si>
    <t>PROD_0906</t>
  </si>
  <si>
    <t>PROD_0907</t>
  </si>
  <si>
    <t>PROD_0908</t>
  </si>
  <si>
    <t>PROD_0909</t>
  </si>
  <si>
    <t>PROD_0910</t>
  </si>
  <si>
    <t>PROD_0911</t>
  </si>
  <si>
    <t>PROD_0912</t>
  </si>
  <si>
    <t>PROD_0913</t>
  </si>
  <si>
    <t>PROD_0914</t>
  </si>
  <si>
    <t>PROD_0915</t>
  </si>
  <si>
    <t>PROD_0916</t>
  </si>
  <si>
    <t>PROD_0917</t>
  </si>
  <si>
    <t>PROD_0918</t>
  </si>
  <si>
    <t>PROD_0919</t>
  </si>
  <si>
    <t>PROD_0920</t>
  </si>
  <si>
    <t>PROD_0921</t>
  </si>
  <si>
    <t>PROD_0922</t>
  </si>
  <si>
    <t>PROD_0923</t>
  </si>
  <si>
    <t>PROD_0924</t>
  </si>
  <si>
    <t>PROD_0925</t>
  </si>
  <si>
    <t>PROD_0926</t>
  </si>
  <si>
    <t>PROD_0927</t>
  </si>
  <si>
    <t>PROD_0928</t>
  </si>
  <si>
    <t>PROD_0929</t>
  </si>
  <si>
    <t>PROD_0930</t>
  </si>
  <si>
    <t>PROD_0931</t>
  </si>
  <si>
    <t>PROD_0932</t>
  </si>
  <si>
    <t>PROD_0933</t>
  </si>
  <si>
    <t>PROD_0934</t>
  </si>
  <si>
    <t>PROD_0935</t>
  </si>
  <si>
    <t>PROD_0936</t>
  </si>
  <si>
    <t>PROD_0937</t>
  </si>
  <si>
    <t>PROD_0938</t>
  </si>
  <si>
    <t>PROD_0939</t>
  </si>
  <si>
    <t>PROD_0940</t>
  </si>
  <si>
    <t>PROD_0941</t>
  </si>
  <si>
    <t>PROD_0942</t>
  </si>
  <si>
    <t>PROD_0943</t>
  </si>
  <si>
    <t>PROD_0944</t>
  </si>
  <si>
    <t>PROD_0945</t>
  </si>
  <si>
    <t>PROD_0946</t>
  </si>
  <si>
    <t>PROD_0947</t>
  </si>
  <si>
    <t>PROD_0948</t>
  </si>
  <si>
    <t>PROD_0949</t>
  </si>
  <si>
    <t>PROD_0950</t>
  </si>
  <si>
    <t>PROD_0951</t>
  </si>
  <si>
    <t>PROD_0952</t>
  </si>
  <si>
    <t>PROD_0953</t>
  </si>
  <si>
    <t>PROD_0954</t>
  </si>
  <si>
    <t>PROD_0955</t>
  </si>
  <si>
    <t>PROD_0956</t>
  </si>
  <si>
    <t>PROD_0957</t>
  </si>
  <si>
    <t>PROD_0958</t>
  </si>
  <si>
    <t>PROD_0959</t>
  </si>
  <si>
    <t>PROD_0960</t>
  </si>
  <si>
    <t>PROD_0961</t>
  </si>
  <si>
    <t>PROD_0962</t>
  </si>
  <si>
    <t>PROD_0963</t>
  </si>
  <si>
    <t>PROD_0964</t>
  </si>
  <si>
    <t>PROD_0965</t>
  </si>
  <si>
    <t>PROD_0966</t>
  </si>
  <si>
    <t>PROD_0967</t>
  </si>
  <si>
    <t>PROD_0968</t>
  </si>
  <si>
    <t>PROD_0969</t>
  </si>
  <si>
    <t>PROD_0970</t>
  </si>
  <si>
    <t>PROD_0971</t>
  </si>
  <si>
    <t>PROD_0972</t>
  </si>
  <si>
    <t>PROD_0973</t>
  </si>
  <si>
    <t>PROD_0974</t>
  </si>
  <si>
    <t>PROD_0975</t>
  </si>
  <si>
    <t>PROD_0976</t>
  </si>
  <si>
    <t>PROD_0977</t>
  </si>
  <si>
    <t>PROD_0978</t>
  </si>
  <si>
    <t>PROD_0979</t>
  </si>
  <si>
    <t>PROD_0980</t>
  </si>
  <si>
    <t>PROD_0981</t>
  </si>
  <si>
    <t>PROD_0982</t>
  </si>
  <si>
    <t>PROD_0983</t>
  </si>
  <si>
    <t>PROD_0984</t>
  </si>
  <si>
    <t>PROD_0985</t>
  </si>
  <si>
    <t>PROD_0986</t>
  </si>
  <si>
    <t>PROD_0987</t>
  </si>
  <si>
    <t>PROD_0988</t>
  </si>
  <si>
    <t>PROD_0989</t>
  </si>
  <si>
    <t>PROD_0990</t>
  </si>
  <si>
    <t>PROD_0991</t>
  </si>
  <si>
    <t>PROD_0992</t>
  </si>
  <si>
    <t>PROD_0993</t>
  </si>
  <si>
    <t>PROD_0994</t>
  </si>
  <si>
    <t>PROD_0995</t>
  </si>
  <si>
    <t>PROD_0996</t>
  </si>
  <si>
    <t>PROD_0997</t>
  </si>
  <si>
    <t>PROD_0998</t>
  </si>
  <si>
    <t>PROD_0999</t>
  </si>
  <si>
    <t>PROD_1000</t>
  </si>
  <si>
    <t>PROD_1001</t>
  </si>
  <si>
    <t>PROD_1002</t>
  </si>
  <si>
    <t>PROD_1003</t>
  </si>
  <si>
    <t>PROD_1004</t>
  </si>
  <si>
    <t>PROD_1005</t>
  </si>
  <si>
    <t>PROD_1006</t>
  </si>
  <si>
    <t>PROD_1007</t>
  </si>
  <si>
    <t>PROD_1008</t>
  </si>
  <si>
    <t>PROD_1009</t>
  </si>
  <si>
    <t>PROD_1010</t>
  </si>
  <si>
    <t>PROD_1011</t>
  </si>
  <si>
    <t>PROD_1012</t>
  </si>
  <si>
    <t>PROD_1013</t>
  </si>
  <si>
    <t>PROD_1014</t>
  </si>
  <si>
    <t>PROD_1015</t>
  </si>
  <si>
    <t>PROD_1016</t>
  </si>
  <si>
    <t>PROD_1017</t>
  </si>
  <si>
    <t>PROD_1018</t>
  </si>
  <si>
    <t>PROD_1019</t>
  </si>
  <si>
    <t>PROD_1020</t>
  </si>
  <si>
    <t>PROD_1021</t>
  </si>
  <si>
    <t>PROD_1022</t>
  </si>
  <si>
    <t>PROD_1023</t>
  </si>
  <si>
    <t>PROD_1024</t>
  </si>
  <si>
    <t>PROD_1025</t>
  </si>
  <si>
    <t>PROD_1026</t>
  </si>
  <si>
    <t>PROD_1027</t>
  </si>
  <si>
    <t>PROD_1028</t>
  </si>
  <si>
    <t>PROD_1029</t>
  </si>
  <si>
    <t>PROD_1030</t>
  </si>
  <si>
    <t>PROD_1031</t>
  </si>
  <si>
    <t>PROD_1032</t>
  </si>
  <si>
    <t>PROD_1033</t>
  </si>
  <si>
    <t>PROD_1034</t>
  </si>
  <si>
    <t>PROD_1035</t>
  </si>
  <si>
    <t>PROD_1036</t>
  </si>
  <si>
    <t>PROD_1037</t>
  </si>
  <si>
    <t>PROD_1038</t>
  </si>
  <si>
    <t>PROD_1039</t>
  </si>
  <si>
    <t>PROD_1040</t>
  </si>
  <si>
    <t>PROD_1041</t>
  </si>
  <si>
    <t>PROD_1042</t>
  </si>
  <si>
    <t>PROD_1043</t>
  </si>
  <si>
    <t>PROD_1044</t>
  </si>
  <si>
    <t>PROD_1045</t>
  </si>
  <si>
    <t>PROD_1046</t>
  </si>
  <si>
    <t>PROD_1047</t>
  </si>
  <si>
    <t>PROD_1048</t>
  </si>
  <si>
    <t>PROD_1049</t>
  </si>
  <si>
    <t>PROD_1050</t>
  </si>
  <si>
    <t>PROD_1051</t>
  </si>
  <si>
    <t>PROD_1052</t>
  </si>
  <si>
    <t>PROD_1053</t>
  </si>
  <si>
    <t>PROD_1054</t>
  </si>
  <si>
    <t>PROD_1055</t>
  </si>
  <si>
    <t>PROD_1056</t>
  </si>
  <si>
    <t>PROD_1057</t>
  </si>
  <si>
    <t>PROD_1058</t>
  </si>
  <si>
    <t>PROD_1059</t>
  </si>
  <si>
    <t>PROD_1060</t>
  </si>
  <si>
    <t>PROD_1061</t>
  </si>
  <si>
    <t>PROD_1062</t>
  </si>
  <si>
    <t>PROD_1063</t>
  </si>
  <si>
    <t>PROD_1064</t>
  </si>
  <si>
    <t>PROD_1065</t>
  </si>
  <si>
    <t>PROD_1066</t>
  </si>
  <si>
    <t>PROD_1067</t>
  </si>
  <si>
    <t>PROD_1068</t>
  </si>
  <si>
    <t>PROD_1069</t>
  </si>
  <si>
    <t>PROD_1070</t>
  </si>
  <si>
    <t>PROD_1071</t>
  </si>
  <si>
    <t>PROD_1072</t>
  </si>
  <si>
    <t>PROD_1073</t>
  </si>
  <si>
    <t>PROD_1074</t>
  </si>
  <si>
    <t>PROD_1075</t>
  </si>
  <si>
    <t>PROD_1076</t>
  </si>
  <si>
    <t>PROD_1077</t>
  </si>
  <si>
    <t>PROD_1078</t>
  </si>
  <si>
    <t>PROD_1079</t>
  </si>
  <si>
    <t>PROD_1080</t>
  </si>
  <si>
    <t>PROD_1081</t>
  </si>
  <si>
    <t>PROD_1082</t>
  </si>
  <si>
    <t>PROD_1083</t>
  </si>
  <si>
    <t>PROD_1084</t>
  </si>
  <si>
    <t>PROD_1085</t>
  </si>
  <si>
    <t>PROD_1086</t>
  </si>
  <si>
    <t>PROD_1087</t>
  </si>
  <si>
    <t>PROD_1088</t>
  </si>
  <si>
    <t>PROD_1089</t>
  </si>
  <si>
    <t>PROD_1090</t>
  </si>
  <si>
    <t>PROD_1091</t>
  </si>
  <si>
    <t>PROD_1092</t>
  </si>
  <si>
    <t>PROD_1093</t>
  </si>
  <si>
    <t>PROD_1094</t>
  </si>
  <si>
    <t>PROD_1095</t>
  </si>
  <si>
    <t>PROD_1096</t>
  </si>
  <si>
    <t>PROD_1097</t>
  </si>
  <si>
    <t>PROD_1098</t>
  </si>
  <si>
    <t>PROD_1099</t>
  </si>
  <si>
    <t>PROD_1100</t>
  </si>
  <si>
    <t>PROD_1101</t>
  </si>
  <si>
    <t>PROD_1102</t>
  </si>
  <si>
    <t>PROD_1103</t>
  </si>
  <si>
    <t>PROD_1104</t>
  </si>
  <si>
    <t>PROD_1105</t>
  </si>
  <si>
    <t>PROD_1106</t>
  </si>
  <si>
    <t>PROD_1107</t>
  </si>
  <si>
    <t>PROD_1108</t>
  </si>
  <si>
    <t>PROD_1109</t>
  </si>
  <si>
    <t>PROD_1110</t>
  </si>
  <si>
    <t>PROD_1111</t>
  </si>
  <si>
    <t>PROD_1112</t>
  </si>
  <si>
    <t>PROD_1113</t>
  </si>
  <si>
    <t>PROD_1114</t>
  </si>
  <si>
    <t>PROD_1115</t>
  </si>
  <si>
    <t>PROD_1116</t>
  </si>
  <si>
    <t>PROD_1117</t>
  </si>
  <si>
    <t>PROD_1118</t>
  </si>
  <si>
    <t>PROD_1119</t>
  </si>
  <si>
    <t>PROD_1120</t>
  </si>
  <si>
    <t>PROD_1121</t>
  </si>
  <si>
    <t>PROD_1122</t>
  </si>
  <si>
    <t>PROD_1123</t>
  </si>
  <si>
    <t>PROD_1124</t>
  </si>
  <si>
    <t>PROD_1125</t>
  </si>
  <si>
    <t>PROD_1126</t>
  </si>
  <si>
    <t>PROD_1127</t>
  </si>
  <si>
    <t>PROD_1128</t>
  </si>
  <si>
    <t>PROD_1129</t>
  </si>
  <si>
    <t>PROD_1130</t>
  </si>
  <si>
    <t>PROD_1131</t>
  </si>
  <si>
    <t>PROD_1132</t>
  </si>
  <si>
    <t>PROD_1133</t>
  </si>
  <si>
    <t>PROD_1134</t>
  </si>
  <si>
    <t>PROD_1135</t>
  </si>
  <si>
    <t>PROD_1136</t>
  </si>
  <si>
    <t>PROD_1137</t>
  </si>
  <si>
    <t>PROD_1138</t>
  </si>
  <si>
    <t>PROD_1139</t>
  </si>
  <si>
    <t>PROD_1140</t>
  </si>
  <si>
    <t>PROD_1141</t>
  </si>
  <si>
    <t>PROD_1142</t>
  </si>
  <si>
    <t>PROD_1143</t>
  </si>
  <si>
    <t>PROD_1144</t>
  </si>
  <si>
    <t>PROD_1145</t>
  </si>
  <si>
    <t>PROD_1146</t>
  </si>
  <si>
    <t>PROD_1147</t>
  </si>
  <si>
    <t>PROD_1148</t>
  </si>
  <si>
    <t>PROD_1149</t>
  </si>
  <si>
    <t>PROD_1150</t>
  </si>
  <si>
    <t>PROD_1151</t>
  </si>
  <si>
    <t>PROD_1152</t>
  </si>
  <si>
    <t>PROD_1153</t>
  </si>
  <si>
    <t>PROD_1154</t>
  </si>
  <si>
    <t>PROD_1155</t>
  </si>
  <si>
    <t>PROD_1156</t>
  </si>
  <si>
    <t>PROD_1157</t>
  </si>
  <si>
    <t>PROD_1158</t>
  </si>
  <si>
    <t>PROD_1159</t>
  </si>
  <si>
    <t>PROD_1160</t>
  </si>
  <si>
    <t>PROD_1161</t>
  </si>
  <si>
    <t>PROD_1162</t>
  </si>
  <si>
    <t>PROD_1163</t>
  </si>
  <si>
    <t>PROD_1164</t>
  </si>
  <si>
    <t>PROD_1165</t>
  </si>
  <si>
    <t>PROD_1166</t>
  </si>
  <si>
    <t>PROD_1167</t>
  </si>
  <si>
    <t>PROD_1168</t>
  </si>
  <si>
    <t>PROD_1169</t>
  </si>
  <si>
    <t>PROD_1170</t>
  </si>
  <si>
    <t>PROD_1171</t>
  </si>
  <si>
    <t>PROD_1172</t>
  </si>
  <si>
    <t>PROD_1173</t>
  </si>
  <si>
    <t>PROD_1174</t>
  </si>
  <si>
    <t>PROD_1175</t>
  </si>
  <si>
    <t>PROD_1176</t>
  </si>
  <si>
    <t>PROD_1177</t>
  </si>
  <si>
    <t>PROD_1178</t>
  </si>
  <si>
    <t>PROD_1179</t>
  </si>
  <si>
    <t>PROD_1180</t>
  </si>
  <si>
    <t>PROD_1181</t>
  </si>
  <si>
    <t>PROD_1182</t>
  </si>
  <si>
    <t>PROD_1183</t>
  </si>
  <si>
    <t>PROD_1184</t>
  </si>
  <si>
    <t>PROD_1185</t>
  </si>
  <si>
    <t>PROD_1186</t>
  </si>
  <si>
    <t>PROD_1187</t>
  </si>
  <si>
    <t>PROD_1188</t>
  </si>
  <si>
    <t>PROD_1189</t>
  </si>
  <si>
    <t>PROD_1190</t>
  </si>
  <si>
    <t>PROD_1191</t>
  </si>
  <si>
    <t>PROD_1192</t>
  </si>
  <si>
    <t>PROD_1193</t>
  </si>
  <si>
    <t>PROD_1194</t>
  </si>
  <si>
    <t>PROD_1195</t>
  </si>
  <si>
    <t>PROD_1196</t>
  </si>
  <si>
    <t>PROD_1197</t>
  </si>
  <si>
    <t>PROD_1198</t>
  </si>
  <si>
    <t>PROD_1199</t>
  </si>
  <si>
    <t>PROD_1200</t>
  </si>
  <si>
    <t>PROD_1201</t>
  </si>
  <si>
    <t>PROD_1202</t>
  </si>
  <si>
    <t>PROD_1203</t>
  </si>
  <si>
    <t>PROD_1204</t>
  </si>
  <si>
    <t>PROD_1205</t>
  </si>
  <si>
    <t>PROD_1206</t>
  </si>
  <si>
    <t>PROD_1207</t>
  </si>
  <si>
    <t>PROD_1208</t>
  </si>
  <si>
    <t>PROD_1209</t>
  </si>
  <si>
    <t>PROD_1210</t>
  </si>
  <si>
    <t>PROD_1211</t>
  </si>
  <si>
    <t>PROD_1212</t>
  </si>
  <si>
    <t>PROD_1213</t>
  </si>
  <si>
    <t>PROD_1214</t>
  </si>
  <si>
    <t>PROD_1215</t>
  </si>
  <si>
    <t>PROD_1216</t>
  </si>
  <si>
    <t>PROD_1217</t>
  </si>
  <si>
    <t>PROD_1218</t>
  </si>
  <si>
    <t>PROD_1219</t>
  </si>
  <si>
    <t>PROD_1220</t>
  </si>
  <si>
    <t>PROD_1221</t>
  </si>
  <si>
    <t>PROD_1222</t>
  </si>
  <si>
    <t>PROD_1223</t>
  </si>
  <si>
    <t>PROD_1224</t>
  </si>
  <si>
    <t>PROD_1225</t>
  </si>
  <si>
    <t>PROD_1226</t>
  </si>
  <si>
    <t>PROD_1227</t>
  </si>
  <si>
    <t>PROD_1228</t>
  </si>
  <si>
    <t>PROD_1229</t>
  </si>
  <si>
    <t>PROD_1230</t>
  </si>
  <si>
    <t>PROD_1231</t>
  </si>
  <si>
    <t>PROD_1232</t>
  </si>
  <si>
    <t>PROD_1233</t>
  </si>
  <si>
    <t>PROD_1234</t>
  </si>
  <si>
    <t>PROD_1235</t>
  </si>
  <si>
    <t>PROD_1236</t>
  </si>
  <si>
    <t>PROD_1237</t>
  </si>
  <si>
    <t>PROD_1238</t>
  </si>
  <si>
    <t>PROD_1239</t>
  </si>
  <si>
    <t>PROD_1240</t>
  </si>
  <si>
    <t>PROD_1241</t>
  </si>
  <si>
    <t>PROD_1242</t>
  </si>
  <si>
    <t>PROD_1243</t>
  </si>
  <si>
    <t>PROD_1244</t>
  </si>
  <si>
    <t>PROD_1245</t>
  </si>
  <si>
    <t>PROD_1246</t>
  </si>
  <si>
    <t>PROD_1247</t>
  </si>
  <si>
    <t>PROD_1248</t>
  </si>
  <si>
    <t>PROD_1249</t>
  </si>
  <si>
    <t>PROD_1250</t>
  </si>
  <si>
    <t>PROD_1251</t>
  </si>
  <si>
    <t>PROD_1252</t>
  </si>
  <si>
    <t>PROD_1253</t>
  </si>
  <si>
    <t>PROD_1254</t>
  </si>
  <si>
    <t>PROD_1255</t>
  </si>
  <si>
    <t>PROD_1256</t>
  </si>
  <si>
    <t>PROD_1257</t>
  </si>
  <si>
    <t>PROD_1258</t>
  </si>
  <si>
    <t>PROD_1259</t>
  </si>
  <si>
    <t>PROD_1260</t>
  </si>
  <si>
    <t>PROD_1261</t>
  </si>
  <si>
    <t>PROD_1262</t>
  </si>
  <si>
    <t>PROD_1263</t>
  </si>
  <si>
    <t>PROD_1264</t>
  </si>
  <si>
    <t>PROD_1265</t>
  </si>
  <si>
    <t>PROD_1266</t>
  </si>
  <si>
    <t>PROD_1267</t>
  </si>
  <si>
    <t>PROD_1268</t>
  </si>
  <si>
    <t>PROD_1269</t>
  </si>
  <si>
    <t>PROD_1270</t>
  </si>
  <si>
    <t>PROD_1271</t>
  </si>
  <si>
    <t>PROD_1272</t>
  </si>
  <si>
    <t>PROD_1273</t>
  </si>
  <si>
    <t>PROD_1274</t>
  </si>
  <si>
    <t>PROD_1275</t>
  </si>
  <si>
    <t>PROD_1276</t>
  </si>
  <si>
    <t>PROD_1277</t>
  </si>
  <si>
    <t>PROD_1278</t>
  </si>
  <si>
    <t>PROD_1279</t>
  </si>
  <si>
    <t>PROD_1280</t>
  </si>
  <si>
    <t>PROD_1281</t>
  </si>
  <si>
    <t>PROD_1282</t>
  </si>
  <si>
    <t>PROD_1283</t>
  </si>
  <si>
    <t>PROD_1284</t>
  </si>
  <si>
    <t>PROD_1285</t>
  </si>
  <si>
    <t>PROD_1286</t>
  </si>
  <si>
    <t>PROD_1287</t>
  </si>
  <si>
    <t>PROD_1288</t>
  </si>
  <si>
    <t>PROD_1289</t>
  </si>
  <si>
    <t>PROD_1290</t>
  </si>
  <si>
    <t>PROD_1291</t>
  </si>
  <si>
    <t>PROD_1292</t>
  </si>
  <si>
    <t>PROD_1293</t>
  </si>
  <si>
    <t>PROD_1294</t>
  </si>
  <si>
    <t>PROD_1295</t>
  </si>
  <si>
    <t>PROD_1296</t>
  </si>
  <si>
    <t>PROD_1297</t>
  </si>
  <si>
    <t>PROD_1298</t>
  </si>
  <si>
    <t>PROD_1299</t>
  </si>
  <si>
    <t>PROD_1300</t>
  </si>
  <si>
    <t>PROD_1301</t>
  </si>
  <si>
    <t>PROD_1302</t>
  </si>
  <si>
    <t>PROD_1303</t>
  </si>
  <si>
    <t>PROD_1304</t>
  </si>
  <si>
    <t>PROD_1305</t>
  </si>
  <si>
    <t>PROD_1306</t>
  </si>
  <si>
    <t>PROD_1307</t>
  </si>
  <si>
    <t>PROD_1308</t>
  </si>
  <si>
    <t>PROD_1309</t>
  </si>
  <si>
    <t>PROD_1310</t>
  </si>
  <si>
    <t>PROD_1311</t>
  </si>
  <si>
    <t>PROD_1312</t>
  </si>
  <si>
    <t>PROD_1313</t>
  </si>
  <si>
    <t>PROD_1314</t>
  </si>
  <si>
    <t>PROD_1315</t>
  </si>
  <si>
    <t>PROD_1316</t>
  </si>
  <si>
    <t>PROD_1317</t>
  </si>
  <si>
    <t>PROD_1318</t>
  </si>
  <si>
    <t>PROD_1319</t>
  </si>
  <si>
    <t>PROD_1320</t>
  </si>
  <si>
    <t>PROD_1321</t>
  </si>
  <si>
    <t>PROD_1322</t>
  </si>
  <si>
    <t>PROD_1323</t>
  </si>
  <si>
    <t>PROD_1324</t>
  </si>
  <si>
    <t>PROD_1325</t>
  </si>
  <si>
    <t>PROD_1326</t>
  </si>
  <si>
    <t>PROD_1327</t>
  </si>
  <si>
    <t>PROD_1328</t>
  </si>
  <si>
    <t>PROD_1329</t>
  </si>
  <si>
    <t>PROD_1330</t>
  </si>
  <si>
    <t>PROD_1331</t>
  </si>
  <si>
    <t>PROD_1332</t>
  </si>
  <si>
    <t>PROD_1333</t>
  </si>
  <si>
    <t>PROD_1334</t>
  </si>
  <si>
    <t>PROD_1335</t>
  </si>
  <si>
    <t>PROD_1336</t>
  </si>
  <si>
    <t>PROD_1337</t>
  </si>
  <si>
    <t>PROD_1338</t>
  </si>
  <si>
    <t>PROD_1339</t>
  </si>
  <si>
    <t>PROD_1340</t>
  </si>
  <si>
    <t>PROD_1341</t>
  </si>
  <si>
    <t>PROD_1342</t>
  </si>
  <si>
    <t>PROD_1343</t>
  </si>
  <si>
    <t>PROD_1344</t>
  </si>
  <si>
    <t>PROD_1345</t>
  </si>
  <si>
    <t>PROD_1346</t>
  </si>
  <si>
    <t>PROD_1347</t>
  </si>
  <si>
    <t>PROD_1348</t>
  </si>
  <si>
    <t>PROD_1349</t>
  </si>
  <si>
    <t>PROD_1350</t>
  </si>
  <si>
    <t>PROD_1351</t>
  </si>
  <si>
    <t>PROD_1352</t>
  </si>
  <si>
    <t>PROD_1353</t>
  </si>
  <si>
    <t>PROD_1354</t>
  </si>
  <si>
    <t>PROD_1355</t>
  </si>
  <si>
    <t>PROD_1356</t>
  </si>
  <si>
    <t>PROD_1357</t>
  </si>
  <si>
    <t>PROD_1358</t>
  </si>
  <si>
    <t>PROD_1359</t>
  </si>
  <si>
    <t>PROD_1360</t>
  </si>
  <si>
    <t>PROD_1361</t>
  </si>
  <si>
    <t>PROD_1362</t>
  </si>
  <si>
    <t>PROD_1363</t>
  </si>
  <si>
    <t>PROD_1364</t>
  </si>
  <si>
    <t>PROD_1365</t>
  </si>
  <si>
    <t>PROD_1366</t>
  </si>
  <si>
    <t>PROD_1367</t>
  </si>
  <si>
    <t>PROD_1368</t>
  </si>
  <si>
    <t>PROD_1369</t>
  </si>
  <si>
    <t>PROD_1370</t>
  </si>
  <si>
    <t>PROD_1371</t>
  </si>
  <si>
    <t>PROD_1372</t>
  </si>
  <si>
    <t>PROD_1373</t>
  </si>
  <si>
    <t>PROD_1374</t>
  </si>
  <si>
    <t>PROD_1375</t>
  </si>
  <si>
    <t>PROD_1376</t>
  </si>
  <si>
    <t>PROD_1377</t>
  </si>
  <si>
    <t>PROD_1378</t>
  </si>
  <si>
    <t>PROD_1379</t>
  </si>
  <si>
    <t>PROD_1380</t>
  </si>
  <si>
    <t>PROD_1381</t>
  </si>
  <si>
    <t>PROD_1382</t>
  </si>
  <si>
    <t>PROD_1383</t>
  </si>
  <si>
    <t>PROD_1384</t>
  </si>
  <si>
    <t>PROD_1385</t>
  </si>
  <si>
    <t>PROD_1386</t>
  </si>
  <si>
    <t>PROD_1387</t>
  </si>
  <si>
    <t>PROD_1388</t>
  </si>
  <si>
    <t>PROD_1389</t>
  </si>
  <si>
    <t>PROD_1390</t>
  </si>
  <si>
    <t>PROD_1391</t>
  </si>
  <si>
    <t>PROD_1392</t>
  </si>
  <si>
    <t>PROD_1393</t>
  </si>
  <si>
    <t>PROD_1394</t>
  </si>
  <si>
    <t>PROD_1395</t>
  </si>
  <si>
    <t>PROD_1396</t>
  </si>
  <si>
    <t>PROD_1397</t>
  </si>
  <si>
    <t>PROD_1398</t>
  </si>
  <si>
    <t>PROD_1399</t>
  </si>
  <si>
    <t>PROD_1400</t>
  </si>
  <si>
    <t>PROD_1401</t>
  </si>
  <si>
    <t>PROD_1402</t>
  </si>
  <si>
    <t>PROD_1403</t>
  </si>
  <si>
    <t>PROD_1404</t>
  </si>
  <si>
    <t>PROD_1405</t>
  </si>
  <si>
    <t>PROD_1406</t>
  </si>
  <si>
    <t>PROD_1407</t>
  </si>
  <si>
    <t>PROD_1408</t>
  </si>
  <si>
    <t>PROD_1409</t>
  </si>
  <si>
    <t>PROD_1410</t>
  </si>
  <si>
    <t>PROD_1411</t>
  </si>
  <si>
    <t>PROD_1412</t>
  </si>
  <si>
    <t>PROD_1413</t>
  </si>
  <si>
    <t>PROD_1414</t>
  </si>
  <si>
    <t>PROD_1415</t>
  </si>
  <si>
    <t>PROD_1416</t>
  </si>
  <si>
    <t>PROD_1417</t>
  </si>
  <si>
    <t>PROD_1418</t>
  </si>
  <si>
    <t>PROD_1419</t>
  </si>
  <si>
    <t>PROD_1420</t>
  </si>
  <si>
    <t>PROD_1421</t>
  </si>
  <si>
    <t>PROD_1422</t>
  </si>
  <si>
    <t>PROD_1423</t>
  </si>
  <si>
    <t>PROD_1424</t>
  </si>
  <si>
    <t>PROD_1425</t>
  </si>
  <si>
    <t>PROD_1426</t>
  </si>
  <si>
    <t>PROD_1427</t>
  </si>
  <si>
    <t>PROD_1428</t>
  </si>
  <si>
    <t>PROD_1429</t>
  </si>
  <si>
    <t>PROD_1430</t>
  </si>
  <si>
    <t>PROD_1431</t>
  </si>
  <si>
    <t>PROD_1432</t>
  </si>
  <si>
    <t>PROD_1433</t>
  </si>
  <si>
    <t>PROD_1434</t>
  </si>
  <si>
    <t>PROD_1435</t>
  </si>
  <si>
    <t>PROD_1436</t>
  </si>
  <si>
    <t>PROD_1437</t>
  </si>
  <si>
    <t>PROD_1438</t>
  </si>
  <si>
    <t>PROD_1439</t>
  </si>
  <si>
    <t>PROD_1440</t>
  </si>
  <si>
    <t>PROD_1441</t>
  </si>
  <si>
    <t>PROD_1442</t>
  </si>
  <si>
    <t>PROD_1443</t>
  </si>
  <si>
    <t>PROD_1444</t>
  </si>
  <si>
    <t>PROD_1445</t>
  </si>
  <si>
    <t>PROD_1446</t>
  </si>
  <si>
    <t>PROD_1447</t>
  </si>
  <si>
    <t>PROD_1448</t>
  </si>
  <si>
    <t>PROD_1449</t>
  </si>
  <si>
    <t>PROD_1450</t>
  </si>
  <si>
    <t>PROD_1451</t>
  </si>
  <si>
    <t>PROD_1452</t>
  </si>
  <si>
    <t>PROD_1453</t>
  </si>
  <si>
    <t>PROD_1454</t>
  </si>
  <si>
    <t>PROD_1455</t>
  </si>
  <si>
    <t>PROD_1456</t>
  </si>
  <si>
    <t>PROD_1457</t>
  </si>
  <si>
    <t>PROD_1458</t>
  </si>
  <si>
    <t>PROD_1459</t>
  </si>
  <si>
    <t>PROD_1460</t>
  </si>
  <si>
    <t>PROD_1461</t>
  </si>
  <si>
    <t>PROD_1462</t>
  </si>
  <si>
    <t>PROD_1463</t>
  </si>
  <si>
    <t>PROD_1464</t>
  </si>
  <si>
    <t>PROD_1465</t>
  </si>
  <si>
    <t>PROD_1466</t>
  </si>
  <si>
    <t>PROD_1467</t>
  </si>
  <si>
    <t>PROD_1468</t>
  </si>
  <si>
    <t>PROD_1469</t>
  </si>
  <si>
    <t>PROD_1470</t>
  </si>
  <si>
    <t>PROD_1471</t>
  </si>
  <si>
    <t>PROD_1472</t>
  </si>
  <si>
    <t>PROD_1473</t>
  </si>
  <si>
    <t>PROD_1474</t>
  </si>
  <si>
    <t>PROD_1475</t>
  </si>
  <si>
    <t>PROD_1476</t>
  </si>
  <si>
    <t>PROD_1477</t>
  </si>
  <si>
    <t>PROD_1478</t>
  </si>
  <si>
    <t>PROD_1479</t>
  </si>
  <si>
    <t>PROD_1480</t>
  </si>
  <si>
    <t>PROD_1481</t>
  </si>
  <si>
    <t>PROD_1482</t>
  </si>
  <si>
    <t>PROD_1483</t>
  </si>
  <si>
    <t>PROD_1484</t>
  </si>
  <si>
    <t>PROD_1485</t>
  </si>
  <si>
    <t>PROD_1486</t>
  </si>
  <si>
    <t>PROD_1487</t>
  </si>
  <si>
    <t>PROD_1488</t>
  </si>
  <si>
    <t>PROD_1489</t>
  </si>
  <si>
    <t>PROD_1490</t>
  </si>
  <si>
    <t>PROD_1491</t>
  </si>
  <si>
    <t>PROD_1492</t>
  </si>
  <si>
    <t>PROD_1493</t>
  </si>
  <si>
    <t>PROD_1494</t>
  </si>
  <si>
    <t>PROD_1495</t>
  </si>
  <si>
    <t>PROD_1496</t>
  </si>
  <si>
    <t>PROD_1497</t>
  </si>
  <si>
    <t>PROD_1498</t>
  </si>
  <si>
    <t>PROD_1499</t>
  </si>
  <si>
    <t>PROD_1500</t>
  </si>
  <si>
    <t>PROD_1501</t>
  </si>
  <si>
    <t>PROD_1502</t>
  </si>
  <si>
    <t>PROD_1503</t>
  </si>
  <si>
    <t>PROD_1504</t>
  </si>
  <si>
    <t>PROD_1505</t>
  </si>
  <si>
    <t>PROD_1506</t>
  </si>
  <si>
    <t>PROD_1507</t>
  </si>
  <si>
    <t>PROD_1508</t>
  </si>
  <si>
    <t>PROD_1509</t>
  </si>
  <si>
    <t>PROD_1510</t>
  </si>
  <si>
    <t>PROD_1511</t>
  </si>
  <si>
    <t>PROD_1512</t>
  </si>
  <si>
    <t>PROD_1513</t>
  </si>
  <si>
    <t>PROD_1514</t>
  </si>
  <si>
    <t>PROD_1515</t>
  </si>
  <si>
    <t>PROD_1516</t>
  </si>
  <si>
    <t>PROD_1517</t>
  </si>
  <si>
    <t>PROD_1518</t>
  </si>
  <si>
    <t>PROD_1519</t>
  </si>
  <si>
    <t>PROD_1520</t>
  </si>
  <si>
    <t>PROD_1521</t>
  </si>
  <si>
    <t>PROD_1522</t>
  </si>
  <si>
    <t>PROD_1523</t>
  </si>
  <si>
    <t>PROD_1524</t>
  </si>
  <si>
    <t>PROD_1525</t>
  </si>
  <si>
    <t>PROD_1526</t>
  </si>
  <si>
    <t>PROD_1527</t>
  </si>
  <si>
    <t>PROD_1528</t>
  </si>
  <si>
    <t>PROD_1529</t>
  </si>
  <si>
    <t>PROD_1530</t>
  </si>
  <si>
    <t>PROD_1531</t>
  </si>
  <si>
    <t>PROD_1532</t>
  </si>
  <si>
    <t>PROD_1533</t>
  </si>
  <si>
    <t>PROD_1534</t>
  </si>
  <si>
    <t>PROD_1535</t>
  </si>
  <si>
    <t>PROD_1536</t>
  </si>
  <si>
    <t>PROD_1537</t>
  </si>
  <si>
    <t>PROD_1538</t>
  </si>
  <si>
    <t>PROD_1539</t>
  </si>
  <si>
    <t>PROD_1540</t>
  </si>
  <si>
    <t>PROD_1541</t>
  </si>
  <si>
    <t>PROD_1542</t>
  </si>
  <si>
    <t>PROD_1543</t>
  </si>
  <si>
    <t>PROD_1544</t>
  </si>
  <si>
    <t>PROD_1545</t>
  </si>
  <si>
    <t>PROD_1546</t>
  </si>
  <si>
    <t>PROD_1547</t>
  </si>
  <si>
    <t>PROD_1548</t>
  </si>
  <si>
    <t>PROD_1549</t>
  </si>
  <si>
    <t>PROD_1550</t>
  </si>
  <si>
    <t>PROD_1551</t>
  </si>
  <si>
    <t>PROD_1552</t>
  </si>
  <si>
    <t>PROD_1553</t>
  </si>
  <si>
    <t>PROD_1554</t>
  </si>
  <si>
    <t>PROD_1555</t>
  </si>
  <si>
    <t>PROD_1556</t>
  </si>
  <si>
    <t>PROD_1557</t>
  </si>
  <si>
    <t>PROD_1558</t>
  </si>
  <si>
    <t>PROD_1559</t>
  </si>
  <si>
    <t>PROD_1560</t>
  </si>
  <si>
    <t>PROD_1561</t>
  </si>
  <si>
    <t>PROD_1562</t>
  </si>
  <si>
    <t>PROD_1563</t>
  </si>
  <si>
    <t>PROD_1564</t>
  </si>
  <si>
    <t>PROD_1565</t>
  </si>
  <si>
    <t>PROD_1566</t>
  </si>
  <si>
    <t>PROD_1567</t>
  </si>
  <si>
    <t>PROD_1568</t>
  </si>
  <si>
    <t>PROD_1569</t>
  </si>
  <si>
    <t>PROD_1570</t>
  </si>
  <si>
    <t>PROD_1571</t>
  </si>
  <si>
    <t>PROD_1572</t>
  </si>
  <si>
    <t>PROD_1573</t>
  </si>
  <si>
    <t>PROD_1574</t>
  </si>
  <si>
    <t>PROD_1575</t>
  </si>
  <si>
    <t>PROD_1576</t>
  </si>
  <si>
    <t>PROD_1577</t>
  </si>
  <si>
    <t>PROD_1578</t>
  </si>
  <si>
    <t>PROD_1579</t>
  </si>
  <si>
    <t>PROD_1580</t>
  </si>
  <si>
    <t>PROD_1581</t>
  </si>
  <si>
    <t>PROD_1582</t>
  </si>
  <si>
    <t>PROD_1583</t>
  </si>
  <si>
    <t>PROD_1584</t>
  </si>
  <si>
    <t>PROD_1585</t>
  </si>
  <si>
    <t>PROD_1586</t>
  </si>
  <si>
    <t>PROD_1587</t>
  </si>
  <si>
    <t>PROD_1588</t>
  </si>
  <si>
    <t>PROD_1589</t>
  </si>
  <si>
    <t>PROD_1590</t>
  </si>
  <si>
    <t>PROD_1591</t>
  </si>
  <si>
    <t>PROD_1592</t>
  </si>
  <si>
    <t>PROD_1593</t>
  </si>
  <si>
    <t>PROD_1594</t>
  </si>
  <si>
    <t>PROD_1595</t>
  </si>
  <si>
    <t>PROD_1596</t>
  </si>
  <si>
    <t>PROD_1597</t>
  </si>
  <si>
    <t>PROD_1598</t>
  </si>
  <si>
    <t>PROD_1599</t>
  </si>
  <si>
    <t>PROD_1600</t>
  </si>
  <si>
    <t>PROD_1601</t>
  </si>
  <si>
    <t>PROD_1602</t>
  </si>
  <si>
    <t>PROD_1603</t>
  </si>
  <si>
    <t>PROD_1604</t>
  </si>
  <si>
    <t>PROD_1605</t>
  </si>
  <si>
    <t>PROD_1606</t>
  </si>
  <si>
    <t>PROD_1607</t>
  </si>
  <si>
    <t>PROD_1608</t>
  </si>
  <si>
    <t>PROD_1609</t>
  </si>
  <si>
    <t>PROD_1610</t>
  </si>
  <si>
    <t>PROD_1611</t>
  </si>
  <si>
    <t>PROD_1612</t>
  </si>
  <si>
    <t>PROD_1613</t>
  </si>
  <si>
    <t>PROD_1614</t>
  </si>
  <si>
    <t>PROD_1615</t>
  </si>
  <si>
    <t>PROD_1616</t>
  </si>
  <si>
    <t>PROD_1617</t>
  </si>
  <si>
    <t>PROD_1618</t>
  </si>
  <si>
    <t>PROD_1619</t>
  </si>
  <si>
    <t>PROD_1620</t>
  </si>
  <si>
    <t>PROD_1621</t>
  </si>
  <si>
    <t>PROD_1622</t>
  </si>
  <si>
    <t>PROD_1623</t>
  </si>
  <si>
    <t>PROD_1624</t>
  </si>
  <si>
    <t>PROD_1625</t>
  </si>
  <si>
    <t>PROD_1626</t>
  </si>
  <si>
    <t>PROD_1627</t>
  </si>
  <si>
    <t>PROD_1628</t>
  </si>
  <si>
    <t>PROD_1629</t>
  </si>
  <si>
    <t>PROD_1630</t>
  </si>
  <si>
    <t>PROD_1631</t>
  </si>
  <si>
    <t>PROD_1632</t>
  </si>
  <si>
    <t>PROD_1633</t>
  </si>
  <si>
    <t>PROD_1634</t>
  </si>
  <si>
    <t>PROD_1635</t>
  </si>
  <si>
    <t>PROD_1636</t>
  </si>
  <si>
    <t>PROD_1637</t>
  </si>
  <si>
    <t>PROD_1638</t>
  </si>
  <si>
    <t>PROD_1639</t>
  </si>
  <si>
    <t>PROD_1640</t>
  </si>
  <si>
    <t>PROD_1641</t>
  </si>
  <si>
    <t>PROD_1642</t>
  </si>
  <si>
    <t>PROD_1643</t>
  </si>
  <si>
    <t>PROD_1644</t>
  </si>
  <si>
    <t>PROD_1645</t>
  </si>
  <si>
    <t>PROD_1646</t>
  </si>
  <si>
    <t>PROD_1647</t>
  </si>
  <si>
    <t>PROD_1648</t>
  </si>
  <si>
    <t>PROD_1649</t>
  </si>
  <si>
    <t>PROD_1650</t>
  </si>
  <si>
    <t>PROD_1651</t>
  </si>
  <si>
    <t>PROD_1652</t>
  </si>
  <si>
    <t>PROD_1653</t>
  </si>
  <si>
    <t>PROD_1654</t>
  </si>
  <si>
    <t>PROD_1655</t>
  </si>
  <si>
    <t>PROD_1656</t>
  </si>
  <si>
    <t>PROD_1657</t>
  </si>
  <si>
    <t>PROD_1658</t>
  </si>
  <si>
    <t>PROD_1659</t>
  </si>
  <si>
    <t>PROD_1660</t>
  </si>
  <si>
    <t>PROD_1661</t>
  </si>
  <si>
    <t>PROD_1662</t>
  </si>
  <si>
    <t>PROD_1663</t>
  </si>
  <si>
    <t>PROD_1664</t>
  </si>
  <si>
    <t>PROD_1665</t>
  </si>
  <si>
    <t>PROD_1666</t>
  </si>
  <si>
    <t>PROD_1667</t>
  </si>
  <si>
    <t>PROD_1668</t>
  </si>
  <si>
    <t>PROD_1669</t>
  </si>
  <si>
    <t>PROD_1670</t>
  </si>
  <si>
    <t>PROD_1671</t>
  </si>
  <si>
    <t>PROD_1672</t>
  </si>
  <si>
    <t>PROD_1673</t>
  </si>
  <si>
    <t>PROD_1674</t>
  </si>
  <si>
    <t>PROD_1675</t>
  </si>
  <si>
    <t>PROD_1676</t>
  </si>
  <si>
    <t>PROD_1677</t>
  </si>
  <si>
    <t>PROD_1678</t>
  </si>
  <si>
    <t>PROD_1679</t>
  </si>
  <si>
    <t>PROD_1680</t>
  </si>
  <si>
    <t>PROD_1681</t>
  </si>
  <si>
    <t>PROD_1682</t>
  </si>
  <si>
    <t>PROD_1683</t>
  </si>
  <si>
    <t>PROD_1684</t>
  </si>
  <si>
    <t>PROD_1685</t>
  </si>
  <si>
    <t>PROD_1686</t>
  </si>
  <si>
    <t>PROD_1687</t>
  </si>
  <si>
    <t>PROD_1688</t>
  </si>
  <si>
    <t>PROD_1689</t>
  </si>
  <si>
    <t>PROD_1690</t>
  </si>
  <si>
    <t>PROD_1691</t>
  </si>
  <si>
    <t>PROD_1692</t>
  </si>
  <si>
    <t>PROD_1693</t>
  </si>
  <si>
    <t>PROD_1694</t>
  </si>
  <si>
    <t>PROD_1695</t>
  </si>
  <si>
    <t>PROD_1696</t>
  </si>
  <si>
    <t>PROD_1697</t>
  </si>
  <si>
    <t>PROD_1698</t>
  </si>
  <si>
    <t>PROD_1699</t>
  </si>
  <si>
    <t>PROD_1700</t>
  </si>
  <si>
    <t>PROD_1701</t>
  </si>
  <si>
    <t>PROD_1702</t>
  </si>
  <si>
    <t>PROD_1703</t>
  </si>
  <si>
    <t>PROD_1704</t>
  </si>
  <si>
    <t>PROD_1705</t>
  </si>
  <si>
    <t>PROD_1706</t>
  </si>
  <si>
    <t>PROD_1707</t>
  </si>
  <si>
    <t>PROD_1708</t>
  </si>
  <si>
    <t>PROD_1709</t>
  </si>
  <si>
    <t>PROD_1710</t>
  </si>
  <si>
    <t>PROD_1711</t>
  </si>
  <si>
    <t>PROD_1712</t>
  </si>
  <si>
    <t>PROD_1713</t>
  </si>
  <si>
    <t>PROD_1714</t>
  </si>
  <si>
    <t>PROD_1715</t>
  </si>
  <si>
    <t>PROD_1716</t>
  </si>
  <si>
    <t>PROD_1717</t>
  </si>
  <si>
    <t>PROD_1718</t>
  </si>
  <si>
    <t>PROD_1719</t>
  </si>
  <si>
    <t>PROD_1720</t>
  </si>
  <si>
    <t>PROD_1721</t>
  </si>
  <si>
    <t>PROD_1722</t>
  </si>
  <si>
    <t>PROD_1723</t>
  </si>
  <si>
    <t>PROD_1724</t>
  </si>
  <si>
    <t>PROD_1725</t>
  </si>
  <si>
    <t>PROD_1726</t>
  </si>
  <si>
    <t>PROD_1727</t>
  </si>
  <si>
    <t>PROD_1728</t>
  </si>
  <si>
    <t>PROD_1729</t>
  </si>
  <si>
    <t>PROD_1730</t>
  </si>
  <si>
    <t>PROD_1731</t>
  </si>
  <si>
    <t>PROD_1732</t>
  </si>
  <si>
    <t>PROD_1733</t>
  </si>
  <si>
    <t>PROD_1734</t>
  </si>
  <si>
    <t>PROD_1735</t>
  </si>
  <si>
    <t>PROD_1736</t>
  </si>
  <si>
    <t>PROD_1737</t>
  </si>
  <si>
    <t>PROD_1738</t>
  </si>
  <si>
    <t>PROD_1739</t>
  </si>
  <si>
    <t>PROD_1740</t>
  </si>
  <si>
    <t>PROD_1741</t>
  </si>
  <si>
    <t>PROD_1742</t>
  </si>
  <si>
    <t>PROD_1743</t>
  </si>
  <si>
    <t>PROD_1744</t>
  </si>
  <si>
    <t>PROD_1745</t>
  </si>
  <si>
    <t>PROD_1746</t>
  </si>
  <si>
    <t>PROD_1747</t>
  </si>
  <si>
    <t>PROD_1748</t>
  </si>
  <si>
    <t>PROD_1749</t>
  </si>
  <si>
    <t>PROD_1750</t>
  </si>
  <si>
    <t>PROD_1751</t>
  </si>
  <si>
    <t>PROD_1752</t>
  </si>
  <si>
    <t>PROD_1753</t>
  </si>
  <si>
    <t>PROD_1754</t>
  </si>
  <si>
    <t>PROD_1755</t>
  </si>
  <si>
    <t>PROD_1756</t>
  </si>
  <si>
    <t>PROD_1757</t>
  </si>
  <si>
    <t>PROD_1758</t>
  </si>
  <si>
    <t>PROD_1759</t>
  </si>
  <si>
    <t>PROD_1760</t>
  </si>
  <si>
    <t>PROD_1761</t>
  </si>
  <si>
    <t>PROD_1762</t>
  </si>
  <si>
    <t>PROD_1763</t>
  </si>
  <si>
    <t>PROD_1764</t>
  </si>
  <si>
    <t>PROD_1765</t>
  </si>
  <si>
    <t>PROD_1766</t>
  </si>
  <si>
    <t>PROD_1767</t>
  </si>
  <si>
    <t>PROD_1768</t>
  </si>
  <si>
    <t>PROD_1769</t>
  </si>
  <si>
    <t>PROD_1770</t>
  </si>
  <si>
    <t>PROD_1771</t>
  </si>
  <si>
    <t>PROD_1772</t>
  </si>
  <si>
    <t>PROD_1773</t>
  </si>
  <si>
    <t>PROD_1774</t>
  </si>
  <si>
    <t>PROD_1775</t>
  </si>
  <si>
    <t>PROD_1776</t>
  </si>
  <si>
    <t>PROD_1777</t>
  </si>
  <si>
    <t>PROD_1778</t>
  </si>
  <si>
    <t>PROD_1779</t>
  </si>
  <si>
    <t>PROD_1780</t>
  </si>
  <si>
    <t>PROD_1781</t>
  </si>
  <si>
    <t>PROD_1782</t>
  </si>
  <si>
    <t>PROD_1783</t>
  </si>
  <si>
    <t>PROD_1784</t>
  </si>
  <si>
    <t>PROD_1785</t>
  </si>
  <si>
    <t>PROD_1786</t>
  </si>
  <si>
    <t>PROD_1787</t>
  </si>
  <si>
    <t>PROD_1788</t>
  </si>
  <si>
    <t>PROD_1789</t>
  </si>
  <si>
    <t>PROD_1790</t>
  </si>
  <si>
    <t>PROD_1791</t>
  </si>
  <si>
    <t>PROD_1792</t>
  </si>
  <si>
    <t>PROD_1793</t>
  </si>
  <si>
    <t>PROD_1794</t>
  </si>
  <si>
    <t>PROD_1795</t>
  </si>
  <si>
    <t>PROD_1796</t>
  </si>
  <si>
    <t>PROD_1797</t>
  </si>
  <si>
    <t>PROD_1798</t>
  </si>
  <si>
    <t>PROD_1799</t>
  </si>
  <si>
    <t>PROD_1800</t>
  </si>
  <si>
    <t>PROD_1801</t>
  </si>
  <si>
    <t>PROD_1802</t>
  </si>
  <si>
    <t>PROD_1803</t>
  </si>
  <si>
    <t>PROD_1804</t>
  </si>
  <si>
    <t>PROD_1805</t>
  </si>
  <si>
    <t>PROD_1806</t>
  </si>
  <si>
    <t>PROD_1807</t>
  </si>
  <si>
    <t>PROD_1808</t>
  </si>
  <si>
    <t>PROD_1809</t>
  </si>
  <si>
    <t>PROD_1810</t>
  </si>
  <si>
    <t>PROD_1811</t>
  </si>
  <si>
    <t>PROD_1812</t>
  </si>
  <si>
    <t>PROD_1813</t>
  </si>
  <si>
    <t>PROD_1814</t>
  </si>
  <si>
    <t>PROD_1815</t>
  </si>
  <si>
    <t>PROD_1816</t>
  </si>
  <si>
    <t>PROD_1817</t>
  </si>
  <si>
    <t>PROD_1818</t>
  </si>
  <si>
    <t>PROD_1819</t>
  </si>
  <si>
    <t>PROD_1820</t>
  </si>
  <si>
    <t>PROD_1821</t>
  </si>
  <si>
    <t>PROD_1822</t>
  </si>
  <si>
    <t>PROD_1823</t>
  </si>
  <si>
    <t>PROD_1824</t>
  </si>
  <si>
    <t>PROD_1825</t>
  </si>
  <si>
    <t>PROD_1826</t>
  </si>
  <si>
    <t>PROD_1827</t>
  </si>
  <si>
    <t>PROD_1828</t>
  </si>
  <si>
    <t>PROD_1829</t>
  </si>
  <si>
    <t>PROD_1830</t>
  </si>
  <si>
    <t>PROD_1831</t>
  </si>
  <si>
    <t>PROD_1832</t>
  </si>
  <si>
    <t>PROD_1833</t>
  </si>
  <si>
    <t>PROD_1834</t>
  </si>
  <si>
    <t>PROD_1835</t>
  </si>
  <si>
    <t>PROD_1836</t>
  </si>
  <si>
    <t>PROD_1837</t>
  </si>
  <si>
    <t>PROD_1838</t>
  </si>
  <si>
    <t>PROD_1839</t>
  </si>
  <si>
    <t>PROD_1840</t>
  </si>
  <si>
    <t>PROD_1841</t>
  </si>
  <si>
    <t>PROD_1842</t>
  </si>
  <si>
    <t>PROD_1843</t>
  </si>
  <si>
    <t>PROD_1844</t>
  </si>
  <si>
    <t>PROD_1845</t>
  </si>
  <si>
    <t>PROD_1846</t>
  </si>
  <si>
    <t>PROD_1847</t>
  </si>
  <si>
    <t>PROD_1848</t>
  </si>
  <si>
    <t>PROD_1849</t>
  </si>
  <si>
    <t>PROD_1850</t>
  </si>
  <si>
    <t>PROD_1851</t>
  </si>
  <si>
    <t>PROD_1852</t>
  </si>
  <si>
    <t>PROD_1853</t>
  </si>
  <si>
    <t>PROD_1854</t>
  </si>
  <si>
    <t>PROD_1855</t>
  </si>
  <si>
    <t>PROD_1856</t>
  </si>
  <si>
    <t>PROD_1857</t>
  </si>
  <si>
    <t>PROD_1858</t>
  </si>
  <si>
    <t>PROD_1859</t>
  </si>
  <si>
    <t>PROD_1860</t>
  </si>
  <si>
    <t>PROD_1861</t>
  </si>
  <si>
    <t>PROD_1862</t>
  </si>
  <si>
    <t>PROD_1863</t>
  </si>
  <si>
    <t>PROD_1864</t>
  </si>
  <si>
    <t>PROD_1865</t>
  </si>
  <si>
    <t>PROD_1866</t>
  </si>
  <si>
    <t>PROD_1867</t>
  </si>
  <si>
    <t>PROD_1868</t>
  </si>
  <si>
    <t>PROD_1869</t>
  </si>
  <si>
    <t>PROD_1870</t>
  </si>
  <si>
    <t>PROD_1871</t>
  </si>
  <si>
    <t>PROD_1872</t>
  </si>
  <si>
    <t>PROD_1873</t>
  </si>
  <si>
    <t>PROD_1874</t>
  </si>
  <si>
    <t>PROD_1875</t>
  </si>
  <si>
    <t>PROD_1876</t>
  </si>
  <si>
    <t>PROD_1877</t>
  </si>
  <si>
    <t>PROD_1878</t>
  </si>
  <si>
    <t>PROD_1879</t>
  </si>
  <si>
    <t>PROD_1880</t>
  </si>
  <si>
    <t>PROD_1881</t>
  </si>
  <si>
    <t>PROD_1882</t>
  </si>
  <si>
    <t>PROD_1883</t>
  </si>
  <si>
    <t>PROD_1884</t>
  </si>
  <si>
    <t>PROD_1885</t>
  </si>
  <si>
    <t>PROD_1886</t>
  </si>
  <si>
    <t>PROD_1887</t>
  </si>
  <si>
    <t>PROD_1888</t>
  </si>
  <si>
    <t>PROD_1889</t>
  </si>
  <si>
    <t>PROD_1890</t>
  </si>
  <si>
    <t>PROD_1891</t>
  </si>
  <si>
    <t>PROD_1892</t>
  </si>
  <si>
    <t>PROD_1893</t>
  </si>
  <si>
    <t>PROD_1894</t>
  </si>
  <si>
    <t>PROD_1895</t>
  </si>
  <si>
    <t>PROD_1896</t>
  </si>
  <si>
    <t>PROD_1897</t>
  </si>
  <si>
    <t>PROD_1898</t>
  </si>
  <si>
    <t>PROD_1899</t>
  </si>
  <si>
    <t>PROD_1900</t>
  </si>
  <si>
    <t>PROD_1901</t>
  </si>
  <si>
    <t>PROD_1902</t>
  </si>
  <si>
    <t>PROD_1903</t>
  </si>
  <si>
    <t>PROD_1904</t>
  </si>
  <si>
    <t>PROD_1905</t>
  </si>
  <si>
    <t>PROD_1906</t>
  </si>
  <si>
    <t>PROD_1907</t>
  </si>
  <si>
    <t>PROD_1908</t>
  </si>
  <si>
    <t>PROD_1909</t>
  </si>
  <si>
    <t>PROD_1910</t>
  </si>
  <si>
    <t>PROD_1911</t>
  </si>
  <si>
    <t>PROD_1912</t>
  </si>
  <si>
    <t>PROD_1913</t>
  </si>
  <si>
    <t>PROD_1914</t>
  </si>
  <si>
    <t>PROD_1915</t>
  </si>
  <si>
    <t>PROD_1916</t>
  </si>
  <si>
    <t>PROD_1917</t>
  </si>
  <si>
    <t>PROD_1918</t>
  </si>
  <si>
    <t>PROD_1919</t>
  </si>
  <si>
    <t>PROD_1920</t>
  </si>
  <si>
    <t>PROD_1921</t>
  </si>
  <si>
    <t>PROD_1922</t>
  </si>
  <si>
    <t>PROD_1923</t>
  </si>
  <si>
    <t>PROD_1924</t>
  </si>
  <si>
    <t>PROD_1925</t>
  </si>
  <si>
    <t>PROD_1926</t>
  </si>
  <si>
    <t>PROD_1927</t>
  </si>
  <si>
    <t>PROD_1928</t>
  </si>
  <si>
    <t>PROD_1929</t>
  </si>
  <si>
    <t>PROD_1930</t>
  </si>
  <si>
    <t>PROD_1931</t>
  </si>
  <si>
    <t>PROD_1932</t>
  </si>
  <si>
    <t>PROD_1933</t>
  </si>
  <si>
    <t>PROD_1934</t>
  </si>
  <si>
    <t>PROD_1935</t>
  </si>
  <si>
    <t>PROD_1936</t>
  </si>
  <si>
    <t>PROD_1937</t>
  </si>
  <si>
    <t>PROD_1938</t>
  </si>
  <si>
    <t>PROD_1939</t>
  </si>
  <si>
    <t>PROD_1940</t>
  </si>
  <si>
    <t>PROD_1941</t>
  </si>
  <si>
    <t>PROD_1942</t>
  </si>
  <si>
    <t>PROD_1943</t>
  </si>
  <si>
    <t>PROD_1944</t>
  </si>
  <si>
    <t>PROD_1945</t>
  </si>
  <si>
    <t>PROD_1946</t>
  </si>
  <si>
    <t>PROD_1947</t>
  </si>
  <si>
    <t>PROD_1948</t>
  </si>
  <si>
    <t>PROD_1949</t>
  </si>
  <si>
    <t>PROD_1950</t>
  </si>
  <si>
    <t>PROD_1951</t>
  </si>
  <si>
    <t>PROD_1952</t>
  </si>
  <si>
    <t>PROD_1953</t>
  </si>
  <si>
    <t>PROD_1954</t>
  </si>
  <si>
    <t>PROD_1955</t>
  </si>
  <si>
    <t>PROD_1956</t>
  </si>
  <si>
    <t>PROD_1957</t>
  </si>
  <si>
    <t>PROD_1958</t>
  </si>
  <si>
    <t>PROD_1959</t>
  </si>
  <si>
    <t>PROD_1960</t>
  </si>
  <si>
    <t>PROD_1961</t>
  </si>
  <si>
    <t>PROD_1962</t>
  </si>
  <si>
    <t>PROD_1963</t>
  </si>
  <si>
    <t>PROD_1964</t>
  </si>
  <si>
    <t>PROD_1965</t>
  </si>
  <si>
    <t>PROD_1966</t>
  </si>
  <si>
    <t>PROD_1967</t>
  </si>
  <si>
    <t>PROD_1968</t>
  </si>
  <si>
    <t>PROD_1969</t>
  </si>
  <si>
    <t>PROD_1970</t>
  </si>
  <si>
    <t>PROD_1971</t>
  </si>
  <si>
    <t>PROD_1972</t>
  </si>
  <si>
    <t>PROD_1973</t>
  </si>
  <si>
    <t>PROD_1974</t>
  </si>
  <si>
    <t>PROD_1975</t>
  </si>
  <si>
    <t>PROD_1976</t>
  </si>
  <si>
    <t>PROD_1977</t>
  </si>
  <si>
    <t>PROD_1978</t>
  </si>
  <si>
    <t>PROD_1979</t>
  </si>
  <si>
    <t>PROD_1980</t>
  </si>
  <si>
    <t>PROD_1981</t>
  </si>
  <si>
    <t>PROD_1982</t>
  </si>
  <si>
    <t>PROD_1983</t>
  </si>
  <si>
    <t>PROD_1984</t>
  </si>
  <si>
    <t>PROD_1985</t>
  </si>
  <si>
    <t>PROD_1986</t>
  </si>
  <si>
    <t>PROD_1987</t>
  </si>
  <si>
    <t>PROD_1988</t>
  </si>
  <si>
    <t>PROD_1989</t>
  </si>
  <si>
    <t>PROD_1990</t>
  </si>
  <si>
    <t>PROD_1991</t>
  </si>
  <si>
    <t>PROD_1992</t>
  </si>
  <si>
    <t>PROD_1993</t>
  </si>
  <si>
    <t>PROD_1994</t>
  </si>
  <si>
    <t>PROD_1995</t>
  </si>
  <si>
    <t>PROD_1996</t>
  </si>
  <si>
    <t>PROD_1997</t>
  </si>
  <si>
    <t>PROD_1998</t>
  </si>
  <si>
    <t>PROD_1999</t>
  </si>
  <si>
    <t>PROD_2000</t>
  </si>
  <si>
    <t>PROD_2001</t>
  </si>
  <si>
    <t>PROD_2002</t>
  </si>
  <si>
    <t>PROD_2003</t>
  </si>
  <si>
    <t>PROD_2004</t>
  </si>
  <si>
    <t>PROD_2005</t>
  </si>
  <si>
    <t>PROD_2006</t>
  </si>
  <si>
    <t>PROD_2007</t>
  </si>
  <si>
    <t>PROD_2008</t>
  </si>
  <si>
    <t>PROD_2009</t>
  </si>
  <si>
    <t>PROD_2010</t>
  </si>
  <si>
    <t>PROD_2011</t>
  </si>
  <si>
    <t>PROD_2012</t>
  </si>
  <si>
    <t>PROD_2013</t>
  </si>
  <si>
    <t>PROD_2014</t>
  </si>
  <si>
    <t>PROD_2015</t>
  </si>
  <si>
    <t>PROD_2016</t>
  </si>
  <si>
    <t>PROD_2017</t>
  </si>
  <si>
    <t>PROD_2018</t>
  </si>
  <si>
    <t>PROD_2019</t>
  </si>
  <si>
    <t>PROD_2020</t>
  </si>
  <si>
    <t>PROD_2021</t>
  </si>
  <si>
    <t>PROD_2022</t>
  </si>
  <si>
    <t>PROD_2023</t>
  </si>
  <si>
    <t>PROD_2024</t>
  </si>
  <si>
    <t>PROD_2025</t>
  </si>
  <si>
    <t>PROD_2026</t>
  </si>
  <si>
    <t>PROD_2027</t>
  </si>
  <si>
    <t>PROD_2028</t>
  </si>
  <si>
    <t>PROD_2029</t>
  </si>
  <si>
    <t>PROD_2030</t>
  </si>
  <si>
    <t>PROD_2031</t>
  </si>
  <si>
    <t>PROD_2032</t>
  </si>
  <si>
    <t>PROD_2033</t>
  </si>
  <si>
    <t>PROD_2034</t>
  </si>
  <si>
    <t>PROD_2035</t>
  </si>
  <si>
    <t>PROD_2036</t>
  </si>
  <si>
    <t>PROD_2037</t>
  </si>
  <si>
    <t>PROD_2038</t>
  </si>
  <si>
    <t>PROD_2039</t>
  </si>
  <si>
    <t>PROD_2040</t>
  </si>
  <si>
    <t>PROD_2041</t>
  </si>
  <si>
    <t>PROD_2042</t>
  </si>
  <si>
    <t>PROD_2043</t>
  </si>
  <si>
    <t>PROD_2044</t>
  </si>
  <si>
    <t>PROD_2045</t>
  </si>
  <si>
    <t>PROD_2046</t>
  </si>
  <si>
    <t>PROD_2047</t>
  </si>
  <si>
    <t>PROD_2048</t>
  </si>
  <si>
    <t>PROD_2049</t>
  </si>
  <si>
    <t>PROD_2050</t>
  </si>
  <si>
    <t>PROD_2051</t>
  </si>
  <si>
    <t>PROD_2052</t>
  </si>
  <si>
    <t>PROD_2053</t>
  </si>
  <si>
    <t>PROD_2054</t>
  </si>
  <si>
    <t>PROD_2055</t>
  </si>
  <si>
    <t>PROD_2056</t>
  </si>
  <si>
    <t>PROD_2057</t>
  </si>
  <si>
    <t>PROD_2058</t>
  </si>
  <si>
    <t>PROD_2059</t>
  </si>
  <si>
    <t>PROD_2060</t>
  </si>
  <si>
    <t>PROD_2061</t>
  </si>
  <si>
    <t>PROD_2062</t>
  </si>
  <si>
    <t>PROD_2063</t>
  </si>
  <si>
    <t>PROD_2064</t>
  </si>
  <si>
    <t>PROD_2065</t>
  </si>
  <si>
    <t>PROD_2066</t>
  </si>
  <si>
    <t>PROD_2067</t>
  </si>
  <si>
    <t>PROD_2068</t>
  </si>
  <si>
    <t>PROD_2069</t>
  </si>
  <si>
    <t>PROD_2070</t>
  </si>
  <si>
    <t>PROD_2071</t>
  </si>
  <si>
    <t>PROD_2072</t>
  </si>
  <si>
    <t>PROD_2073</t>
  </si>
  <si>
    <t>PROD_2074</t>
  </si>
  <si>
    <t>PROD_2075</t>
  </si>
  <si>
    <t>PROD_2076</t>
  </si>
  <si>
    <t>PROD_2077</t>
  </si>
  <si>
    <t>PROD_2078</t>
  </si>
  <si>
    <t>PROD_2079</t>
  </si>
  <si>
    <t>PROD_2080</t>
  </si>
  <si>
    <t>PROD_2081</t>
  </si>
  <si>
    <t>PROD_2082</t>
  </si>
  <si>
    <t>PROD_2083</t>
  </si>
  <si>
    <t>PROD_2084</t>
  </si>
  <si>
    <t>PROD_2085</t>
  </si>
  <si>
    <t>PROD_2086</t>
  </si>
  <si>
    <t>PROD_2087</t>
  </si>
  <si>
    <t>PROD_2088</t>
  </si>
  <si>
    <t>PROD_2089</t>
  </si>
  <si>
    <t>PROD_2090</t>
  </si>
  <si>
    <t>PROD_2091</t>
  </si>
  <si>
    <t>PROD_2092</t>
  </si>
  <si>
    <t>PROD_2093</t>
  </si>
  <si>
    <t>PROD_2094</t>
  </si>
  <si>
    <t>PROD_2095</t>
  </si>
  <si>
    <t>PROD_2096</t>
  </si>
  <si>
    <t>PROD_2097</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</si>
</sst>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_ "/>
    <numFmt numFmtId="181" formatCode="yyyy\-mm\-dd\ hh:mm:ss"/>
  </numFmts>
  <fonts count="25">
    <font>
      <sz val="11"/>
      <color theme="1"/>
      <name val="Calibri"/>
      <charset val="134"/>
      <scheme val="minor"/>
    </font>
    <font>
      <b/>
      <sz val="11"/>
      <color theme="1"/>
      <name val="Calibri"/>
      <charset val="134"/>
    </font>
    <font>
      <sz val="11"/>
      <color theme="1"/>
      <name val="Calibri"/>
      <charset val="134"/>
    </font>
    <font>
      <sz val="9"/>
      <color rgb="FF2B2A29"/>
      <name val="'AgfaRotisSansSerif'"/>
      <charset val="134"/>
    </font>
    <font>
      <sz val="11"/>
      <color rgb="FFFF0000"/>
      <name val="Calibri"/>
      <charset val="134"/>
      <scheme val="minor"/>
    </font>
    <font>
      <sz val="11"/>
      <color rgb="FFFF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6"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7" borderId="5" applyNumberFormat="0" applyAlignment="0" applyProtection="0">
      <alignment vertical="center"/>
    </xf>
    <xf numFmtId="0" fontId="15" fillId="8" borderId="6" applyNumberFormat="0" applyAlignment="0" applyProtection="0">
      <alignment vertical="center"/>
    </xf>
    <xf numFmtId="0" fontId="16" fillId="8" borderId="5" applyNumberFormat="0" applyAlignment="0" applyProtection="0">
      <alignment vertical="center"/>
    </xf>
    <xf numFmtId="0" fontId="17" fillId="9"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18">
    <xf numFmtId="0" fontId="0" fillId="0" borderId="0" xfId="0"/>
    <xf numFmtId="0" fontId="1" fillId="0" borderId="1" xfId="0" applyFont="1" applyBorder="1" applyAlignment="1">
      <alignment horizontal="center" vertical="top"/>
    </xf>
    <xf numFmtId="0" fontId="2" fillId="0" borderId="1" xfId="0" applyFont="1" applyBorder="1"/>
    <xf numFmtId="9" fontId="1" fillId="0" borderId="1" xfId="0" applyNumberFormat="1" applyFont="1" applyBorder="1" applyAlignment="1">
      <alignment horizontal="center" vertical="top"/>
    </xf>
    <xf numFmtId="9" fontId="2" fillId="0" borderId="0" xfId="0" applyNumberFormat="1" applyFont="1"/>
    <xf numFmtId="180" fontId="2" fillId="0" borderId="0" xfId="0" applyNumberFormat="1" applyFont="1"/>
    <xf numFmtId="0" fontId="0" fillId="2" borderId="0" xfId="0" applyFill="1"/>
    <xf numFmtId="9" fontId="2" fillId="2" borderId="0" xfId="0" applyNumberFormat="1" applyFont="1" applyFill="1"/>
    <xf numFmtId="0" fontId="0" fillId="3" borderId="0" xfId="0" applyFill="1"/>
    <xf numFmtId="9" fontId="2" fillId="3" borderId="0" xfId="0" applyNumberFormat="1" applyFont="1" applyFill="1"/>
    <xf numFmtId="0" fontId="0" fillId="4" borderId="0" xfId="0" applyFill="1"/>
    <xf numFmtId="9" fontId="2" fillId="4" borderId="0" xfId="0" applyNumberFormat="1" applyFont="1" applyFill="1"/>
    <xf numFmtId="0" fontId="3" fillId="0" borderId="0" xfId="0" applyFont="1"/>
    <xf numFmtId="0" fontId="4" fillId="0" borderId="0" xfId="0" applyFont="1"/>
    <xf numFmtId="9" fontId="5" fillId="0" borderId="0" xfId="0" applyNumberFormat="1" applyFont="1"/>
    <xf numFmtId="0" fontId="0" fillId="5" borderId="0" xfId="0" applyFill="1"/>
    <xf numFmtId="9" fontId="2" fillId="5" borderId="0" xfId="0" applyNumberFormat="1" applyFont="1" applyFill="1"/>
    <xf numFmtId="181" fontId="2" fillId="0" borderId="0" xfId="0" applyNumberFormat="1"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2098"/>
  <sheetViews>
    <sheetView tabSelected="1" workbookViewId="0">
      <selection activeCell="D10" sqref="D10"/>
    </sheetView>
  </sheetViews>
  <sheetFormatPr defaultColWidth="14.4380952380952" defaultRowHeight="15" customHeight="1"/>
  <cols>
    <col min="1" max="1" width="11.7142857142857" customWidth="1"/>
    <col min="2" max="2" width="10.1428571428571" customWidth="1"/>
    <col min="3" max="3" width="19" customWidth="1"/>
    <col min="4" max="4" width="25.4285714285714" customWidth="1"/>
    <col min="5" max="5" width="12.1428571428571" customWidth="1"/>
    <col min="6" max="6" width="164.428571428571" customWidth="1"/>
    <col min="7" max="7" width="29.2857142857143" customWidth="1"/>
    <col min="8" max="8" width="15.7142857142857" customWidth="1"/>
    <col min="9" max="9" width="56.8571428571429" customWidth="1"/>
    <col min="10" max="10" width="21.1428571428571" customWidth="1"/>
    <col min="11" max="11" width="36.2857142857143" customWidth="1"/>
    <col min="12" max="12" width="16.4285714285714" customWidth="1"/>
    <col min="13" max="13" width="21.1428571428571" customWidth="1"/>
    <col min="14" max="14" width="19.5714285714286" customWidth="1"/>
    <col min="15" max="16" width="15.5714285714286" customWidth="1"/>
    <col min="17" max="17" width="25.1428571428571" customWidth="1"/>
    <col min="18" max="18" width="26" customWidth="1"/>
    <col min="19" max="19" width="7.85714285714286" customWidth="1"/>
    <col min="20" max="20" width="16.4285714285714" customWidth="1"/>
    <col min="21" max="21" width="20.2857142857143" customWidth="1"/>
    <col min="22" max="22" width="20.7142857142857" customWidth="1"/>
    <col min="23" max="23" width="16.4285714285714" customWidth="1"/>
    <col min="24" max="24" width="16.2857142857143" customWidth="1"/>
    <col min="25" max="25" width="65.7142857142857" customWidth="1"/>
    <col min="26" max="26" width="10.2857142857143" customWidth="1"/>
    <col min="27" max="27" width="16.5714285714286" customWidth="1"/>
    <col min="28" max="28" width="15" customWidth="1"/>
    <col min="29" max="29" width="15.5714285714286" customWidth="1"/>
    <col min="30" max="30" width="21.5714285714286" customWidth="1"/>
    <col min="31" max="31" width="15.1428571428571" customWidth="1"/>
    <col min="32" max="32" width="16.2857142857143" customWidth="1"/>
    <col min="33" max="33" width="19.8571428571429" customWidth="1"/>
    <col min="34" max="34" width="5.14285714285714" customWidth="1"/>
    <col min="35" max="35" width="12.7142857142857" customWidth="1"/>
    <col min="36" max="36" width="11.7142857142857" customWidth="1"/>
    <col min="37" max="37" width="13.8571428571429" customWidth="1"/>
    <col min="38" max="38" width="10.1428571428571" customWidth="1"/>
    <col min="39" max="39" width="15.4285714285714" customWidth="1"/>
    <col min="40" max="40" width="14.1428571428571" customWidth="1"/>
    <col min="41" max="41" width="14.2857142857143" customWidth="1"/>
    <col min="42" max="42" width="8.42857142857143" customWidth="1"/>
    <col min="43" max="43" width="15" customWidth="1"/>
    <col min="44" max="44" width="9.42857142857143" customWidth="1"/>
    <col min="45" max="45" width="255.714285714286" customWidth="1"/>
    <col min="46" max="46" width="12.2857142857143" customWidth="1"/>
  </cols>
  <sheetData>
    <row r="1" ht="14.4" customHeight="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3" t="s">
        <v>31</v>
      </c>
      <c r="AG1" s="1" t="s">
        <v>32</v>
      </c>
      <c r="AH1" s="3" t="s">
        <v>33</v>
      </c>
      <c r="AI1" s="1" t="s">
        <v>34</v>
      </c>
      <c r="AJ1" s="3" t="s">
        <v>35</v>
      </c>
      <c r="AK1" s="1" t="s">
        <v>36</v>
      </c>
      <c r="AL1" s="1" t="s">
        <v>37</v>
      </c>
      <c r="AM1" s="1" t="s">
        <v>38</v>
      </c>
      <c r="AN1" s="1" t="s">
        <v>39</v>
      </c>
      <c r="AO1" s="1" t="s">
        <v>40</v>
      </c>
      <c r="AP1" s="1" t="s">
        <v>41</v>
      </c>
      <c r="AQ1" s="1" t="s">
        <v>42</v>
      </c>
      <c r="AR1" s="1" t="s">
        <v>43</v>
      </c>
      <c r="AS1" s="1" t="s">
        <v>44</v>
      </c>
      <c r="AT1" t="s">
        <v>43</v>
      </c>
    </row>
    <row r="2" ht="14.4" customHeight="1" spans="1:46">
      <c r="A2" t="s">
        <v>45</v>
      </c>
      <c r="B2" t="s">
        <v>46</v>
      </c>
      <c r="C2" t="s">
        <v>47</v>
      </c>
      <c r="D2" t="s">
        <v>48</v>
      </c>
      <c r="E2" t="s">
        <v>49</v>
      </c>
      <c r="F2" t="s">
        <v>50</v>
      </c>
      <c r="H2" t="s">
        <v>51</v>
      </c>
      <c r="I2" t="s">
        <v>52</v>
      </c>
      <c r="J2" t="s">
        <v>53</v>
      </c>
      <c r="K2" t="s">
        <v>54</v>
      </c>
      <c r="L2" t="s">
        <v>55</v>
      </c>
      <c r="M2" t="s">
        <v>56</v>
      </c>
      <c r="Q2" t="s">
        <v>57</v>
      </c>
      <c r="S2">
        <v>1</v>
      </c>
      <c r="U2">
        <v>51000</v>
      </c>
      <c r="V2" t="s">
        <v>58</v>
      </c>
      <c r="W2" t="s">
        <v>59</v>
      </c>
      <c r="X2" t="s">
        <v>60</v>
      </c>
      <c r="Y2" t="s">
        <v>61</v>
      </c>
      <c r="Z2">
        <v>4412</v>
      </c>
      <c r="AA2" t="s">
        <v>62</v>
      </c>
      <c r="AB2" t="s">
        <v>63</v>
      </c>
      <c r="AC2">
        <v>32</v>
      </c>
      <c r="AD2">
        <v>54</v>
      </c>
      <c r="AE2">
        <f t="shared" ref="AE2:AE65" si="0">+AC2*AD2</f>
        <v>1728</v>
      </c>
      <c r="AF2" s="4">
        <v>0.19</v>
      </c>
      <c r="AG2">
        <f t="shared" ref="AG2:AG65" si="1">ROUND(AE2-(AE2*AF2),2)</f>
        <v>1399.68</v>
      </c>
      <c r="AH2" s="4">
        <v>0.18</v>
      </c>
      <c r="AI2">
        <f t="shared" ref="AI2:AI65" si="2">ROUND(AG2+(AG2*AH2),2)</f>
        <v>1651.62</v>
      </c>
      <c r="AJ2" s="4">
        <v>0.1</v>
      </c>
      <c r="AK2">
        <f t="shared" ref="AK2:AK65" si="3">ROUND(AI2*AJ2,2)</f>
        <v>165.16</v>
      </c>
      <c r="AL2">
        <f t="shared" ref="AL2:AL65" si="4">AI2+AK2</f>
        <v>1816.78</v>
      </c>
      <c r="AM2">
        <f t="shared" ref="AM2:AM65" si="5">AE2-AL2</f>
        <v>-88.78</v>
      </c>
      <c r="AN2" s="4">
        <f t="shared" ref="AN2:AN65" si="6">AM2/AE2</f>
        <v>-0.0513773148148148</v>
      </c>
      <c r="AO2" t="s">
        <v>64</v>
      </c>
      <c r="AQ2" t="s">
        <v>65</v>
      </c>
      <c r="AS2" t="s">
        <v>66</v>
      </c>
    </row>
    <row r="3" ht="14.4" customHeight="1" spans="1:46">
      <c r="A3" t="s">
        <v>45</v>
      </c>
      <c r="B3" t="s">
        <v>67</v>
      </c>
      <c r="C3" t="s">
        <v>47</v>
      </c>
      <c r="D3" t="s">
        <v>48</v>
      </c>
      <c r="E3" t="s">
        <v>49</v>
      </c>
      <c r="F3" t="s">
        <v>50</v>
      </c>
      <c r="H3" t="s">
        <v>51</v>
      </c>
      <c r="I3" t="s">
        <v>52</v>
      </c>
      <c r="J3" t="s">
        <v>53</v>
      </c>
      <c r="K3" t="s">
        <v>54</v>
      </c>
      <c r="L3" t="s">
        <v>55</v>
      </c>
      <c r="M3" t="s">
        <v>68</v>
      </c>
      <c r="Q3" t="s">
        <v>57</v>
      </c>
      <c r="S3">
        <v>1</v>
      </c>
      <c r="U3">
        <v>51000</v>
      </c>
      <c r="V3" t="s">
        <v>69</v>
      </c>
      <c r="X3" t="s">
        <v>70</v>
      </c>
      <c r="Y3" t="s">
        <v>61</v>
      </c>
      <c r="Z3">
        <v>4412</v>
      </c>
      <c r="AA3" t="s">
        <v>62</v>
      </c>
      <c r="AB3" t="s">
        <v>63</v>
      </c>
      <c r="AC3">
        <v>32</v>
      </c>
      <c r="AD3">
        <v>66.96</v>
      </c>
      <c r="AE3">
        <f t="shared" si="0"/>
        <v>2142.72</v>
      </c>
      <c r="AF3" s="4">
        <v>0.19</v>
      </c>
      <c r="AG3">
        <f t="shared" si="1"/>
        <v>1735.6</v>
      </c>
      <c r="AH3" s="4">
        <v>0.18</v>
      </c>
      <c r="AI3">
        <f t="shared" si="2"/>
        <v>2048.01</v>
      </c>
      <c r="AJ3" s="4">
        <v>0.1</v>
      </c>
      <c r="AK3">
        <f t="shared" si="3"/>
        <v>204.8</v>
      </c>
      <c r="AL3">
        <f t="shared" si="4"/>
        <v>2252.81</v>
      </c>
      <c r="AM3">
        <f t="shared" si="5"/>
        <v>-110.090000000001</v>
      </c>
      <c r="AN3" s="4">
        <f t="shared" si="6"/>
        <v>-0.0513786215651138</v>
      </c>
      <c r="AO3" t="s">
        <v>64</v>
      </c>
      <c r="AQ3" t="s">
        <v>65</v>
      </c>
      <c r="AS3" t="s">
        <v>66</v>
      </c>
    </row>
    <row r="4" ht="14.4" customHeight="1" spans="1:46">
      <c r="A4" t="s">
        <v>45</v>
      </c>
      <c r="B4" t="s">
        <v>71</v>
      </c>
      <c r="C4" t="s">
        <v>47</v>
      </c>
      <c r="D4" t="s">
        <v>48</v>
      </c>
      <c r="E4" t="s">
        <v>49</v>
      </c>
      <c r="F4" t="s">
        <v>50</v>
      </c>
      <c r="H4" t="s">
        <v>51</v>
      </c>
      <c r="I4" t="s">
        <v>52</v>
      </c>
      <c r="J4" t="s">
        <v>53</v>
      </c>
      <c r="K4" t="s">
        <v>54</v>
      </c>
      <c r="L4" t="s">
        <v>55</v>
      </c>
      <c r="M4" t="s">
        <v>72</v>
      </c>
      <c r="Q4" t="s">
        <v>57</v>
      </c>
      <c r="S4">
        <v>1</v>
      </c>
      <c r="U4">
        <v>51000</v>
      </c>
      <c r="V4" t="s">
        <v>73</v>
      </c>
      <c r="X4" t="s">
        <v>74</v>
      </c>
      <c r="Y4" t="s">
        <v>61</v>
      </c>
      <c r="Z4">
        <v>4412</v>
      </c>
      <c r="AA4" t="s">
        <v>62</v>
      </c>
      <c r="AB4" t="s">
        <v>63</v>
      </c>
      <c r="AC4">
        <v>32</v>
      </c>
      <c r="AD4">
        <v>81</v>
      </c>
      <c r="AE4">
        <f t="shared" si="0"/>
        <v>2592</v>
      </c>
      <c r="AF4" s="4">
        <v>0.19</v>
      </c>
      <c r="AG4">
        <f t="shared" si="1"/>
        <v>2099.52</v>
      </c>
      <c r="AH4" s="4">
        <v>0.18</v>
      </c>
      <c r="AI4">
        <f t="shared" si="2"/>
        <v>2477.43</v>
      </c>
      <c r="AJ4" s="4">
        <v>0.1</v>
      </c>
      <c r="AK4">
        <f t="shared" si="3"/>
        <v>247.74</v>
      </c>
      <c r="AL4">
        <f t="shared" si="4"/>
        <v>2725.17</v>
      </c>
      <c r="AM4">
        <f t="shared" si="5"/>
        <v>-133.17</v>
      </c>
      <c r="AN4" s="4">
        <f t="shared" si="6"/>
        <v>-0.0513773148148148</v>
      </c>
      <c r="AO4" t="s">
        <v>64</v>
      </c>
      <c r="AQ4" t="s">
        <v>65</v>
      </c>
      <c r="AS4" t="s">
        <v>66</v>
      </c>
    </row>
    <row r="5" ht="14.4" customHeight="1" spans="1:46">
      <c r="A5" t="s">
        <v>45</v>
      </c>
      <c r="B5" t="s">
        <v>75</v>
      </c>
      <c r="C5" t="s">
        <v>47</v>
      </c>
      <c r="D5" t="s">
        <v>48</v>
      </c>
      <c r="E5" t="s">
        <v>49</v>
      </c>
      <c r="F5" t="s">
        <v>50</v>
      </c>
      <c r="H5" t="s">
        <v>51</v>
      </c>
      <c r="I5" t="s">
        <v>52</v>
      </c>
      <c r="J5" t="s">
        <v>53</v>
      </c>
      <c r="K5" t="s">
        <v>54</v>
      </c>
      <c r="L5" t="s">
        <v>55</v>
      </c>
      <c r="M5" t="s">
        <v>76</v>
      </c>
      <c r="Q5" t="s">
        <v>57</v>
      </c>
      <c r="S5">
        <v>1</v>
      </c>
      <c r="U5">
        <v>51000</v>
      </c>
      <c r="V5" t="s">
        <v>77</v>
      </c>
      <c r="X5" t="s">
        <v>78</v>
      </c>
      <c r="Y5" t="s">
        <v>61</v>
      </c>
      <c r="Z5">
        <v>4412</v>
      </c>
      <c r="AA5" t="s">
        <v>62</v>
      </c>
      <c r="AB5" t="s">
        <v>63</v>
      </c>
      <c r="AC5">
        <v>32</v>
      </c>
      <c r="AD5">
        <v>104.76</v>
      </c>
      <c r="AE5">
        <f t="shared" si="0"/>
        <v>3352.32</v>
      </c>
      <c r="AF5" s="4">
        <v>0.19</v>
      </c>
      <c r="AG5">
        <f t="shared" si="1"/>
        <v>2715.38</v>
      </c>
      <c r="AH5" s="4">
        <v>0.18</v>
      </c>
      <c r="AI5">
        <f t="shared" si="2"/>
        <v>3204.15</v>
      </c>
      <c r="AJ5" s="4">
        <v>0.1</v>
      </c>
      <c r="AK5">
        <f t="shared" si="3"/>
        <v>320.42</v>
      </c>
      <c r="AL5">
        <f t="shared" si="4"/>
        <v>3524.57</v>
      </c>
      <c r="AM5">
        <f t="shared" si="5"/>
        <v>-172.25</v>
      </c>
      <c r="AN5" s="4">
        <f t="shared" si="6"/>
        <v>-0.0513823262695685</v>
      </c>
      <c r="AO5" t="s">
        <v>64</v>
      </c>
      <c r="AQ5" t="s">
        <v>65</v>
      </c>
      <c r="AS5" t="s">
        <v>66</v>
      </c>
    </row>
    <row r="6" ht="14.4" customHeight="1" spans="1:46">
      <c r="A6" t="s">
        <v>45</v>
      </c>
      <c r="B6" t="s">
        <v>79</v>
      </c>
      <c r="C6" t="s">
        <v>47</v>
      </c>
      <c r="D6" t="s">
        <v>48</v>
      </c>
      <c r="E6" t="s">
        <v>49</v>
      </c>
      <c r="F6" t="s">
        <v>50</v>
      </c>
      <c r="H6" t="s">
        <v>51</v>
      </c>
      <c r="I6" t="s">
        <v>52</v>
      </c>
      <c r="J6" t="s">
        <v>53</v>
      </c>
      <c r="K6" t="s">
        <v>54</v>
      </c>
      <c r="L6" t="s">
        <v>55</v>
      </c>
      <c r="M6" t="s">
        <v>80</v>
      </c>
      <c r="Q6" t="s">
        <v>57</v>
      </c>
      <c r="S6">
        <v>1</v>
      </c>
      <c r="U6">
        <v>51000</v>
      </c>
      <c r="V6" t="s">
        <v>81</v>
      </c>
      <c r="X6" t="s">
        <v>82</v>
      </c>
      <c r="Y6" t="s">
        <v>61</v>
      </c>
      <c r="Z6">
        <v>4412</v>
      </c>
      <c r="AA6" t="s">
        <v>62</v>
      </c>
      <c r="AB6" t="s">
        <v>63</v>
      </c>
      <c r="AC6">
        <v>32</v>
      </c>
      <c r="AD6">
        <v>130.68</v>
      </c>
      <c r="AE6">
        <f t="shared" si="0"/>
        <v>4181.76</v>
      </c>
      <c r="AF6" s="4">
        <v>0.19</v>
      </c>
      <c r="AG6">
        <f t="shared" si="1"/>
        <v>3387.23</v>
      </c>
      <c r="AH6" s="4">
        <v>0.18</v>
      </c>
      <c r="AI6">
        <f t="shared" si="2"/>
        <v>3996.93</v>
      </c>
      <c r="AJ6" s="4">
        <v>0.1</v>
      </c>
      <c r="AK6">
        <f t="shared" si="3"/>
        <v>399.69</v>
      </c>
      <c r="AL6">
        <f t="shared" si="4"/>
        <v>4396.62</v>
      </c>
      <c r="AM6">
        <f t="shared" si="5"/>
        <v>-214.86</v>
      </c>
      <c r="AN6" s="4">
        <f t="shared" si="6"/>
        <v>-0.0513802800734618</v>
      </c>
      <c r="AO6" t="s">
        <v>64</v>
      </c>
      <c r="AQ6" t="s">
        <v>65</v>
      </c>
      <c r="AS6" t="s">
        <v>66</v>
      </c>
    </row>
    <row r="7" ht="14.4" customHeight="1" spans="1:46">
      <c r="A7" t="s">
        <v>45</v>
      </c>
      <c r="B7" t="s">
        <v>83</v>
      </c>
      <c r="C7" t="s">
        <v>47</v>
      </c>
      <c r="D7" t="s">
        <v>48</v>
      </c>
      <c r="E7" t="s">
        <v>49</v>
      </c>
      <c r="F7" t="s">
        <v>50</v>
      </c>
      <c r="H7" t="s">
        <v>51</v>
      </c>
      <c r="I7" t="s">
        <v>52</v>
      </c>
      <c r="J7" t="s">
        <v>53</v>
      </c>
      <c r="K7" t="s">
        <v>54</v>
      </c>
      <c r="L7" t="s">
        <v>55</v>
      </c>
      <c r="M7" t="s">
        <v>84</v>
      </c>
      <c r="Q7" t="s">
        <v>57</v>
      </c>
      <c r="S7">
        <v>1</v>
      </c>
      <c r="U7">
        <v>51000</v>
      </c>
      <c r="W7" t="s">
        <v>85</v>
      </c>
      <c r="Y7" t="s">
        <v>61</v>
      </c>
      <c r="Z7">
        <v>4412</v>
      </c>
      <c r="AA7" t="s">
        <v>62</v>
      </c>
      <c r="AB7" t="s">
        <v>63</v>
      </c>
      <c r="AC7">
        <v>32</v>
      </c>
      <c r="AD7">
        <v>151.2</v>
      </c>
      <c r="AE7">
        <f t="shared" si="0"/>
        <v>4838.4</v>
      </c>
      <c r="AF7" s="4">
        <v>0.19</v>
      </c>
      <c r="AG7">
        <f t="shared" si="1"/>
        <v>3919.1</v>
      </c>
      <c r="AH7" s="4">
        <v>0.18</v>
      </c>
      <c r="AI7">
        <f t="shared" si="2"/>
        <v>4624.54</v>
      </c>
      <c r="AJ7" s="4">
        <v>0.1</v>
      </c>
      <c r="AK7">
        <f t="shared" si="3"/>
        <v>462.45</v>
      </c>
      <c r="AL7">
        <f t="shared" si="4"/>
        <v>5086.99</v>
      </c>
      <c r="AM7">
        <f t="shared" si="5"/>
        <v>-248.59</v>
      </c>
      <c r="AN7" s="4">
        <f t="shared" si="6"/>
        <v>-0.0513785548941799</v>
      </c>
      <c r="AO7" t="s">
        <v>64</v>
      </c>
      <c r="AQ7" t="s">
        <v>65</v>
      </c>
      <c r="AS7" t="s">
        <v>66</v>
      </c>
    </row>
    <row r="8" ht="14.4" customHeight="1" spans="1:46">
      <c r="A8" t="s">
        <v>86</v>
      </c>
      <c r="B8" t="s">
        <v>46</v>
      </c>
      <c r="C8" t="s">
        <v>47</v>
      </c>
      <c r="D8" t="s">
        <v>48</v>
      </c>
      <c r="E8" t="s">
        <v>49</v>
      </c>
      <c r="F8" t="s">
        <v>87</v>
      </c>
      <c r="H8" t="s">
        <v>51</v>
      </c>
      <c r="I8" t="s">
        <v>52</v>
      </c>
      <c r="J8" t="s">
        <v>53</v>
      </c>
      <c r="K8" t="s">
        <v>54</v>
      </c>
      <c r="L8" t="s">
        <v>55</v>
      </c>
      <c r="M8" t="s">
        <v>56</v>
      </c>
      <c r="Q8" t="s">
        <v>57</v>
      </c>
      <c r="S8">
        <v>1</v>
      </c>
      <c r="U8">
        <v>51000</v>
      </c>
      <c r="Y8" t="s">
        <v>88</v>
      </c>
      <c r="Z8">
        <v>4412</v>
      </c>
      <c r="AA8" t="s">
        <v>62</v>
      </c>
      <c r="AB8" t="s">
        <v>63</v>
      </c>
      <c r="AC8">
        <v>32</v>
      </c>
      <c r="AD8">
        <v>53.89</v>
      </c>
      <c r="AE8">
        <f t="shared" si="0"/>
        <v>1724.48</v>
      </c>
      <c r="AF8" s="4">
        <v>0.29</v>
      </c>
      <c r="AG8">
        <f t="shared" si="1"/>
        <v>1224.38</v>
      </c>
      <c r="AH8" s="4">
        <v>0.18</v>
      </c>
      <c r="AI8">
        <f t="shared" si="2"/>
        <v>1444.77</v>
      </c>
      <c r="AJ8" s="4">
        <v>0.1</v>
      </c>
      <c r="AK8">
        <f t="shared" si="3"/>
        <v>144.48</v>
      </c>
      <c r="AL8">
        <f t="shared" si="4"/>
        <v>1589.25</v>
      </c>
      <c r="AM8">
        <f t="shared" si="5"/>
        <v>135.23</v>
      </c>
      <c r="AN8" s="4">
        <f t="shared" si="6"/>
        <v>0.078417841900167</v>
      </c>
      <c r="AO8" t="s">
        <v>64</v>
      </c>
      <c r="AQ8" t="s">
        <v>65</v>
      </c>
      <c r="AS8" t="s">
        <v>89</v>
      </c>
    </row>
    <row r="9" ht="14.4" customHeight="1" spans="1:46">
      <c r="A9" t="s">
        <v>86</v>
      </c>
      <c r="B9" t="s">
        <v>67</v>
      </c>
      <c r="C9" t="s">
        <v>47</v>
      </c>
      <c r="D9" t="s">
        <v>48</v>
      </c>
      <c r="E9" t="s">
        <v>49</v>
      </c>
      <c r="F9" t="s">
        <v>87</v>
      </c>
      <c r="H9" t="s">
        <v>51</v>
      </c>
      <c r="I9" t="s">
        <v>52</v>
      </c>
      <c r="J9" t="s">
        <v>53</v>
      </c>
      <c r="K9" t="s">
        <v>54</v>
      </c>
      <c r="L9" t="s">
        <v>55</v>
      </c>
      <c r="M9" t="s">
        <v>68</v>
      </c>
      <c r="Q9" t="s">
        <v>57</v>
      </c>
      <c r="S9">
        <v>1</v>
      </c>
      <c r="U9">
        <v>51000</v>
      </c>
      <c r="Y9" t="s">
        <v>88</v>
      </c>
      <c r="Z9">
        <v>4412</v>
      </c>
      <c r="AA9" t="s">
        <v>62</v>
      </c>
      <c r="AB9" t="s">
        <v>63</v>
      </c>
      <c r="AC9">
        <v>32</v>
      </c>
      <c r="AD9">
        <v>68.36</v>
      </c>
      <c r="AE9">
        <f t="shared" si="0"/>
        <v>2187.52</v>
      </c>
      <c r="AF9" s="4">
        <v>0.29</v>
      </c>
      <c r="AG9">
        <f t="shared" si="1"/>
        <v>1553.14</v>
      </c>
      <c r="AH9" s="4">
        <v>0.18</v>
      </c>
      <c r="AI9">
        <f t="shared" si="2"/>
        <v>1832.71</v>
      </c>
      <c r="AJ9" s="4">
        <v>0.1</v>
      </c>
      <c r="AK9">
        <f t="shared" si="3"/>
        <v>183.27</v>
      </c>
      <c r="AL9">
        <f t="shared" si="4"/>
        <v>2015.98</v>
      </c>
      <c r="AM9">
        <f t="shared" si="5"/>
        <v>171.54</v>
      </c>
      <c r="AN9" s="4">
        <f t="shared" si="6"/>
        <v>0.0784175687536571</v>
      </c>
      <c r="AO9" t="s">
        <v>64</v>
      </c>
      <c r="AQ9" t="s">
        <v>65</v>
      </c>
      <c r="AS9" t="s">
        <v>89</v>
      </c>
    </row>
    <row r="10" ht="14.4" customHeight="1" spans="1:46">
      <c r="A10" t="s">
        <v>86</v>
      </c>
      <c r="B10" t="s">
        <v>71</v>
      </c>
      <c r="C10" t="s">
        <v>47</v>
      </c>
      <c r="D10" t="s">
        <v>48</v>
      </c>
      <c r="E10" t="s">
        <v>49</v>
      </c>
      <c r="F10" t="s">
        <v>87</v>
      </c>
      <c r="H10" t="s">
        <v>51</v>
      </c>
      <c r="I10" t="s">
        <v>52</v>
      </c>
      <c r="J10" t="s">
        <v>53</v>
      </c>
      <c r="K10" t="s">
        <v>54</v>
      </c>
      <c r="L10" t="s">
        <v>55</v>
      </c>
      <c r="M10" t="s">
        <v>90</v>
      </c>
      <c r="Q10" t="s">
        <v>57</v>
      </c>
      <c r="S10">
        <v>1</v>
      </c>
      <c r="U10">
        <v>51000</v>
      </c>
      <c r="Y10" t="s">
        <v>88</v>
      </c>
      <c r="Z10">
        <v>4412</v>
      </c>
      <c r="AA10" t="s">
        <v>62</v>
      </c>
      <c r="AB10" t="s">
        <v>63</v>
      </c>
      <c r="AC10">
        <v>32</v>
      </c>
      <c r="AD10">
        <v>85.32</v>
      </c>
      <c r="AE10">
        <f t="shared" si="0"/>
        <v>2730.24</v>
      </c>
      <c r="AF10" s="4">
        <v>0.29</v>
      </c>
      <c r="AG10">
        <f t="shared" si="1"/>
        <v>1938.47</v>
      </c>
      <c r="AH10" s="4">
        <v>0.18</v>
      </c>
      <c r="AI10">
        <f t="shared" si="2"/>
        <v>2287.39</v>
      </c>
      <c r="AJ10" s="4">
        <v>0.1</v>
      </c>
      <c r="AK10">
        <f t="shared" si="3"/>
        <v>228.74</v>
      </c>
      <c r="AL10">
        <f t="shared" si="4"/>
        <v>2516.13</v>
      </c>
      <c r="AM10">
        <f t="shared" si="5"/>
        <v>214.11</v>
      </c>
      <c r="AN10" s="4">
        <f t="shared" si="6"/>
        <v>0.0784216772151898</v>
      </c>
      <c r="AO10" t="s">
        <v>64</v>
      </c>
      <c r="AQ10" t="s">
        <v>65</v>
      </c>
      <c r="AS10" t="s">
        <v>89</v>
      </c>
    </row>
    <row r="11" ht="14.4" customHeight="1" spans="1:46">
      <c r="A11" t="s">
        <v>86</v>
      </c>
      <c r="B11" t="s">
        <v>75</v>
      </c>
      <c r="C11" t="s">
        <v>47</v>
      </c>
      <c r="D11" t="s">
        <v>48</v>
      </c>
      <c r="E11" t="s">
        <v>49</v>
      </c>
      <c r="F11" t="s">
        <v>87</v>
      </c>
      <c r="H11" t="s">
        <v>51</v>
      </c>
      <c r="I11" t="s">
        <v>52</v>
      </c>
      <c r="J11" t="s">
        <v>53</v>
      </c>
      <c r="K11" t="s">
        <v>54</v>
      </c>
      <c r="L11" t="s">
        <v>55</v>
      </c>
      <c r="M11" t="s">
        <v>76</v>
      </c>
      <c r="Q11" t="s">
        <v>57</v>
      </c>
      <c r="S11">
        <v>1</v>
      </c>
      <c r="U11">
        <v>51000</v>
      </c>
      <c r="Y11" t="s">
        <v>88</v>
      </c>
      <c r="Z11">
        <v>4412</v>
      </c>
      <c r="AA11" t="s">
        <v>62</v>
      </c>
      <c r="AB11" t="s">
        <v>63</v>
      </c>
      <c r="AC11">
        <v>32</v>
      </c>
      <c r="AD11">
        <v>103.68</v>
      </c>
      <c r="AE11">
        <f t="shared" si="0"/>
        <v>3317.76</v>
      </c>
      <c r="AF11" s="4">
        <v>0.29</v>
      </c>
      <c r="AG11">
        <f t="shared" si="1"/>
        <v>2355.61</v>
      </c>
      <c r="AH11" s="4">
        <v>0.18</v>
      </c>
      <c r="AI11">
        <f t="shared" si="2"/>
        <v>2779.62</v>
      </c>
      <c r="AJ11" s="4">
        <v>0.1</v>
      </c>
      <c r="AK11">
        <f t="shared" si="3"/>
        <v>277.96</v>
      </c>
      <c r="AL11">
        <f t="shared" si="4"/>
        <v>3057.58</v>
      </c>
      <c r="AM11">
        <f t="shared" si="5"/>
        <v>260.18</v>
      </c>
      <c r="AN11" s="4">
        <f t="shared" si="6"/>
        <v>0.0784203800154322</v>
      </c>
      <c r="AO11" t="s">
        <v>64</v>
      </c>
      <c r="AQ11" t="s">
        <v>65</v>
      </c>
      <c r="AS11" t="s">
        <v>89</v>
      </c>
    </row>
    <row r="12" ht="14.4" customHeight="1" spans="1:46">
      <c r="A12" t="s">
        <v>86</v>
      </c>
      <c r="B12" t="s">
        <v>79</v>
      </c>
      <c r="C12" t="s">
        <v>47</v>
      </c>
      <c r="D12" t="s">
        <v>48</v>
      </c>
      <c r="E12" t="s">
        <v>49</v>
      </c>
      <c r="F12" t="s">
        <v>87</v>
      </c>
      <c r="H12" t="s">
        <v>51</v>
      </c>
      <c r="I12" t="s">
        <v>52</v>
      </c>
      <c r="J12" t="s">
        <v>53</v>
      </c>
      <c r="K12" t="s">
        <v>54</v>
      </c>
      <c r="L12" t="s">
        <v>55</v>
      </c>
      <c r="M12" t="s">
        <v>91</v>
      </c>
      <c r="Q12" t="s">
        <v>57</v>
      </c>
      <c r="S12">
        <v>1</v>
      </c>
      <c r="U12">
        <v>51000</v>
      </c>
      <c r="Y12" t="s">
        <v>88</v>
      </c>
      <c r="Z12">
        <v>4412</v>
      </c>
      <c r="AA12" t="s">
        <v>62</v>
      </c>
      <c r="AB12" t="s">
        <v>63</v>
      </c>
      <c r="AC12">
        <v>32</v>
      </c>
      <c r="AD12">
        <v>125.87</v>
      </c>
      <c r="AE12">
        <f t="shared" si="0"/>
        <v>4027.84</v>
      </c>
      <c r="AF12" s="4">
        <v>0.29</v>
      </c>
      <c r="AG12">
        <f t="shared" si="1"/>
        <v>2859.77</v>
      </c>
      <c r="AH12" s="4">
        <v>0.18</v>
      </c>
      <c r="AI12">
        <f t="shared" si="2"/>
        <v>3374.53</v>
      </c>
      <c r="AJ12" s="4">
        <v>0.1</v>
      </c>
      <c r="AK12">
        <f t="shared" si="3"/>
        <v>337.45</v>
      </c>
      <c r="AL12">
        <f t="shared" si="4"/>
        <v>3711.98</v>
      </c>
      <c r="AM12">
        <f t="shared" si="5"/>
        <v>315.86</v>
      </c>
      <c r="AN12" s="4">
        <f t="shared" si="6"/>
        <v>0.0784192023516327</v>
      </c>
      <c r="AO12" t="s">
        <v>64</v>
      </c>
      <c r="AQ12" t="s">
        <v>65</v>
      </c>
      <c r="AS12" t="s">
        <v>89</v>
      </c>
    </row>
    <row r="13" ht="14.4" customHeight="1" spans="1:46">
      <c r="A13" t="s">
        <v>86</v>
      </c>
      <c r="B13" t="s">
        <v>83</v>
      </c>
      <c r="C13" t="s">
        <v>47</v>
      </c>
      <c r="D13" t="s">
        <v>48</v>
      </c>
      <c r="E13" t="s">
        <v>49</v>
      </c>
      <c r="F13" t="s">
        <v>87</v>
      </c>
      <c r="H13" t="s">
        <v>51</v>
      </c>
      <c r="I13" t="s">
        <v>52</v>
      </c>
      <c r="J13" t="s">
        <v>53</v>
      </c>
      <c r="K13" t="s">
        <v>54</v>
      </c>
      <c r="L13" t="s">
        <v>55</v>
      </c>
      <c r="M13" t="s">
        <v>92</v>
      </c>
      <c r="Q13" t="s">
        <v>57</v>
      </c>
      <c r="S13">
        <v>1</v>
      </c>
      <c r="U13">
        <v>51000</v>
      </c>
      <c r="Y13" t="s">
        <v>88</v>
      </c>
      <c r="Z13">
        <v>4412</v>
      </c>
      <c r="AA13" t="s">
        <v>62</v>
      </c>
      <c r="AB13" t="s">
        <v>63</v>
      </c>
      <c r="AC13">
        <v>32</v>
      </c>
      <c r="AD13">
        <v>146.88</v>
      </c>
      <c r="AE13">
        <f t="shared" si="0"/>
        <v>4700.16</v>
      </c>
      <c r="AF13" s="4">
        <v>0.29</v>
      </c>
      <c r="AG13">
        <f t="shared" si="1"/>
        <v>3337.11</v>
      </c>
      <c r="AH13" s="4">
        <v>0.18</v>
      </c>
      <c r="AI13">
        <f t="shared" si="2"/>
        <v>3937.79</v>
      </c>
      <c r="AJ13" s="4">
        <v>0.1</v>
      </c>
      <c r="AK13">
        <f t="shared" si="3"/>
        <v>393.78</v>
      </c>
      <c r="AL13">
        <f t="shared" si="4"/>
        <v>4331.57</v>
      </c>
      <c r="AM13">
        <f t="shared" si="5"/>
        <v>368.59</v>
      </c>
      <c r="AN13" s="4">
        <f t="shared" si="6"/>
        <v>0.0784207346132898</v>
      </c>
      <c r="AO13" t="s">
        <v>64</v>
      </c>
      <c r="AQ13" t="s">
        <v>65</v>
      </c>
      <c r="AS13" t="s">
        <v>89</v>
      </c>
    </row>
    <row r="14" ht="14.4" customHeight="1" spans="1:46">
      <c r="A14" t="s">
        <v>93</v>
      </c>
      <c r="B14" t="s">
        <v>46</v>
      </c>
      <c r="C14" t="s">
        <v>47</v>
      </c>
      <c r="D14" t="s">
        <v>48</v>
      </c>
      <c r="E14" t="s">
        <v>49</v>
      </c>
      <c r="F14" t="s">
        <v>94</v>
      </c>
      <c r="H14" t="s">
        <v>51</v>
      </c>
      <c r="I14" t="s">
        <v>95</v>
      </c>
      <c r="J14" t="s">
        <v>53</v>
      </c>
      <c r="K14" t="s">
        <v>54</v>
      </c>
      <c r="L14" t="s">
        <v>55</v>
      </c>
      <c r="M14" t="s">
        <v>56</v>
      </c>
      <c r="Q14" t="s">
        <v>57</v>
      </c>
      <c r="S14">
        <v>1</v>
      </c>
      <c r="U14">
        <v>51000</v>
      </c>
      <c r="Y14" t="s">
        <v>96</v>
      </c>
      <c r="Z14">
        <v>4412</v>
      </c>
      <c r="AA14" t="s">
        <v>62</v>
      </c>
      <c r="AB14" t="s">
        <v>63</v>
      </c>
      <c r="AC14">
        <v>32</v>
      </c>
      <c r="AD14" s="5">
        <v>63.9</v>
      </c>
      <c r="AE14">
        <f t="shared" si="0"/>
        <v>2044.8</v>
      </c>
      <c r="AF14" s="4">
        <v>0.29</v>
      </c>
      <c r="AG14">
        <f t="shared" si="1"/>
        <v>1451.81</v>
      </c>
      <c r="AH14" s="4">
        <v>0.18</v>
      </c>
      <c r="AI14">
        <f t="shared" si="2"/>
        <v>1713.14</v>
      </c>
      <c r="AJ14" s="4">
        <v>0.1</v>
      </c>
      <c r="AK14">
        <f t="shared" si="3"/>
        <v>171.31</v>
      </c>
      <c r="AL14">
        <f t="shared" si="4"/>
        <v>1884.45</v>
      </c>
      <c r="AM14">
        <f t="shared" si="5"/>
        <v>160.35</v>
      </c>
      <c r="AN14" s="4">
        <f t="shared" si="6"/>
        <v>0.0784184272300469</v>
      </c>
      <c r="AO14" t="s">
        <v>64</v>
      </c>
      <c r="AQ14" t="s">
        <v>65</v>
      </c>
      <c r="AS14" t="s">
        <v>97</v>
      </c>
    </row>
    <row r="15" ht="14.4" customHeight="1" spans="1:46">
      <c r="A15" t="s">
        <v>93</v>
      </c>
      <c r="B15" t="s">
        <v>67</v>
      </c>
      <c r="C15" t="s">
        <v>47</v>
      </c>
      <c r="D15" t="s">
        <v>48</v>
      </c>
      <c r="E15" t="s">
        <v>49</v>
      </c>
      <c r="F15" t="s">
        <v>94</v>
      </c>
      <c r="H15" t="s">
        <v>51</v>
      </c>
      <c r="I15" t="s">
        <v>95</v>
      </c>
      <c r="J15" t="s">
        <v>53</v>
      </c>
      <c r="K15" t="s">
        <v>54</v>
      </c>
      <c r="L15" t="s">
        <v>55</v>
      </c>
      <c r="M15" t="s">
        <v>68</v>
      </c>
      <c r="Q15" t="s">
        <v>57</v>
      </c>
      <c r="S15">
        <v>1</v>
      </c>
      <c r="U15">
        <v>51000</v>
      </c>
      <c r="Y15" t="s">
        <v>96</v>
      </c>
      <c r="Z15">
        <v>4412</v>
      </c>
      <c r="AA15" t="s">
        <v>62</v>
      </c>
      <c r="AB15" t="s">
        <v>63</v>
      </c>
      <c r="AC15">
        <v>32</v>
      </c>
      <c r="AD15" s="5">
        <v>77.8</v>
      </c>
      <c r="AE15">
        <f t="shared" si="0"/>
        <v>2489.6</v>
      </c>
      <c r="AF15" s="4">
        <v>0.29</v>
      </c>
      <c r="AG15">
        <f t="shared" si="1"/>
        <v>1767.62</v>
      </c>
      <c r="AH15" s="4">
        <v>0.18</v>
      </c>
      <c r="AI15">
        <f t="shared" si="2"/>
        <v>2085.79</v>
      </c>
      <c r="AJ15" s="4">
        <v>0.1</v>
      </c>
      <c r="AK15">
        <f t="shared" si="3"/>
        <v>208.58</v>
      </c>
      <c r="AL15">
        <f t="shared" si="4"/>
        <v>2294.37</v>
      </c>
      <c r="AM15">
        <f t="shared" si="5"/>
        <v>195.23</v>
      </c>
      <c r="AN15" s="4">
        <f t="shared" si="6"/>
        <v>0.0784182197943445</v>
      </c>
      <c r="AO15" t="s">
        <v>64</v>
      </c>
      <c r="AQ15" t="s">
        <v>65</v>
      </c>
      <c r="AS15" t="s">
        <v>97</v>
      </c>
    </row>
    <row r="16" ht="14.4" customHeight="1" spans="1:46">
      <c r="A16" t="s">
        <v>93</v>
      </c>
      <c r="B16" t="s">
        <v>71</v>
      </c>
      <c r="C16" t="s">
        <v>47</v>
      </c>
      <c r="D16" t="s">
        <v>48</v>
      </c>
      <c r="E16" t="s">
        <v>49</v>
      </c>
      <c r="F16" t="s">
        <v>94</v>
      </c>
      <c r="H16" t="s">
        <v>51</v>
      </c>
      <c r="I16" t="s">
        <v>95</v>
      </c>
      <c r="J16" t="s">
        <v>53</v>
      </c>
      <c r="K16" t="s">
        <v>54</v>
      </c>
      <c r="L16" t="s">
        <v>55</v>
      </c>
      <c r="M16" t="s">
        <v>90</v>
      </c>
      <c r="Q16" t="s">
        <v>57</v>
      </c>
      <c r="S16">
        <v>1</v>
      </c>
      <c r="U16">
        <v>51000</v>
      </c>
      <c r="Y16" t="s">
        <v>96</v>
      </c>
      <c r="Z16">
        <v>4412</v>
      </c>
      <c r="AA16" t="s">
        <v>62</v>
      </c>
      <c r="AB16" t="s">
        <v>63</v>
      </c>
      <c r="AC16">
        <v>32</v>
      </c>
      <c r="AD16" s="5">
        <v>96.4</v>
      </c>
      <c r="AE16">
        <f t="shared" si="0"/>
        <v>3084.8</v>
      </c>
      <c r="AF16" s="4">
        <v>0.29</v>
      </c>
      <c r="AG16">
        <f t="shared" si="1"/>
        <v>2190.21</v>
      </c>
      <c r="AH16" s="4">
        <v>0.18</v>
      </c>
      <c r="AI16">
        <f t="shared" si="2"/>
        <v>2584.45</v>
      </c>
      <c r="AJ16" s="4">
        <v>0.1</v>
      </c>
      <c r="AK16">
        <f t="shared" si="3"/>
        <v>258.45</v>
      </c>
      <c r="AL16">
        <f t="shared" si="4"/>
        <v>2842.9</v>
      </c>
      <c r="AM16">
        <f t="shared" si="5"/>
        <v>241.900000000001</v>
      </c>
      <c r="AN16" s="4">
        <f t="shared" si="6"/>
        <v>0.0784167531120334</v>
      </c>
      <c r="AO16" t="s">
        <v>64</v>
      </c>
      <c r="AQ16" t="s">
        <v>65</v>
      </c>
      <c r="AS16" t="s">
        <v>97</v>
      </c>
    </row>
    <row r="17" ht="14.4" customHeight="1" spans="1:45">
      <c r="A17" t="s">
        <v>93</v>
      </c>
      <c r="B17" t="s">
        <v>75</v>
      </c>
      <c r="C17" t="s">
        <v>47</v>
      </c>
      <c r="D17" t="s">
        <v>48</v>
      </c>
      <c r="E17" t="s">
        <v>49</v>
      </c>
      <c r="F17" t="s">
        <v>94</v>
      </c>
      <c r="H17" t="s">
        <v>51</v>
      </c>
      <c r="I17" t="s">
        <v>95</v>
      </c>
      <c r="J17" t="s">
        <v>53</v>
      </c>
      <c r="K17" t="s">
        <v>54</v>
      </c>
      <c r="L17" t="s">
        <v>55</v>
      </c>
      <c r="M17" t="s">
        <v>76</v>
      </c>
      <c r="Q17" t="s">
        <v>57</v>
      </c>
      <c r="S17">
        <v>1</v>
      </c>
      <c r="U17">
        <v>51000</v>
      </c>
      <c r="Y17" t="s">
        <v>96</v>
      </c>
      <c r="Z17">
        <v>4412</v>
      </c>
      <c r="AA17" t="s">
        <v>62</v>
      </c>
      <c r="AB17" t="s">
        <v>63</v>
      </c>
      <c r="AC17">
        <v>32</v>
      </c>
      <c r="AD17">
        <v>122</v>
      </c>
      <c r="AE17">
        <f t="shared" si="0"/>
        <v>3904</v>
      </c>
      <c r="AF17" s="4">
        <v>0.29</v>
      </c>
      <c r="AG17">
        <f t="shared" si="1"/>
        <v>2771.84</v>
      </c>
      <c r="AH17" s="4">
        <v>0.18</v>
      </c>
      <c r="AI17">
        <f t="shared" si="2"/>
        <v>3270.77</v>
      </c>
      <c r="AJ17" s="4">
        <v>0.1</v>
      </c>
      <c r="AK17">
        <f t="shared" si="3"/>
        <v>327.08</v>
      </c>
      <c r="AL17">
        <f t="shared" si="4"/>
        <v>3597.85</v>
      </c>
      <c r="AM17">
        <f t="shared" si="5"/>
        <v>306.15</v>
      </c>
      <c r="AN17" s="4">
        <f t="shared" si="6"/>
        <v>0.0784195696721312</v>
      </c>
      <c r="AO17" t="s">
        <v>64</v>
      </c>
      <c r="AQ17" t="s">
        <v>65</v>
      </c>
      <c r="AS17" t="s">
        <v>97</v>
      </c>
    </row>
    <row r="18" ht="14.4" customHeight="1" spans="1:45">
      <c r="A18" t="s">
        <v>93</v>
      </c>
      <c r="B18" t="s">
        <v>79</v>
      </c>
      <c r="C18" t="s">
        <v>47</v>
      </c>
      <c r="D18" t="s">
        <v>48</v>
      </c>
      <c r="E18" t="s">
        <v>49</v>
      </c>
      <c r="F18" t="s">
        <v>94</v>
      </c>
      <c r="H18" t="s">
        <v>51</v>
      </c>
      <c r="I18" t="s">
        <v>95</v>
      </c>
      <c r="J18" t="s">
        <v>53</v>
      </c>
      <c r="K18" t="s">
        <v>54</v>
      </c>
      <c r="L18" t="s">
        <v>55</v>
      </c>
      <c r="M18" t="s">
        <v>98</v>
      </c>
      <c r="Q18" t="s">
        <v>57</v>
      </c>
      <c r="S18">
        <v>1</v>
      </c>
      <c r="U18">
        <v>51000</v>
      </c>
      <c r="Y18" t="s">
        <v>96</v>
      </c>
      <c r="Z18">
        <v>4412</v>
      </c>
      <c r="AA18" t="s">
        <v>62</v>
      </c>
      <c r="AB18" t="s">
        <v>63</v>
      </c>
      <c r="AC18">
        <v>32</v>
      </c>
      <c r="AD18">
        <v>151.2</v>
      </c>
      <c r="AE18">
        <f t="shared" si="0"/>
        <v>4838.4</v>
      </c>
      <c r="AF18" s="4">
        <v>0.29</v>
      </c>
      <c r="AG18">
        <f t="shared" si="1"/>
        <v>3435.26</v>
      </c>
      <c r="AH18" s="4">
        <v>0.18</v>
      </c>
      <c r="AI18">
        <f t="shared" si="2"/>
        <v>4053.61</v>
      </c>
      <c r="AJ18" s="4">
        <v>0.1</v>
      </c>
      <c r="AK18">
        <f t="shared" si="3"/>
        <v>405.36</v>
      </c>
      <c r="AL18">
        <f t="shared" si="4"/>
        <v>4458.97</v>
      </c>
      <c r="AM18">
        <f t="shared" si="5"/>
        <v>379.429999999999</v>
      </c>
      <c r="AN18" s="4">
        <f t="shared" si="6"/>
        <v>0.0784205522486771</v>
      </c>
      <c r="AO18" t="s">
        <v>64</v>
      </c>
      <c r="AQ18" t="s">
        <v>65</v>
      </c>
      <c r="AS18" t="s">
        <v>97</v>
      </c>
    </row>
    <row r="19" ht="14.4" customHeight="1" spans="1:45">
      <c r="A19" t="s">
        <v>93</v>
      </c>
      <c r="B19" t="s">
        <v>83</v>
      </c>
      <c r="C19" t="s">
        <v>47</v>
      </c>
      <c r="D19" t="s">
        <v>48</v>
      </c>
      <c r="E19" t="s">
        <v>49</v>
      </c>
      <c r="F19" t="s">
        <v>94</v>
      </c>
      <c r="H19" t="s">
        <v>51</v>
      </c>
      <c r="I19" t="s">
        <v>95</v>
      </c>
      <c r="J19" t="s">
        <v>53</v>
      </c>
      <c r="K19" t="s">
        <v>54</v>
      </c>
      <c r="L19" t="s">
        <v>55</v>
      </c>
      <c r="M19" t="s">
        <v>99</v>
      </c>
      <c r="Q19" t="s">
        <v>57</v>
      </c>
      <c r="S19">
        <v>1</v>
      </c>
      <c r="U19">
        <v>51000</v>
      </c>
      <c r="Y19" t="s">
        <v>96</v>
      </c>
      <c r="Z19">
        <v>4412</v>
      </c>
      <c r="AA19" t="s">
        <v>62</v>
      </c>
      <c r="AB19" t="s">
        <v>63</v>
      </c>
      <c r="AC19">
        <v>32</v>
      </c>
      <c r="AD19">
        <v>175.2</v>
      </c>
      <c r="AE19">
        <f t="shared" si="0"/>
        <v>5606.4</v>
      </c>
      <c r="AF19" s="4">
        <v>0.29</v>
      </c>
      <c r="AG19">
        <f t="shared" si="1"/>
        <v>3980.54</v>
      </c>
      <c r="AH19" s="4">
        <v>0.18</v>
      </c>
      <c r="AI19">
        <f t="shared" si="2"/>
        <v>4697.04</v>
      </c>
      <c r="AJ19" s="4">
        <v>0.1</v>
      </c>
      <c r="AK19">
        <f t="shared" si="3"/>
        <v>469.7</v>
      </c>
      <c r="AL19">
        <f t="shared" si="4"/>
        <v>5166.74</v>
      </c>
      <c r="AM19">
        <f t="shared" si="5"/>
        <v>439.66</v>
      </c>
      <c r="AN19" s="4">
        <f t="shared" si="6"/>
        <v>0.0784210901826484</v>
      </c>
      <c r="AO19" t="s">
        <v>64</v>
      </c>
      <c r="AQ19" t="s">
        <v>65</v>
      </c>
      <c r="AS19" t="s">
        <v>97</v>
      </c>
    </row>
    <row r="20" ht="14.4" customHeight="1" spans="1:45">
      <c r="A20" t="s">
        <v>100</v>
      </c>
      <c r="B20" t="s">
        <v>46</v>
      </c>
      <c r="C20" t="s">
        <v>47</v>
      </c>
      <c r="D20" t="s">
        <v>48</v>
      </c>
      <c r="E20" t="s">
        <v>49</v>
      </c>
      <c r="F20" t="s">
        <v>101</v>
      </c>
      <c r="H20" t="s">
        <v>51</v>
      </c>
      <c r="I20" t="s">
        <v>52</v>
      </c>
      <c r="J20" t="s">
        <v>53</v>
      </c>
      <c r="K20" t="s">
        <v>54</v>
      </c>
      <c r="L20" t="s">
        <v>55</v>
      </c>
      <c r="M20" t="s">
        <v>56</v>
      </c>
      <c r="Q20" t="s">
        <v>57</v>
      </c>
      <c r="S20">
        <v>1</v>
      </c>
      <c r="U20">
        <v>51000</v>
      </c>
      <c r="Y20" t="s">
        <v>102</v>
      </c>
      <c r="Z20">
        <v>4412</v>
      </c>
      <c r="AA20" t="s">
        <v>62</v>
      </c>
      <c r="AB20" t="s">
        <v>63</v>
      </c>
      <c r="AC20">
        <v>32</v>
      </c>
      <c r="AD20">
        <v>90.54</v>
      </c>
      <c r="AE20">
        <f t="shared" si="0"/>
        <v>2897.28</v>
      </c>
      <c r="AF20" s="4">
        <v>0.19</v>
      </c>
      <c r="AG20">
        <f t="shared" si="1"/>
        <v>2346.8</v>
      </c>
      <c r="AH20" s="4">
        <v>0.18</v>
      </c>
      <c r="AI20">
        <f t="shared" si="2"/>
        <v>2769.22</v>
      </c>
      <c r="AJ20" s="4">
        <v>0.1</v>
      </c>
      <c r="AK20">
        <f t="shared" si="3"/>
        <v>276.92</v>
      </c>
      <c r="AL20">
        <f t="shared" si="4"/>
        <v>3046.14</v>
      </c>
      <c r="AM20">
        <f t="shared" si="5"/>
        <v>-148.86</v>
      </c>
      <c r="AN20" s="4">
        <f t="shared" si="6"/>
        <v>-0.0513792246520874</v>
      </c>
      <c r="AO20" t="s">
        <v>64</v>
      </c>
      <c r="AQ20" t="s">
        <v>65</v>
      </c>
      <c r="AS20" t="s">
        <v>103</v>
      </c>
    </row>
    <row r="21" ht="15.75" customHeight="1" spans="1:45">
      <c r="A21" t="s">
        <v>100</v>
      </c>
      <c r="B21" t="s">
        <v>67</v>
      </c>
      <c r="C21" t="s">
        <v>47</v>
      </c>
      <c r="D21" t="s">
        <v>48</v>
      </c>
      <c r="E21" t="s">
        <v>49</v>
      </c>
      <c r="F21" t="s">
        <v>101</v>
      </c>
      <c r="H21" t="s">
        <v>51</v>
      </c>
      <c r="I21" t="s">
        <v>52</v>
      </c>
      <c r="J21" t="s">
        <v>53</v>
      </c>
      <c r="K21" t="s">
        <v>54</v>
      </c>
      <c r="L21" t="s">
        <v>55</v>
      </c>
      <c r="M21" t="s">
        <v>68</v>
      </c>
      <c r="Q21" t="s">
        <v>57</v>
      </c>
      <c r="S21">
        <v>1</v>
      </c>
      <c r="U21">
        <v>51000</v>
      </c>
      <c r="Y21" t="s">
        <v>102</v>
      </c>
      <c r="Z21">
        <v>4412</v>
      </c>
      <c r="AA21" t="s">
        <v>62</v>
      </c>
      <c r="AB21" t="s">
        <v>63</v>
      </c>
      <c r="AC21">
        <v>32</v>
      </c>
      <c r="AD21">
        <v>104.72</v>
      </c>
      <c r="AE21">
        <f t="shared" si="0"/>
        <v>3351.04</v>
      </c>
      <c r="AF21" s="4">
        <v>0.19</v>
      </c>
      <c r="AG21">
        <f t="shared" si="1"/>
        <v>2714.34</v>
      </c>
      <c r="AH21" s="4">
        <v>0.18</v>
      </c>
      <c r="AI21">
        <f t="shared" si="2"/>
        <v>3202.92</v>
      </c>
      <c r="AJ21" s="4">
        <v>0.1</v>
      </c>
      <c r="AK21">
        <f t="shared" si="3"/>
        <v>320.29</v>
      </c>
      <c r="AL21">
        <f t="shared" si="4"/>
        <v>3523.21</v>
      </c>
      <c r="AM21">
        <f t="shared" si="5"/>
        <v>-172.17</v>
      </c>
      <c r="AN21" s="4">
        <f t="shared" si="6"/>
        <v>-0.0513780796409473</v>
      </c>
      <c r="AO21" t="s">
        <v>64</v>
      </c>
      <c r="AQ21" t="s">
        <v>65</v>
      </c>
      <c r="AS21" t="s">
        <v>103</v>
      </c>
    </row>
    <row r="22" ht="15.75" customHeight="1" spans="1:45">
      <c r="A22" t="s">
        <v>100</v>
      </c>
      <c r="B22" t="s">
        <v>71</v>
      </c>
      <c r="C22" t="s">
        <v>47</v>
      </c>
      <c r="D22" t="s">
        <v>48</v>
      </c>
      <c r="E22" t="s">
        <v>49</v>
      </c>
      <c r="F22" t="s">
        <v>101</v>
      </c>
      <c r="H22" t="s">
        <v>51</v>
      </c>
      <c r="I22" t="s">
        <v>52</v>
      </c>
      <c r="J22" t="s">
        <v>53</v>
      </c>
      <c r="K22" t="s">
        <v>54</v>
      </c>
      <c r="L22" t="s">
        <v>55</v>
      </c>
      <c r="M22" t="s">
        <v>72</v>
      </c>
      <c r="Q22" t="s">
        <v>57</v>
      </c>
      <c r="S22">
        <v>1</v>
      </c>
      <c r="U22">
        <v>51000</v>
      </c>
      <c r="Y22" t="s">
        <v>102</v>
      </c>
      <c r="Z22">
        <v>4412</v>
      </c>
      <c r="AA22" t="s">
        <v>62</v>
      </c>
      <c r="AB22" t="s">
        <v>63</v>
      </c>
      <c r="AC22">
        <v>32</v>
      </c>
      <c r="AD22">
        <v>126.3</v>
      </c>
      <c r="AE22">
        <f t="shared" si="0"/>
        <v>4041.6</v>
      </c>
      <c r="AF22" s="4">
        <v>0.19</v>
      </c>
      <c r="AG22">
        <f t="shared" si="1"/>
        <v>3273.7</v>
      </c>
      <c r="AH22" s="4">
        <v>0.18</v>
      </c>
      <c r="AI22">
        <f t="shared" si="2"/>
        <v>3862.97</v>
      </c>
      <c r="AJ22" s="4">
        <v>0.1</v>
      </c>
      <c r="AK22">
        <f t="shared" si="3"/>
        <v>386.3</v>
      </c>
      <c r="AL22">
        <f t="shared" si="4"/>
        <v>4249.27</v>
      </c>
      <c r="AM22">
        <f t="shared" si="5"/>
        <v>-207.67</v>
      </c>
      <c r="AN22" s="4">
        <f t="shared" si="6"/>
        <v>-0.051383115597783</v>
      </c>
      <c r="AO22" t="s">
        <v>64</v>
      </c>
      <c r="AQ22" t="s">
        <v>65</v>
      </c>
      <c r="AS22" t="s">
        <v>103</v>
      </c>
    </row>
    <row r="23" ht="15.75" customHeight="1" spans="1:45">
      <c r="A23" t="s">
        <v>100</v>
      </c>
      <c r="B23" t="s">
        <v>75</v>
      </c>
      <c r="C23" t="s">
        <v>47</v>
      </c>
      <c r="D23" t="s">
        <v>48</v>
      </c>
      <c r="E23" t="s">
        <v>49</v>
      </c>
      <c r="F23" t="s">
        <v>101</v>
      </c>
      <c r="H23" t="s">
        <v>51</v>
      </c>
      <c r="I23" t="s">
        <v>52</v>
      </c>
      <c r="J23" t="s">
        <v>53</v>
      </c>
      <c r="K23" t="s">
        <v>54</v>
      </c>
      <c r="L23" t="s">
        <v>55</v>
      </c>
      <c r="M23" t="s">
        <v>76</v>
      </c>
      <c r="Q23" t="s">
        <v>57</v>
      </c>
      <c r="S23">
        <v>1</v>
      </c>
      <c r="U23">
        <v>51000</v>
      </c>
      <c r="Y23" t="s">
        <v>102</v>
      </c>
      <c r="Z23">
        <v>4412</v>
      </c>
      <c r="AA23" t="s">
        <v>62</v>
      </c>
      <c r="AB23" t="s">
        <v>63</v>
      </c>
      <c r="AC23">
        <v>32</v>
      </c>
      <c r="AD23">
        <v>159.53</v>
      </c>
      <c r="AE23">
        <f t="shared" si="0"/>
        <v>5104.96</v>
      </c>
      <c r="AF23" s="4">
        <v>0.19</v>
      </c>
      <c r="AG23">
        <f t="shared" si="1"/>
        <v>4135.02</v>
      </c>
      <c r="AH23" s="4">
        <v>0.18</v>
      </c>
      <c r="AI23">
        <f t="shared" si="2"/>
        <v>4879.32</v>
      </c>
      <c r="AJ23" s="4">
        <v>0.1</v>
      </c>
      <c r="AK23">
        <f t="shared" si="3"/>
        <v>487.93</v>
      </c>
      <c r="AL23">
        <f t="shared" si="4"/>
        <v>5367.25</v>
      </c>
      <c r="AM23">
        <f t="shared" si="5"/>
        <v>-262.29</v>
      </c>
      <c r="AN23" s="4">
        <f t="shared" si="6"/>
        <v>-0.051379442738043</v>
      </c>
      <c r="AO23" t="s">
        <v>64</v>
      </c>
      <c r="AQ23" t="s">
        <v>65</v>
      </c>
      <c r="AS23" t="s">
        <v>103</v>
      </c>
    </row>
    <row r="24" ht="15.75" customHeight="1" spans="1:45">
      <c r="A24" t="s">
        <v>100</v>
      </c>
      <c r="B24" t="s">
        <v>79</v>
      </c>
      <c r="C24" t="s">
        <v>47</v>
      </c>
      <c r="D24" t="s">
        <v>48</v>
      </c>
      <c r="E24" t="s">
        <v>49</v>
      </c>
      <c r="F24" t="s">
        <v>101</v>
      </c>
      <c r="H24" t="s">
        <v>51</v>
      </c>
      <c r="I24" t="s">
        <v>52</v>
      </c>
      <c r="J24" t="s">
        <v>53</v>
      </c>
      <c r="K24" t="s">
        <v>54</v>
      </c>
      <c r="L24" t="s">
        <v>55</v>
      </c>
      <c r="M24" t="s">
        <v>80</v>
      </c>
      <c r="Q24" t="s">
        <v>57</v>
      </c>
      <c r="S24">
        <v>1</v>
      </c>
      <c r="U24">
        <v>51000</v>
      </c>
      <c r="Y24" t="s">
        <v>102</v>
      </c>
      <c r="Z24">
        <v>4412</v>
      </c>
      <c r="AA24" t="s">
        <v>62</v>
      </c>
      <c r="AB24" t="s">
        <v>63</v>
      </c>
      <c r="AC24">
        <v>32</v>
      </c>
      <c r="AD24">
        <v>200.07</v>
      </c>
      <c r="AE24">
        <f t="shared" si="0"/>
        <v>6402.24</v>
      </c>
      <c r="AF24" s="4">
        <v>0.19</v>
      </c>
      <c r="AG24">
        <f t="shared" si="1"/>
        <v>5185.81</v>
      </c>
      <c r="AH24" s="4">
        <v>0.18</v>
      </c>
      <c r="AI24">
        <f t="shared" si="2"/>
        <v>6119.26</v>
      </c>
      <c r="AJ24" s="4">
        <v>0.1</v>
      </c>
      <c r="AK24">
        <f t="shared" si="3"/>
        <v>611.93</v>
      </c>
      <c r="AL24">
        <f t="shared" si="4"/>
        <v>6731.19</v>
      </c>
      <c r="AM24">
        <f t="shared" si="5"/>
        <v>-328.950000000001</v>
      </c>
      <c r="AN24" s="4">
        <f t="shared" si="6"/>
        <v>-0.0513804543409808</v>
      </c>
      <c r="AO24" t="s">
        <v>64</v>
      </c>
      <c r="AQ24" t="s">
        <v>65</v>
      </c>
      <c r="AS24" t="s">
        <v>103</v>
      </c>
    </row>
    <row r="25" ht="15.75" customHeight="1" spans="1:45">
      <c r="A25" t="s">
        <v>100</v>
      </c>
      <c r="B25" t="s">
        <v>83</v>
      </c>
      <c r="C25" t="s">
        <v>47</v>
      </c>
      <c r="D25" t="s">
        <v>48</v>
      </c>
      <c r="E25" t="s">
        <v>49</v>
      </c>
      <c r="F25" t="s">
        <v>101</v>
      </c>
      <c r="H25" t="s">
        <v>51</v>
      </c>
      <c r="I25" t="s">
        <v>52</v>
      </c>
      <c r="J25" t="s">
        <v>53</v>
      </c>
      <c r="K25" t="s">
        <v>54</v>
      </c>
      <c r="L25" t="s">
        <v>55</v>
      </c>
      <c r="M25" t="s">
        <v>84</v>
      </c>
      <c r="Q25" t="s">
        <v>57</v>
      </c>
      <c r="S25">
        <v>1</v>
      </c>
      <c r="U25">
        <v>51000</v>
      </c>
      <c r="Y25" t="s">
        <v>102</v>
      </c>
      <c r="Z25">
        <v>4412</v>
      </c>
      <c r="AA25" t="s">
        <v>62</v>
      </c>
      <c r="AB25" t="s">
        <v>63</v>
      </c>
      <c r="AC25">
        <v>32</v>
      </c>
      <c r="AD25">
        <v>230.04</v>
      </c>
      <c r="AE25">
        <f t="shared" si="0"/>
        <v>7361.28</v>
      </c>
      <c r="AF25" s="4">
        <v>0.19</v>
      </c>
      <c r="AG25">
        <f t="shared" si="1"/>
        <v>5962.64</v>
      </c>
      <c r="AH25" s="4">
        <v>0.18</v>
      </c>
      <c r="AI25">
        <f t="shared" si="2"/>
        <v>7035.92</v>
      </c>
      <c r="AJ25" s="4">
        <v>0.1</v>
      </c>
      <c r="AK25">
        <f t="shared" si="3"/>
        <v>703.59</v>
      </c>
      <c r="AL25">
        <f t="shared" si="4"/>
        <v>7739.51</v>
      </c>
      <c r="AM25">
        <f t="shared" si="5"/>
        <v>-378.23</v>
      </c>
      <c r="AN25" s="4">
        <f t="shared" si="6"/>
        <v>-0.0513810098243784</v>
      </c>
      <c r="AO25" t="s">
        <v>64</v>
      </c>
      <c r="AQ25" t="s">
        <v>65</v>
      </c>
      <c r="AS25" t="s">
        <v>103</v>
      </c>
    </row>
    <row r="26" ht="15.75" customHeight="1" spans="1:45">
      <c r="A26" t="s">
        <v>104</v>
      </c>
      <c r="B26" t="s">
        <v>46</v>
      </c>
      <c r="C26" t="s">
        <v>47</v>
      </c>
      <c r="D26" t="s">
        <v>105</v>
      </c>
      <c r="E26" t="s">
        <v>49</v>
      </c>
      <c r="F26" t="s">
        <v>87</v>
      </c>
      <c r="H26" t="s">
        <v>51</v>
      </c>
      <c r="I26" t="s">
        <v>52</v>
      </c>
      <c r="J26" t="s">
        <v>53</v>
      </c>
      <c r="K26" t="s">
        <v>54</v>
      </c>
      <c r="L26" t="s">
        <v>55</v>
      </c>
      <c r="M26" t="s">
        <v>56</v>
      </c>
      <c r="Q26" t="s">
        <v>57</v>
      </c>
      <c r="S26">
        <v>1</v>
      </c>
      <c r="U26">
        <v>51000</v>
      </c>
      <c r="Y26" t="s">
        <v>106</v>
      </c>
      <c r="Z26">
        <v>4412</v>
      </c>
      <c r="AA26" t="s">
        <v>62</v>
      </c>
      <c r="AB26" t="s">
        <v>63</v>
      </c>
      <c r="AC26">
        <v>32</v>
      </c>
      <c r="AD26">
        <v>53.59</v>
      </c>
      <c r="AE26">
        <f t="shared" si="0"/>
        <v>1714.88</v>
      </c>
      <c r="AF26" s="4">
        <v>0.29</v>
      </c>
      <c r="AG26">
        <f t="shared" si="1"/>
        <v>1217.56</v>
      </c>
      <c r="AH26" s="4">
        <v>0.18</v>
      </c>
      <c r="AI26">
        <f t="shared" si="2"/>
        <v>1436.72</v>
      </c>
      <c r="AJ26" s="4">
        <v>0.1</v>
      </c>
      <c r="AK26">
        <f t="shared" si="3"/>
        <v>143.67</v>
      </c>
      <c r="AL26">
        <f t="shared" si="4"/>
        <v>1580.39</v>
      </c>
      <c r="AM26">
        <f t="shared" si="5"/>
        <v>134.49</v>
      </c>
      <c r="AN26" s="4">
        <f t="shared" si="6"/>
        <v>0.0784253125583131</v>
      </c>
      <c r="AO26" t="s">
        <v>64</v>
      </c>
      <c r="AQ26" t="s">
        <v>65</v>
      </c>
      <c r="AS26" t="s">
        <v>107</v>
      </c>
    </row>
    <row r="27" ht="15.75" customHeight="1" spans="1:45">
      <c r="A27" t="s">
        <v>104</v>
      </c>
      <c r="B27" t="s">
        <v>67</v>
      </c>
      <c r="C27" t="s">
        <v>47</v>
      </c>
      <c r="D27" t="s">
        <v>105</v>
      </c>
      <c r="E27" t="s">
        <v>49</v>
      </c>
      <c r="F27" t="s">
        <v>87</v>
      </c>
      <c r="H27" t="s">
        <v>51</v>
      </c>
      <c r="I27" t="s">
        <v>52</v>
      </c>
      <c r="J27" t="s">
        <v>53</v>
      </c>
      <c r="K27" t="s">
        <v>54</v>
      </c>
      <c r="L27" t="s">
        <v>55</v>
      </c>
      <c r="M27" t="s">
        <v>68</v>
      </c>
      <c r="Q27" t="s">
        <v>57</v>
      </c>
      <c r="S27">
        <v>1</v>
      </c>
      <c r="U27">
        <v>51000</v>
      </c>
      <c r="Y27" t="s">
        <v>106</v>
      </c>
      <c r="Z27">
        <v>4412</v>
      </c>
      <c r="AA27" t="s">
        <v>62</v>
      </c>
      <c r="AB27" t="s">
        <v>63</v>
      </c>
      <c r="AC27">
        <v>32</v>
      </c>
      <c r="AD27">
        <v>68.36</v>
      </c>
      <c r="AE27">
        <f t="shared" si="0"/>
        <v>2187.52</v>
      </c>
      <c r="AF27" s="4">
        <v>0.29</v>
      </c>
      <c r="AG27">
        <f t="shared" si="1"/>
        <v>1553.14</v>
      </c>
      <c r="AH27" s="4">
        <v>0.18</v>
      </c>
      <c r="AI27">
        <f t="shared" si="2"/>
        <v>1832.71</v>
      </c>
      <c r="AJ27" s="4">
        <v>0.1</v>
      </c>
      <c r="AK27">
        <f t="shared" si="3"/>
        <v>183.27</v>
      </c>
      <c r="AL27">
        <f t="shared" si="4"/>
        <v>2015.98</v>
      </c>
      <c r="AM27">
        <f t="shared" si="5"/>
        <v>171.54</v>
      </c>
      <c r="AN27" s="4">
        <f t="shared" si="6"/>
        <v>0.0784175687536571</v>
      </c>
      <c r="AO27" t="s">
        <v>64</v>
      </c>
      <c r="AQ27" t="s">
        <v>65</v>
      </c>
      <c r="AS27" t="s">
        <v>107</v>
      </c>
    </row>
    <row r="28" ht="15.75" customHeight="1" spans="1:45">
      <c r="A28" t="s">
        <v>104</v>
      </c>
      <c r="B28" t="s">
        <v>71</v>
      </c>
      <c r="C28" t="s">
        <v>47</v>
      </c>
      <c r="D28" t="s">
        <v>105</v>
      </c>
      <c r="E28" t="s">
        <v>49</v>
      </c>
      <c r="F28" t="s">
        <v>87</v>
      </c>
      <c r="H28" t="s">
        <v>51</v>
      </c>
      <c r="I28" t="s">
        <v>52</v>
      </c>
      <c r="J28" t="s">
        <v>53</v>
      </c>
      <c r="K28" t="s">
        <v>54</v>
      </c>
      <c r="L28" t="s">
        <v>55</v>
      </c>
      <c r="M28" t="s">
        <v>90</v>
      </c>
      <c r="Q28" t="s">
        <v>57</v>
      </c>
      <c r="S28">
        <v>1</v>
      </c>
      <c r="U28">
        <v>51000</v>
      </c>
      <c r="Y28" t="s">
        <v>106</v>
      </c>
      <c r="Z28">
        <v>4412</v>
      </c>
      <c r="AA28" t="s">
        <v>62</v>
      </c>
      <c r="AB28" t="s">
        <v>63</v>
      </c>
      <c r="AC28">
        <v>32</v>
      </c>
      <c r="AD28">
        <v>85.32</v>
      </c>
      <c r="AE28">
        <f t="shared" si="0"/>
        <v>2730.24</v>
      </c>
      <c r="AF28" s="4">
        <v>0.29</v>
      </c>
      <c r="AG28">
        <f t="shared" si="1"/>
        <v>1938.47</v>
      </c>
      <c r="AH28" s="4">
        <v>0.18</v>
      </c>
      <c r="AI28">
        <f t="shared" si="2"/>
        <v>2287.39</v>
      </c>
      <c r="AJ28" s="4">
        <v>0.1</v>
      </c>
      <c r="AK28">
        <f t="shared" si="3"/>
        <v>228.74</v>
      </c>
      <c r="AL28">
        <f t="shared" si="4"/>
        <v>2516.13</v>
      </c>
      <c r="AM28">
        <f t="shared" si="5"/>
        <v>214.11</v>
      </c>
      <c r="AN28" s="4">
        <f t="shared" si="6"/>
        <v>0.0784216772151898</v>
      </c>
      <c r="AO28" t="s">
        <v>64</v>
      </c>
      <c r="AQ28" t="s">
        <v>65</v>
      </c>
      <c r="AS28" t="s">
        <v>107</v>
      </c>
    </row>
    <row r="29" ht="15.75" customHeight="1" spans="1:45">
      <c r="A29" t="s">
        <v>104</v>
      </c>
      <c r="B29" t="s">
        <v>75</v>
      </c>
      <c r="C29" t="s">
        <v>47</v>
      </c>
      <c r="D29" t="s">
        <v>105</v>
      </c>
      <c r="E29" t="s">
        <v>49</v>
      </c>
      <c r="F29" t="s">
        <v>87</v>
      </c>
      <c r="H29" t="s">
        <v>51</v>
      </c>
      <c r="I29" t="s">
        <v>52</v>
      </c>
      <c r="J29" t="s">
        <v>53</v>
      </c>
      <c r="K29" t="s">
        <v>54</v>
      </c>
      <c r="L29" t="s">
        <v>55</v>
      </c>
      <c r="M29" t="s">
        <v>76</v>
      </c>
      <c r="Q29" t="s">
        <v>57</v>
      </c>
      <c r="S29">
        <v>1</v>
      </c>
      <c r="U29">
        <v>51000</v>
      </c>
      <c r="Y29" t="s">
        <v>106</v>
      </c>
      <c r="Z29">
        <v>4412</v>
      </c>
      <c r="AA29" t="s">
        <v>62</v>
      </c>
      <c r="AB29" t="s">
        <v>63</v>
      </c>
      <c r="AC29">
        <v>32</v>
      </c>
      <c r="AD29">
        <v>103.68</v>
      </c>
      <c r="AE29">
        <f t="shared" si="0"/>
        <v>3317.76</v>
      </c>
      <c r="AF29" s="4">
        <v>0.29</v>
      </c>
      <c r="AG29">
        <f t="shared" si="1"/>
        <v>2355.61</v>
      </c>
      <c r="AH29" s="4">
        <v>0.18</v>
      </c>
      <c r="AI29">
        <f t="shared" si="2"/>
        <v>2779.62</v>
      </c>
      <c r="AJ29" s="4">
        <v>0.1</v>
      </c>
      <c r="AK29">
        <f t="shared" si="3"/>
        <v>277.96</v>
      </c>
      <c r="AL29">
        <f t="shared" si="4"/>
        <v>3057.58</v>
      </c>
      <c r="AM29">
        <f t="shared" si="5"/>
        <v>260.18</v>
      </c>
      <c r="AN29" s="4">
        <f t="shared" si="6"/>
        <v>0.0784203800154322</v>
      </c>
      <c r="AO29" t="s">
        <v>64</v>
      </c>
      <c r="AQ29" t="s">
        <v>65</v>
      </c>
      <c r="AS29" t="s">
        <v>107</v>
      </c>
    </row>
    <row r="30" ht="15.75" customHeight="1" spans="1:45">
      <c r="A30" t="s">
        <v>104</v>
      </c>
      <c r="B30" t="s">
        <v>79</v>
      </c>
      <c r="C30" t="s">
        <v>47</v>
      </c>
      <c r="D30" t="s">
        <v>105</v>
      </c>
      <c r="E30" t="s">
        <v>49</v>
      </c>
      <c r="F30" t="s">
        <v>87</v>
      </c>
      <c r="H30" t="s">
        <v>51</v>
      </c>
      <c r="I30" t="s">
        <v>52</v>
      </c>
      <c r="J30" t="s">
        <v>53</v>
      </c>
      <c r="K30" t="s">
        <v>54</v>
      </c>
      <c r="L30" t="s">
        <v>55</v>
      </c>
      <c r="M30" t="s">
        <v>91</v>
      </c>
      <c r="Q30" t="s">
        <v>57</v>
      </c>
      <c r="S30">
        <v>1</v>
      </c>
      <c r="U30">
        <v>51000</v>
      </c>
      <c r="Y30" t="s">
        <v>106</v>
      </c>
      <c r="Z30">
        <v>4412</v>
      </c>
      <c r="AA30" t="s">
        <v>62</v>
      </c>
      <c r="AB30" t="s">
        <v>63</v>
      </c>
      <c r="AC30">
        <v>32</v>
      </c>
      <c r="AD30">
        <v>125.87</v>
      </c>
      <c r="AE30">
        <f t="shared" si="0"/>
        <v>4027.84</v>
      </c>
      <c r="AF30" s="4">
        <v>0.29</v>
      </c>
      <c r="AG30">
        <f t="shared" si="1"/>
        <v>2859.77</v>
      </c>
      <c r="AH30" s="4">
        <v>0.18</v>
      </c>
      <c r="AI30">
        <f t="shared" si="2"/>
        <v>3374.53</v>
      </c>
      <c r="AJ30" s="4">
        <v>0.1</v>
      </c>
      <c r="AK30">
        <f t="shared" si="3"/>
        <v>337.45</v>
      </c>
      <c r="AL30">
        <f t="shared" si="4"/>
        <v>3711.98</v>
      </c>
      <c r="AM30">
        <f t="shared" si="5"/>
        <v>315.86</v>
      </c>
      <c r="AN30" s="4">
        <f t="shared" si="6"/>
        <v>0.0784192023516327</v>
      </c>
      <c r="AO30" t="s">
        <v>64</v>
      </c>
      <c r="AQ30" t="s">
        <v>65</v>
      </c>
      <c r="AS30" t="s">
        <v>107</v>
      </c>
    </row>
    <row r="31" ht="15.75" customHeight="1" spans="1:45">
      <c r="A31" t="s">
        <v>104</v>
      </c>
      <c r="B31" t="s">
        <v>83</v>
      </c>
      <c r="C31" t="s">
        <v>47</v>
      </c>
      <c r="D31" t="s">
        <v>105</v>
      </c>
      <c r="E31" t="s">
        <v>49</v>
      </c>
      <c r="F31" t="s">
        <v>87</v>
      </c>
      <c r="H31" t="s">
        <v>51</v>
      </c>
      <c r="I31" t="s">
        <v>52</v>
      </c>
      <c r="J31" t="s">
        <v>53</v>
      </c>
      <c r="K31" t="s">
        <v>54</v>
      </c>
      <c r="L31" t="s">
        <v>55</v>
      </c>
      <c r="M31" t="s">
        <v>92</v>
      </c>
      <c r="Q31" t="s">
        <v>57</v>
      </c>
      <c r="S31">
        <v>1</v>
      </c>
      <c r="U31">
        <v>51000</v>
      </c>
      <c r="Y31" t="s">
        <v>106</v>
      </c>
      <c r="Z31">
        <v>4412</v>
      </c>
      <c r="AA31" t="s">
        <v>62</v>
      </c>
      <c r="AB31" t="s">
        <v>63</v>
      </c>
      <c r="AC31">
        <v>32</v>
      </c>
      <c r="AD31">
        <v>146.88</v>
      </c>
      <c r="AE31">
        <f t="shared" si="0"/>
        <v>4700.16</v>
      </c>
      <c r="AF31" s="4">
        <v>0.29</v>
      </c>
      <c r="AG31">
        <f t="shared" si="1"/>
        <v>3337.11</v>
      </c>
      <c r="AH31" s="4">
        <v>0.18</v>
      </c>
      <c r="AI31">
        <f t="shared" si="2"/>
        <v>3937.79</v>
      </c>
      <c r="AJ31" s="4">
        <v>0.1</v>
      </c>
      <c r="AK31">
        <f t="shared" si="3"/>
        <v>393.78</v>
      </c>
      <c r="AL31">
        <f t="shared" si="4"/>
        <v>4331.57</v>
      </c>
      <c r="AM31">
        <f t="shared" si="5"/>
        <v>368.59</v>
      </c>
      <c r="AN31" s="4">
        <f t="shared" si="6"/>
        <v>0.0784207346132898</v>
      </c>
      <c r="AO31" t="s">
        <v>64</v>
      </c>
      <c r="AQ31" t="s">
        <v>65</v>
      </c>
      <c r="AS31" t="s">
        <v>107</v>
      </c>
    </row>
    <row r="32" ht="15.75" customHeight="1" spans="1:45">
      <c r="A32" t="s">
        <v>108</v>
      </c>
      <c r="B32" t="s">
        <v>46</v>
      </c>
      <c r="C32" t="s">
        <v>47</v>
      </c>
      <c r="D32" t="s">
        <v>105</v>
      </c>
      <c r="E32" t="s">
        <v>49</v>
      </c>
      <c r="F32" t="s">
        <v>50</v>
      </c>
      <c r="H32" t="s">
        <v>51</v>
      </c>
      <c r="I32" t="s">
        <v>52</v>
      </c>
      <c r="J32" t="s">
        <v>53</v>
      </c>
      <c r="K32" t="s">
        <v>54</v>
      </c>
      <c r="L32" t="s">
        <v>55</v>
      </c>
      <c r="M32" t="s">
        <v>56</v>
      </c>
      <c r="Q32" t="s">
        <v>57</v>
      </c>
      <c r="S32">
        <v>1</v>
      </c>
      <c r="U32">
        <v>51000</v>
      </c>
      <c r="Y32" t="s">
        <v>109</v>
      </c>
      <c r="Z32">
        <v>4412</v>
      </c>
      <c r="AA32" t="s">
        <v>62</v>
      </c>
      <c r="AB32" t="s">
        <v>63</v>
      </c>
      <c r="AC32">
        <v>32</v>
      </c>
      <c r="AD32">
        <v>54</v>
      </c>
      <c r="AE32">
        <f t="shared" si="0"/>
        <v>1728</v>
      </c>
      <c r="AF32" s="4">
        <v>0.19</v>
      </c>
      <c r="AG32">
        <f t="shared" si="1"/>
        <v>1399.68</v>
      </c>
      <c r="AH32" s="4">
        <v>0.18</v>
      </c>
      <c r="AI32">
        <f t="shared" si="2"/>
        <v>1651.62</v>
      </c>
      <c r="AJ32" s="4">
        <v>0.1</v>
      </c>
      <c r="AK32">
        <f t="shared" si="3"/>
        <v>165.16</v>
      </c>
      <c r="AL32">
        <f t="shared" si="4"/>
        <v>1816.78</v>
      </c>
      <c r="AM32">
        <f t="shared" si="5"/>
        <v>-88.78</v>
      </c>
      <c r="AN32" s="4">
        <f t="shared" si="6"/>
        <v>-0.0513773148148148</v>
      </c>
      <c r="AO32" t="s">
        <v>64</v>
      </c>
      <c r="AQ32" t="s">
        <v>65</v>
      </c>
      <c r="AS32" t="s">
        <v>110</v>
      </c>
    </row>
    <row r="33" ht="15.75" customHeight="1" spans="1:45">
      <c r="A33" t="s">
        <v>108</v>
      </c>
      <c r="B33" t="s">
        <v>67</v>
      </c>
      <c r="C33" t="s">
        <v>47</v>
      </c>
      <c r="D33" t="s">
        <v>105</v>
      </c>
      <c r="E33" t="s">
        <v>49</v>
      </c>
      <c r="F33" t="s">
        <v>50</v>
      </c>
      <c r="H33" t="s">
        <v>51</v>
      </c>
      <c r="I33" t="s">
        <v>52</v>
      </c>
      <c r="J33" t="s">
        <v>53</v>
      </c>
      <c r="K33" t="s">
        <v>54</v>
      </c>
      <c r="L33" t="s">
        <v>55</v>
      </c>
      <c r="M33" t="s">
        <v>68</v>
      </c>
      <c r="Q33" t="s">
        <v>57</v>
      </c>
      <c r="S33">
        <v>1</v>
      </c>
      <c r="U33">
        <v>51000</v>
      </c>
      <c r="Y33" t="s">
        <v>109</v>
      </c>
      <c r="Z33">
        <v>4412</v>
      </c>
      <c r="AA33" t="s">
        <v>62</v>
      </c>
      <c r="AB33" t="s">
        <v>63</v>
      </c>
      <c r="AC33">
        <v>32</v>
      </c>
      <c r="AD33">
        <v>66.96</v>
      </c>
      <c r="AE33">
        <f t="shared" si="0"/>
        <v>2142.72</v>
      </c>
      <c r="AF33" s="4">
        <v>0.19</v>
      </c>
      <c r="AG33">
        <f t="shared" si="1"/>
        <v>1735.6</v>
      </c>
      <c r="AH33" s="4">
        <v>0.18</v>
      </c>
      <c r="AI33">
        <f t="shared" si="2"/>
        <v>2048.01</v>
      </c>
      <c r="AJ33" s="4">
        <v>0.1</v>
      </c>
      <c r="AK33">
        <f t="shared" si="3"/>
        <v>204.8</v>
      </c>
      <c r="AL33">
        <f t="shared" si="4"/>
        <v>2252.81</v>
      </c>
      <c r="AM33">
        <f t="shared" si="5"/>
        <v>-110.090000000001</v>
      </c>
      <c r="AN33" s="4">
        <f t="shared" si="6"/>
        <v>-0.0513786215651138</v>
      </c>
      <c r="AO33" t="s">
        <v>64</v>
      </c>
      <c r="AQ33" t="s">
        <v>65</v>
      </c>
      <c r="AS33" t="s">
        <v>110</v>
      </c>
    </row>
    <row r="34" ht="15.75" customHeight="1" spans="1:45">
      <c r="A34" t="s">
        <v>108</v>
      </c>
      <c r="B34" t="s">
        <v>71</v>
      </c>
      <c r="C34" t="s">
        <v>47</v>
      </c>
      <c r="D34" t="s">
        <v>105</v>
      </c>
      <c r="E34" t="s">
        <v>49</v>
      </c>
      <c r="F34" t="s">
        <v>50</v>
      </c>
      <c r="H34" t="s">
        <v>51</v>
      </c>
      <c r="I34" t="s">
        <v>52</v>
      </c>
      <c r="J34" t="s">
        <v>53</v>
      </c>
      <c r="K34" t="s">
        <v>54</v>
      </c>
      <c r="L34" t="s">
        <v>55</v>
      </c>
      <c r="M34" t="s">
        <v>72</v>
      </c>
      <c r="Q34" t="s">
        <v>57</v>
      </c>
      <c r="S34">
        <v>1</v>
      </c>
      <c r="U34">
        <v>51000</v>
      </c>
      <c r="Y34" t="s">
        <v>109</v>
      </c>
      <c r="Z34">
        <v>4412</v>
      </c>
      <c r="AA34" t="s">
        <v>62</v>
      </c>
      <c r="AB34" t="s">
        <v>63</v>
      </c>
      <c r="AC34">
        <v>32</v>
      </c>
      <c r="AD34">
        <v>81</v>
      </c>
      <c r="AE34">
        <f t="shared" si="0"/>
        <v>2592</v>
      </c>
      <c r="AF34" s="4">
        <v>0.19</v>
      </c>
      <c r="AG34">
        <f t="shared" si="1"/>
        <v>2099.52</v>
      </c>
      <c r="AH34" s="4">
        <v>0.18</v>
      </c>
      <c r="AI34">
        <f t="shared" si="2"/>
        <v>2477.43</v>
      </c>
      <c r="AJ34" s="4">
        <v>0.1</v>
      </c>
      <c r="AK34">
        <f t="shared" si="3"/>
        <v>247.74</v>
      </c>
      <c r="AL34">
        <f t="shared" si="4"/>
        <v>2725.17</v>
      </c>
      <c r="AM34">
        <f t="shared" si="5"/>
        <v>-133.17</v>
      </c>
      <c r="AN34" s="4">
        <f t="shared" si="6"/>
        <v>-0.0513773148148148</v>
      </c>
      <c r="AO34" t="s">
        <v>64</v>
      </c>
      <c r="AQ34" t="s">
        <v>65</v>
      </c>
      <c r="AS34" t="s">
        <v>110</v>
      </c>
    </row>
    <row r="35" ht="15.75" customHeight="1" spans="1:45">
      <c r="A35" t="s">
        <v>108</v>
      </c>
      <c r="B35" t="s">
        <v>75</v>
      </c>
      <c r="C35" t="s">
        <v>47</v>
      </c>
      <c r="D35" t="s">
        <v>105</v>
      </c>
      <c r="E35" t="s">
        <v>49</v>
      </c>
      <c r="F35" t="s">
        <v>50</v>
      </c>
      <c r="H35" t="s">
        <v>51</v>
      </c>
      <c r="I35" t="s">
        <v>52</v>
      </c>
      <c r="J35" t="s">
        <v>53</v>
      </c>
      <c r="K35" t="s">
        <v>54</v>
      </c>
      <c r="L35" t="s">
        <v>55</v>
      </c>
      <c r="M35" t="s">
        <v>76</v>
      </c>
      <c r="Q35" t="s">
        <v>57</v>
      </c>
      <c r="S35">
        <v>1</v>
      </c>
      <c r="U35">
        <v>51000</v>
      </c>
      <c r="Y35" t="s">
        <v>109</v>
      </c>
      <c r="Z35">
        <v>4412</v>
      </c>
      <c r="AA35" t="s">
        <v>62</v>
      </c>
      <c r="AB35" t="s">
        <v>63</v>
      </c>
      <c r="AC35">
        <v>32</v>
      </c>
      <c r="AD35">
        <v>104.76</v>
      </c>
      <c r="AE35">
        <f t="shared" si="0"/>
        <v>3352.32</v>
      </c>
      <c r="AF35" s="4">
        <v>0.19</v>
      </c>
      <c r="AG35">
        <f t="shared" si="1"/>
        <v>2715.38</v>
      </c>
      <c r="AH35" s="4">
        <v>0.18</v>
      </c>
      <c r="AI35">
        <f t="shared" si="2"/>
        <v>3204.15</v>
      </c>
      <c r="AJ35" s="4">
        <v>0.1</v>
      </c>
      <c r="AK35">
        <f t="shared" si="3"/>
        <v>320.42</v>
      </c>
      <c r="AL35">
        <f t="shared" si="4"/>
        <v>3524.57</v>
      </c>
      <c r="AM35">
        <f t="shared" si="5"/>
        <v>-172.25</v>
      </c>
      <c r="AN35" s="4">
        <f t="shared" si="6"/>
        <v>-0.0513823262695685</v>
      </c>
      <c r="AO35" t="s">
        <v>64</v>
      </c>
      <c r="AQ35" t="s">
        <v>65</v>
      </c>
      <c r="AS35" t="s">
        <v>110</v>
      </c>
    </row>
    <row r="36" ht="15.75" customHeight="1" spans="1:45">
      <c r="A36" t="s">
        <v>108</v>
      </c>
      <c r="B36" t="s">
        <v>79</v>
      </c>
      <c r="C36" t="s">
        <v>47</v>
      </c>
      <c r="D36" t="s">
        <v>105</v>
      </c>
      <c r="E36" t="s">
        <v>49</v>
      </c>
      <c r="F36" t="s">
        <v>50</v>
      </c>
      <c r="H36" t="s">
        <v>51</v>
      </c>
      <c r="I36" t="s">
        <v>52</v>
      </c>
      <c r="J36" t="s">
        <v>53</v>
      </c>
      <c r="K36" t="s">
        <v>54</v>
      </c>
      <c r="L36" t="s">
        <v>55</v>
      </c>
      <c r="M36" t="s">
        <v>80</v>
      </c>
      <c r="Q36" t="s">
        <v>57</v>
      </c>
      <c r="S36">
        <v>1</v>
      </c>
      <c r="U36">
        <v>51000</v>
      </c>
      <c r="Y36" t="s">
        <v>109</v>
      </c>
      <c r="Z36">
        <v>4412</v>
      </c>
      <c r="AA36" t="s">
        <v>62</v>
      </c>
      <c r="AB36" t="s">
        <v>63</v>
      </c>
      <c r="AC36">
        <v>32</v>
      </c>
      <c r="AD36">
        <v>130.68</v>
      </c>
      <c r="AE36">
        <f t="shared" si="0"/>
        <v>4181.76</v>
      </c>
      <c r="AF36" s="4">
        <v>0.19</v>
      </c>
      <c r="AG36">
        <f t="shared" si="1"/>
        <v>3387.23</v>
      </c>
      <c r="AH36" s="4">
        <v>0.18</v>
      </c>
      <c r="AI36">
        <f t="shared" si="2"/>
        <v>3996.93</v>
      </c>
      <c r="AJ36" s="4">
        <v>0.1</v>
      </c>
      <c r="AK36">
        <f t="shared" si="3"/>
        <v>399.69</v>
      </c>
      <c r="AL36">
        <f t="shared" si="4"/>
        <v>4396.62</v>
      </c>
      <c r="AM36">
        <f t="shared" si="5"/>
        <v>-214.86</v>
      </c>
      <c r="AN36" s="4">
        <f t="shared" si="6"/>
        <v>-0.0513802800734618</v>
      </c>
      <c r="AO36" t="s">
        <v>64</v>
      </c>
      <c r="AQ36" t="s">
        <v>65</v>
      </c>
      <c r="AS36" t="s">
        <v>110</v>
      </c>
    </row>
    <row r="37" ht="15.75" customHeight="1" spans="1:45">
      <c r="A37" t="s">
        <v>108</v>
      </c>
      <c r="B37" t="s">
        <v>83</v>
      </c>
      <c r="C37" t="s">
        <v>47</v>
      </c>
      <c r="D37" t="s">
        <v>105</v>
      </c>
      <c r="E37" t="s">
        <v>49</v>
      </c>
      <c r="F37" t="s">
        <v>50</v>
      </c>
      <c r="H37" t="s">
        <v>51</v>
      </c>
      <c r="I37" t="s">
        <v>52</v>
      </c>
      <c r="J37" t="s">
        <v>53</v>
      </c>
      <c r="K37" t="s">
        <v>54</v>
      </c>
      <c r="L37" t="s">
        <v>55</v>
      </c>
      <c r="M37" t="s">
        <v>84</v>
      </c>
      <c r="Q37" t="s">
        <v>57</v>
      </c>
      <c r="S37">
        <v>1</v>
      </c>
      <c r="U37">
        <v>51000</v>
      </c>
      <c r="Y37" t="s">
        <v>109</v>
      </c>
      <c r="Z37">
        <v>4412</v>
      </c>
      <c r="AA37" t="s">
        <v>62</v>
      </c>
      <c r="AB37" t="s">
        <v>63</v>
      </c>
      <c r="AC37">
        <v>32</v>
      </c>
      <c r="AD37">
        <v>151.2</v>
      </c>
      <c r="AE37">
        <f t="shared" si="0"/>
        <v>4838.4</v>
      </c>
      <c r="AF37" s="4">
        <v>0.19</v>
      </c>
      <c r="AG37">
        <f t="shared" si="1"/>
        <v>3919.1</v>
      </c>
      <c r="AH37" s="4">
        <v>0.18</v>
      </c>
      <c r="AI37">
        <f t="shared" si="2"/>
        <v>4624.54</v>
      </c>
      <c r="AJ37" s="4">
        <v>0.1</v>
      </c>
      <c r="AK37">
        <f t="shared" si="3"/>
        <v>462.45</v>
      </c>
      <c r="AL37">
        <f t="shared" si="4"/>
        <v>5086.99</v>
      </c>
      <c r="AM37">
        <f t="shared" si="5"/>
        <v>-248.59</v>
      </c>
      <c r="AN37" s="4">
        <f t="shared" si="6"/>
        <v>-0.0513785548941799</v>
      </c>
      <c r="AO37" t="s">
        <v>64</v>
      </c>
      <c r="AQ37" t="s">
        <v>65</v>
      </c>
      <c r="AS37" t="s">
        <v>110</v>
      </c>
    </row>
    <row r="38" ht="15.75" customHeight="1" spans="1:45">
      <c r="A38" t="s">
        <v>111</v>
      </c>
      <c r="B38" t="s">
        <v>46</v>
      </c>
      <c r="C38" t="s">
        <v>47</v>
      </c>
      <c r="D38" t="s">
        <v>105</v>
      </c>
      <c r="E38" t="s">
        <v>49</v>
      </c>
      <c r="F38" t="s">
        <v>94</v>
      </c>
      <c r="H38" t="s">
        <v>51</v>
      </c>
      <c r="I38" t="s">
        <v>95</v>
      </c>
      <c r="J38" t="s">
        <v>53</v>
      </c>
      <c r="K38" t="s">
        <v>54</v>
      </c>
      <c r="L38" t="s">
        <v>55</v>
      </c>
      <c r="M38" t="s">
        <v>56</v>
      </c>
      <c r="Q38" t="s">
        <v>57</v>
      </c>
      <c r="S38">
        <v>1</v>
      </c>
      <c r="U38">
        <v>51000</v>
      </c>
      <c r="Y38" t="s">
        <v>112</v>
      </c>
      <c r="Z38">
        <v>4412</v>
      </c>
      <c r="AA38" t="s">
        <v>62</v>
      </c>
      <c r="AB38" t="s">
        <v>63</v>
      </c>
      <c r="AC38">
        <v>32</v>
      </c>
      <c r="AD38">
        <v>63.9</v>
      </c>
      <c r="AE38">
        <f t="shared" si="0"/>
        <v>2044.8</v>
      </c>
      <c r="AF38" s="4">
        <v>0.29</v>
      </c>
      <c r="AG38">
        <f t="shared" si="1"/>
        <v>1451.81</v>
      </c>
      <c r="AH38" s="4">
        <v>0.18</v>
      </c>
      <c r="AI38">
        <f t="shared" si="2"/>
        <v>1713.14</v>
      </c>
      <c r="AJ38" s="4">
        <v>0.1</v>
      </c>
      <c r="AK38">
        <f t="shared" si="3"/>
        <v>171.31</v>
      </c>
      <c r="AL38">
        <f t="shared" si="4"/>
        <v>1884.45</v>
      </c>
      <c r="AM38">
        <f t="shared" si="5"/>
        <v>160.35</v>
      </c>
      <c r="AN38" s="4">
        <f t="shared" si="6"/>
        <v>0.0784184272300469</v>
      </c>
      <c r="AO38" t="s">
        <v>64</v>
      </c>
      <c r="AQ38" t="s">
        <v>65</v>
      </c>
      <c r="AS38" t="s">
        <v>113</v>
      </c>
    </row>
    <row r="39" ht="15.75" customHeight="1" spans="1:45">
      <c r="A39" t="s">
        <v>111</v>
      </c>
      <c r="B39" t="s">
        <v>67</v>
      </c>
      <c r="C39" t="s">
        <v>47</v>
      </c>
      <c r="D39" t="s">
        <v>105</v>
      </c>
      <c r="E39" t="s">
        <v>49</v>
      </c>
      <c r="F39" t="s">
        <v>94</v>
      </c>
      <c r="H39" t="s">
        <v>51</v>
      </c>
      <c r="I39" t="s">
        <v>95</v>
      </c>
      <c r="J39" t="s">
        <v>53</v>
      </c>
      <c r="K39" t="s">
        <v>54</v>
      </c>
      <c r="L39" t="s">
        <v>55</v>
      </c>
      <c r="M39" t="s">
        <v>68</v>
      </c>
      <c r="Q39" t="s">
        <v>57</v>
      </c>
      <c r="S39">
        <v>1</v>
      </c>
      <c r="U39">
        <v>51000</v>
      </c>
      <c r="Y39" t="s">
        <v>112</v>
      </c>
      <c r="Z39">
        <v>4412</v>
      </c>
      <c r="AA39" t="s">
        <v>62</v>
      </c>
      <c r="AB39" t="s">
        <v>63</v>
      </c>
      <c r="AC39">
        <v>32</v>
      </c>
      <c r="AD39">
        <v>77.8</v>
      </c>
      <c r="AE39">
        <f t="shared" si="0"/>
        <v>2489.6</v>
      </c>
      <c r="AF39" s="4">
        <v>0.29</v>
      </c>
      <c r="AG39">
        <f t="shared" si="1"/>
        <v>1767.62</v>
      </c>
      <c r="AH39" s="4">
        <v>0.18</v>
      </c>
      <c r="AI39">
        <f t="shared" si="2"/>
        <v>2085.79</v>
      </c>
      <c r="AJ39" s="4">
        <v>0.1</v>
      </c>
      <c r="AK39">
        <f t="shared" si="3"/>
        <v>208.58</v>
      </c>
      <c r="AL39">
        <f t="shared" si="4"/>
        <v>2294.37</v>
      </c>
      <c r="AM39">
        <f t="shared" si="5"/>
        <v>195.23</v>
      </c>
      <c r="AN39" s="4">
        <f t="shared" si="6"/>
        <v>0.0784182197943445</v>
      </c>
      <c r="AO39" t="s">
        <v>64</v>
      </c>
      <c r="AQ39" t="s">
        <v>65</v>
      </c>
      <c r="AS39" t="s">
        <v>113</v>
      </c>
    </row>
    <row r="40" ht="15.75" customHeight="1" spans="1:45">
      <c r="A40" t="s">
        <v>111</v>
      </c>
      <c r="B40" t="s">
        <v>71</v>
      </c>
      <c r="C40" t="s">
        <v>47</v>
      </c>
      <c r="D40" t="s">
        <v>105</v>
      </c>
      <c r="E40" t="s">
        <v>49</v>
      </c>
      <c r="F40" t="s">
        <v>94</v>
      </c>
      <c r="H40" t="s">
        <v>51</v>
      </c>
      <c r="I40" t="s">
        <v>95</v>
      </c>
      <c r="J40" t="s">
        <v>53</v>
      </c>
      <c r="K40" t="s">
        <v>54</v>
      </c>
      <c r="L40" t="s">
        <v>55</v>
      </c>
      <c r="M40" t="s">
        <v>90</v>
      </c>
      <c r="Q40" t="s">
        <v>57</v>
      </c>
      <c r="S40">
        <v>1</v>
      </c>
      <c r="U40">
        <v>51000</v>
      </c>
      <c r="Y40" t="s">
        <v>112</v>
      </c>
      <c r="Z40">
        <v>4412</v>
      </c>
      <c r="AA40" t="s">
        <v>62</v>
      </c>
      <c r="AB40" t="s">
        <v>63</v>
      </c>
      <c r="AC40">
        <v>32</v>
      </c>
      <c r="AD40">
        <v>96.4</v>
      </c>
      <c r="AE40">
        <f t="shared" si="0"/>
        <v>3084.8</v>
      </c>
      <c r="AF40" s="4">
        <v>0.29</v>
      </c>
      <c r="AG40">
        <f t="shared" si="1"/>
        <v>2190.21</v>
      </c>
      <c r="AH40" s="4">
        <v>0.18</v>
      </c>
      <c r="AI40">
        <f t="shared" si="2"/>
        <v>2584.45</v>
      </c>
      <c r="AJ40" s="4">
        <v>0.1</v>
      </c>
      <c r="AK40">
        <f t="shared" si="3"/>
        <v>258.45</v>
      </c>
      <c r="AL40">
        <f t="shared" si="4"/>
        <v>2842.9</v>
      </c>
      <c r="AM40">
        <f t="shared" si="5"/>
        <v>241.900000000001</v>
      </c>
      <c r="AN40" s="4">
        <f t="shared" si="6"/>
        <v>0.0784167531120334</v>
      </c>
      <c r="AO40" t="s">
        <v>64</v>
      </c>
      <c r="AQ40" t="s">
        <v>65</v>
      </c>
      <c r="AS40" t="s">
        <v>113</v>
      </c>
    </row>
    <row r="41" ht="15.75" customHeight="1" spans="1:45">
      <c r="A41" t="s">
        <v>111</v>
      </c>
      <c r="B41" t="s">
        <v>75</v>
      </c>
      <c r="C41" t="s">
        <v>47</v>
      </c>
      <c r="D41" t="s">
        <v>105</v>
      </c>
      <c r="E41" t="s">
        <v>49</v>
      </c>
      <c r="F41" t="s">
        <v>94</v>
      </c>
      <c r="H41" t="s">
        <v>51</v>
      </c>
      <c r="I41" t="s">
        <v>95</v>
      </c>
      <c r="J41" t="s">
        <v>53</v>
      </c>
      <c r="K41" t="s">
        <v>54</v>
      </c>
      <c r="L41" t="s">
        <v>55</v>
      </c>
      <c r="M41" t="s">
        <v>76</v>
      </c>
      <c r="Q41" t="s">
        <v>57</v>
      </c>
      <c r="S41">
        <v>1</v>
      </c>
      <c r="U41">
        <v>51000</v>
      </c>
      <c r="Y41" t="s">
        <v>112</v>
      </c>
      <c r="Z41">
        <v>4412</v>
      </c>
      <c r="AA41" t="s">
        <v>62</v>
      </c>
      <c r="AB41" t="s">
        <v>63</v>
      </c>
      <c r="AC41">
        <v>32</v>
      </c>
      <c r="AD41">
        <v>122</v>
      </c>
      <c r="AE41">
        <f t="shared" si="0"/>
        <v>3904</v>
      </c>
      <c r="AF41" s="4">
        <v>0.29</v>
      </c>
      <c r="AG41">
        <f t="shared" si="1"/>
        <v>2771.84</v>
      </c>
      <c r="AH41" s="4">
        <v>0.18</v>
      </c>
      <c r="AI41">
        <f t="shared" si="2"/>
        <v>3270.77</v>
      </c>
      <c r="AJ41" s="4">
        <v>0.1</v>
      </c>
      <c r="AK41">
        <f t="shared" si="3"/>
        <v>327.08</v>
      </c>
      <c r="AL41">
        <f t="shared" si="4"/>
        <v>3597.85</v>
      </c>
      <c r="AM41">
        <f t="shared" si="5"/>
        <v>306.15</v>
      </c>
      <c r="AN41" s="4">
        <f t="shared" si="6"/>
        <v>0.0784195696721312</v>
      </c>
      <c r="AO41" t="s">
        <v>64</v>
      </c>
      <c r="AQ41" t="s">
        <v>65</v>
      </c>
      <c r="AS41" t="s">
        <v>113</v>
      </c>
    </row>
    <row r="42" ht="15.75" customHeight="1" spans="1:45">
      <c r="A42" t="s">
        <v>111</v>
      </c>
      <c r="B42" t="s">
        <v>79</v>
      </c>
      <c r="C42" t="s">
        <v>47</v>
      </c>
      <c r="D42" t="s">
        <v>105</v>
      </c>
      <c r="E42" t="s">
        <v>49</v>
      </c>
      <c r="F42" t="s">
        <v>94</v>
      </c>
      <c r="H42" t="s">
        <v>51</v>
      </c>
      <c r="I42" t="s">
        <v>95</v>
      </c>
      <c r="J42" t="s">
        <v>53</v>
      </c>
      <c r="K42" t="s">
        <v>54</v>
      </c>
      <c r="L42" t="s">
        <v>55</v>
      </c>
      <c r="M42" t="s">
        <v>98</v>
      </c>
      <c r="Q42" t="s">
        <v>57</v>
      </c>
      <c r="S42">
        <v>1</v>
      </c>
      <c r="U42">
        <v>51000</v>
      </c>
      <c r="Y42" t="s">
        <v>112</v>
      </c>
      <c r="Z42">
        <v>4412</v>
      </c>
      <c r="AA42" t="s">
        <v>62</v>
      </c>
      <c r="AB42" t="s">
        <v>63</v>
      </c>
      <c r="AC42">
        <v>32</v>
      </c>
      <c r="AD42">
        <v>151.2</v>
      </c>
      <c r="AE42">
        <f t="shared" si="0"/>
        <v>4838.4</v>
      </c>
      <c r="AF42" s="4">
        <v>0.29</v>
      </c>
      <c r="AG42">
        <f t="shared" si="1"/>
        <v>3435.26</v>
      </c>
      <c r="AH42" s="4">
        <v>0.18</v>
      </c>
      <c r="AI42">
        <f t="shared" si="2"/>
        <v>4053.61</v>
      </c>
      <c r="AJ42" s="4">
        <v>0.1</v>
      </c>
      <c r="AK42">
        <f t="shared" si="3"/>
        <v>405.36</v>
      </c>
      <c r="AL42">
        <f t="shared" si="4"/>
        <v>4458.97</v>
      </c>
      <c r="AM42">
        <f t="shared" si="5"/>
        <v>379.429999999999</v>
      </c>
      <c r="AN42" s="4">
        <f t="shared" si="6"/>
        <v>0.0784205522486771</v>
      </c>
      <c r="AO42" t="s">
        <v>64</v>
      </c>
      <c r="AQ42" t="s">
        <v>65</v>
      </c>
      <c r="AS42" t="s">
        <v>113</v>
      </c>
    </row>
    <row r="43" ht="15.75" customHeight="1" spans="1:45">
      <c r="A43" t="s">
        <v>111</v>
      </c>
      <c r="B43" t="s">
        <v>83</v>
      </c>
      <c r="C43" t="s">
        <v>47</v>
      </c>
      <c r="D43" t="s">
        <v>105</v>
      </c>
      <c r="E43" t="s">
        <v>49</v>
      </c>
      <c r="F43" t="s">
        <v>94</v>
      </c>
      <c r="H43" t="s">
        <v>51</v>
      </c>
      <c r="I43" t="s">
        <v>95</v>
      </c>
      <c r="J43" t="s">
        <v>53</v>
      </c>
      <c r="K43" t="s">
        <v>54</v>
      </c>
      <c r="L43" t="s">
        <v>55</v>
      </c>
      <c r="M43" t="s">
        <v>99</v>
      </c>
      <c r="Q43" t="s">
        <v>57</v>
      </c>
      <c r="S43">
        <v>1</v>
      </c>
      <c r="U43">
        <v>51000</v>
      </c>
      <c r="Y43" t="s">
        <v>112</v>
      </c>
      <c r="Z43">
        <v>4412</v>
      </c>
      <c r="AA43" t="s">
        <v>62</v>
      </c>
      <c r="AB43" t="s">
        <v>63</v>
      </c>
      <c r="AC43">
        <v>32</v>
      </c>
      <c r="AD43">
        <v>175.2</v>
      </c>
      <c r="AE43">
        <f t="shared" si="0"/>
        <v>5606.4</v>
      </c>
      <c r="AF43" s="4">
        <v>0.29</v>
      </c>
      <c r="AG43">
        <f t="shared" si="1"/>
        <v>3980.54</v>
      </c>
      <c r="AH43" s="4">
        <v>0.18</v>
      </c>
      <c r="AI43">
        <f t="shared" si="2"/>
        <v>4697.04</v>
      </c>
      <c r="AJ43" s="4">
        <v>0.1</v>
      </c>
      <c r="AK43">
        <f t="shared" si="3"/>
        <v>469.7</v>
      </c>
      <c r="AL43">
        <f t="shared" si="4"/>
        <v>5166.74</v>
      </c>
      <c r="AM43">
        <f t="shared" si="5"/>
        <v>439.66</v>
      </c>
      <c r="AN43" s="4">
        <f t="shared" si="6"/>
        <v>0.0784210901826484</v>
      </c>
      <c r="AO43" t="s">
        <v>64</v>
      </c>
      <c r="AQ43" t="s">
        <v>65</v>
      </c>
      <c r="AS43" t="s">
        <v>113</v>
      </c>
    </row>
    <row r="44" ht="15.75" customHeight="1" spans="1:45">
      <c r="A44" t="s">
        <v>114</v>
      </c>
      <c r="B44" t="s">
        <v>46</v>
      </c>
      <c r="C44" t="s">
        <v>47</v>
      </c>
      <c r="D44" t="s">
        <v>105</v>
      </c>
      <c r="E44" t="s">
        <v>49</v>
      </c>
      <c r="F44" t="s">
        <v>101</v>
      </c>
      <c r="H44" t="s">
        <v>51</v>
      </c>
      <c r="I44" t="s">
        <v>52</v>
      </c>
      <c r="J44" t="s">
        <v>53</v>
      </c>
      <c r="K44" t="s">
        <v>54</v>
      </c>
      <c r="L44" t="s">
        <v>55</v>
      </c>
      <c r="M44" t="s">
        <v>56</v>
      </c>
      <c r="Q44" t="s">
        <v>57</v>
      </c>
      <c r="S44">
        <v>1</v>
      </c>
      <c r="U44">
        <v>51000</v>
      </c>
      <c r="Y44" t="s">
        <v>115</v>
      </c>
      <c r="Z44">
        <v>4412</v>
      </c>
      <c r="AA44" t="s">
        <v>62</v>
      </c>
      <c r="AB44" t="s">
        <v>63</v>
      </c>
      <c r="AC44">
        <v>32</v>
      </c>
      <c r="AD44">
        <v>112.32</v>
      </c>
      <c r="AE44">
        <f t="shared" si="0"/>
        <v>3594.24</v>
      </c>
      <c r="AF44" s="4">
        <v>0.29</v>
      </c>
      <c r="AG44">
        <f t="shared" si="1"/>
        <v>2551.91</v>
      </c>
      <c r="AH44" s="4">
        <v>0.18</v>
      </c>
      <c r="AI44">
        <f t="shared" si="2"/>
        <v>3011.25</v>
      </c>
      <c r="AJ44" s="4">
        <v>0.1</v>
      </c>
      <c r="AK44">
        <f t="shared" si="3"/>
        <v>301.13</v>
      </c>
      <c r="AL44">
        <f t="shared" si="4"/>
        <v>3312.38</v>
      </c>
      <c r="AM44">
        <f t="shared" si="5"/>
        <v>281.86</v>
      </c>
      <c r="AN44" s="4">
        <f t="shared" si="6"/>
        <v>0.0784199163105412</v>
      </c>
      <c r="AO44" t="s">
        <v>64</v>
      </c>
      <c r="AQ44" t="s">
        <v>65</v>
      </c>
      <c r="AS44" t="s">
        <v>116</v>
      </c>
    </row>
    <row r="45" ht="15.75" customHeight="1" spans="1:45">
      <c r="A45" t="s">
        <v>114</v>
      </c>
      <c r="B45" t="s">
        <v>67</v>
      </c>
      <c r="C45" t="s">
        <v>47</v>
      </c>
      <c r="D45" t="s">
        <v>105</v>
      </c>
      <c r="E45" t="s">
        <v>49</v>
      </c>
      <c r="F45" t="s">
        <v>101</v>
      </c>
      <c r="H45" t="s">
        <v>51</v>
      </c>
      <c r="I45" t="s">
        <v>52</v>
      </c>
      <c r="J45" t="s">
        <v>53</v>
      </c>
      <c r="K45" t="s">
        <v>54</v>
      </c>
      <c r="L45" t="s">
        <v>55</v>
      </c>
      <c r="M45" t="s">
        <v>68</v>
      </c>
      <c r="Q45" t="s">
        <v>57</v>
      </c>
      <c r="S45">
        <v>1</v>
      </c>
      <c r="U45">
        <v>51000</v>
      </c>
      <c r="Y45" t="s">
        <v>115</v>
      </c>
      <c r="Z45">
        <v>4412</v>
      </c>
      <c r="AA45" t="s">
        <v>62</v>
      </c>
      <c r="AB45" t="s">
        <v>63</v>
      </c>
      <c r="AC45">
        <v>32</v>
      </c>
      <c r="AD45">
        <v>130.68</v>
      </c>
      <c r="AE45">
        <f t="shared" si="0"/>
        <v>4181.76</v>
      </c>
      <c r="AF45" s="4">
        <v>0.29</v>
      </c>
      <c r="AG45">
        <f t="shared" si="1"/>
        <v>2969.05</v>
      </c>
      <c r="AH45" s="4">
        <v>0.18</v>
      </c>
      <c r="AI45">
        <f t="shared" si="2"/>
        <v>3503.48</v>
      </c>
      <c r="AJ45" s="4">
        <v>0.1</v>
      </c>
      <c r="AK45">
        <f t="shared" si="3"/>
        <v>350.35</v>
      </c>
      <c r="AL45">
        <f t="shared" si="4"/>
        <v>3853.83</v>
      </c>
      <c r="AM45">
        <f t="shared" si="5"/>
        <v>327.93</v>
      </c>
      <c r="AN45" s="4">
        <f t="shared" si="6"/>
        <v>0.0784191345270891</v>
      </c>
      <c r="AO45" t="s">
        <v>64</v>
      </c>
      <c r="AQ45" t="s">
        <v>65</v>
      </c>
      <c r="AS45" t="s">
        <v>116</v>
      </c>
    </row>
    <row r="46" ht="15.75" customHeight="1" spans="1:45">
      <c r="A46" t="s">
        <v>114</v>
      </c>
      <c r="B46" t="s">
        <v>71</v>
      </c>
      <c r="C46" t="s">
        <v>47</v>
      </c>
      <c r="D46" t="s">
        <v>105</v>
      </c>
      <c r="E46" t="s">
        <v>49</v>
      </c>
      <c r="F46" t="s">
        <v>101</v>
      </c>
      <c r="H46" t="s">
        <v>51</v>
      </c>
      <c r="I46" t="s">
        <v>52</v>
      </c>
      <c r="J46" t="s">
        <v>53</v>
      </c>
      <c r="K46" t="s">
        <v>54</v>
      </c>
      <c r="L46" t="s">
        <v>55</v>
      </c>
      <c r="M46" t="s">
        <v>72</v>
      </c>
      <c r="Q46" t="s">
        <v>57</v>
      </c>
      <c r="S46">
        <v>1</v>
      </c>
      <c r="U46">
        <v>51000</v>
      </c>
      <c r="Y46" t="s">
        <v>115</v>
      </c>
      <c r="Z46">
        <v>4412</v>
      </c>
      <c r="AA46" t="s">
        <v>62</v>
      </c>
      <c r="AB46" t="s">
        <v>63</v>
      </c>
      <c r="AC46">
        <v>32</v>
      </c>
      <c r="AD46">
        <v>158.76</v>
      </c>
      <c r="AE46">
        <f t="shared" si="0"/>
        <v>5080.32</v>
      </c>
      <c r="AF46" s="4">
        <v>0.29</v>
      </c>
      <c r="AG46">
        <f t="shared" si="1"/>
        <v>3607.03</v>
      </c>
      <c r="AH46" s="4">
        <v>0.18</v>
      </c>
      <c r="AI46">
        <f t="shared" si="2"/>
        <v>4256.3</v>
      </c>
      <c r="AJ46" s="4">
        <v>0.1</v>
      </c>
      <c r="AK46">
        <f t="shared" si="3"/>
        <v>425.63</v>
      </c>
      <c r="AL46">
        <f t="shared" si="4"/>
        <v>4681.93</v>
      </c>
      <c r="AM46">
        <f t="shared" si="5"/>
        <v>398.389999999999</v>
      </c>
      <c r="AN46" s="4">
        <f t="shared" si="6"/>
        <v>0.0784182886117409</v>
      </c>
      <c r="AO46" t="s">
        <v>64</v>
      </c>
      <c r="AQ46" t="s">
        <v>65</v>
      </c>
      <c r="AS46" t="s">
        <v>116</v>
      </c>
    </row>
    <row r="47" ht="15.75" customHeight="1" spans="1:45">
      <c r="A47" t="s">
        <v>114</v>
      </c>
      <c r="B47" t="s">
        <v>75</v>
      </c>
      <c r="C47" t="s">
        <v>47</v>
      </c>
      <c r="D47" t="s">
        <v>105</v>
      </c>
      <c r="E47" t="s">
        <v>49</v>
      </c>
      <c r="F47" t="s">
        <v>101</v>
      </c>
      <c r="H47" t="s">
        <v>51</v>
      </c>
      <c r="I47" t="s">
        <v>52</v>
      </c>
      <c r="J47" t="s">
        <v>53</v>
      </c>
      <c r="K47" t="s">
        <v>54</v>
      </c>
      <c r="L47" t="s">
        <v>55</v>
      </c>
      <c r="M47" t="s">
        <v>76</v>
      </c>
      <c r="Q47" t="s">
        <v>57</v>
      </c>
      <c r="S47">
        <v>1</v>
      </c>
      <c r="U47">
        <v>51000</v>
      </c>
      <c r="Y47" t="s">
        <v>115</v>
      </c>
      <c r="Z47">
        <v>4412</v>
      </c>
      <c r="AA47" t="s">
        <v>62</v>
      </c>
      <c r="AB47" t="s">
        <v>63</v>
      </c>
      <c r="AC47">
        <v>32</v>
      </c>
      <c r="AD47">
        <v>199.8</v>
      </c>
      <c r="AE47">
        <f t="shared" si="0"/>
        <v>6393.6</v>
      </c>
      <c r="AF47" s="4">
        <v>0.29</v>
      </c>
      <c r="AG47">
        <f t="shared" si="1"/>
        <v>4539.46</v>
      </c>
      <c r="AH47" s="4">
        <v>0.18</v>
      </c>
      <c r="AI47">
        <f t="shared" si="2"/>
        <v>5356.56</v>
      </c>
      <c r="AJ47" s="4">
        <v>0.1</v>
      </c>
      <c r="AK47">
        <f t="shared" si="3"/>
        <v>535.66</v>
      </c>
      <c r="AL47">
        <f t="shared" si="4"/>
        <v>5892.22</v>
      </c>
      <c r="AM47">
        <f t="shared" si="5"/>
        <v>501.38</v>
      </c>
      <c r="AN47" s="4">
        <f t="shared" si="6"/>
        <v>0.0784190440440441</v>
      </c>
      <c r="AO47" t="s">
        <v>64</v>
      </c>
      <c r="AQ47" t="s">
        <v>65</v>
      </c>
      <c r="AS47" t="s">
        <v>116</v>
      </c>
    </row>
    <row r="48" ht="15.75" customHeight="1" spans="1:45">
      <c r="A48" t="s">
        <v>114</v>
      </c>
      <c r="B48" t="s">
        <v>79</v>
      </c>
      <c r="C48" t="s">
        <v>47</v>
      </c>
      <c r="D48" t="s">
        <v>105</v>
      </c>
      <c r="E48" t="s">
        <v>49</v>
      </c>
      <c r="F48" t="s">
        <v>101</v>
      </c>
      <c r="H48" t="s">
        <v>51</v>
      </c>
      <c r="I48" t="s">
        <v>52</v>
      </c>
      <c r="J48" t="s">
        <v>53</v>
      </c>
      <c r="K48" t="s">
        <v>54</v>
      </c>
      <c r="L48" t="s">
        <v>55</v>
      </c>
      <c r="M48" t="s">
        <v>80</v>
      </c>
      <c r="Q48" t="s">
        <v>57</v>
      </c>
      <c r="S48">
        <v>1</v>
      </c>
      <c r="U48">
        <v>51000</v>
      </c>
      <c r="Y48" t="s">
        <v>115</v>
      </c>
      <c r="Z48">
        <v>4412</v>
      </c>
      <c r="AA48" t="s">
        <v>62</v>
      </c>
      <c r="AB48" t="s">
        <v>63</v>
      </c>
      <c r="AC48">
        <v>32</v>
      </c>
      <c r="AD48">
        <v>249.48</v>
      </c>
      <c r="AE48">
        <f t="shared" si="0"/>
        <v>7983.36</v>
      </c>
      <c r="AF48" s="4">
        <v>0.29</v>
      </c>
      <c r="AG48">
        <f t="shared" si="1"/>
        <v>5668.19</v>
      </c>
      <c r="AH48" s="4">
        <v>0.18</v>
      </c>
      <c r="AI48">
        <f t="shared" si="2"/>
        <v>6688.46</v>
      </c>
      <c r="AJ48" s="4">
        <v>0.1</v>
      </c>
      <c r="AK48">
        <f t="shared" si="3"/>
        <v>668.85</v>
      </c>
      <c r="AL48">
        <f t="shared" si="4"/>
        <v>7357.31</v>
      </c>
      <c r="AM48">
        <f t="shared" si="5"/>
        <v>626.049999999999</v>
      </c>
      <c r="AN48" s="4">
        <f t="shared" si="6"/>
        <v>0.0784193622735289</v>
      </c>
      <c r="AO48" t="s">
        <v>64</v>
      </c>
      <c r="AQ48" t="s">
        <v>65</v>
      </c>
      <c r="AS48" t="s">
        <v>116</v>
      </c>
    </row>
    <row r="49" ht="15.75" customHeight="1" spans="1:45">
      <c r="A49" t="s">
        <v>114</v>
      </c>
      <c r="B49" t="s">
        <v>83</v>
      </c>
      <c r="C49" t="s">
        <v>47</v>
      </c>
      <c r="D49" t="s">
        <v>105</v>
      </c>
      <c r="E49" t="s">
        <v>49</v>
      </c>
      <c r="F49" t="s">
        <v>101</v>
      </c>
      <c r="H49" t="s">
        <v>51</v>
      </c>
      <c r="I49" t="s">
        <v>52</v>
      </c>
      <c r="J49" t="s">
        <v>53</v>
      </c>
      <c r="K49" t="s">
        <v>54</v>
      </c>
      <c r="L49" t="s">
        <v>55</v>
      </c>
      <c r="M49" t="s">
        <v>84</v>
      </c>
      <c r="Q49" t="s">
        <v>57</v>
      </c>
      <c r="S49">
        <v>1</v>
      </c>
      <c r="U49">
        <v>51000</v>
      </c>
      <c r="Y49" t="s">
        <v>115</v>
      </c>
      <c r="Z49">
        <v>4412</v>
      </c>
      <c r="AA49" t="s">
        <v>62</v>
      </c>
      <c r="AB49" t="s">
        <v>63</v>
      </c>
      <c r="AC49">
        <v>32</v>
      </c>
      <c r="AD49">
        <v>291.6</v>
      </c>
      <c r="AE49">
        <f t="shared" si="0"/>
        <v>9331.2</v>
      </c>
      <c r="AF49" s="4">
        <v>0.29</v>
      </c>
      <c r="AG49">
        <f t="shared" si="1"/>
        <v>6625.15</v>
      </c>
      <c r="AH49" s="4">
        <v>0.18</v>
      </c>
      <c r="AI49">
        <f t="shared" si="2"/>
        <v>7817.68</v>
      </c>
      <c r="AJ49" s="4">
        <v>0.1</v>
      </c>
      <c r="AK49">
        <f t="shared" si="3"/>
        <v>781.77</v>
      </c>
      <c r="AL49">
        <f t="shared" si="4"/>
        <v>8599.45</v>
      </c>
      <c r="AM49">
        <f t="shared" si="5"/>
        <v>731.75</v>
      </c>
      <c r="AN49" s="4">
        <f t="shared" si="6"/>
        <v>0.0784197102194787</v>
      </c>
      <c r="AO49" t="s">
        <v>64</v>
      </c>
      <c r="AQ49" t="s">
        <v>65</v>
      </c>
      <c r="AS49" t="s">
        <v>116</v>
      </c>
    </row>
    <row r="50" ht="15.75" customHeight="1" spans="1:45">
      <c r="A50" t="s">
        <v>117</v>
      </c>
      <c r="B50" t="s">
        <v>46</v>
      </c>
      <c r="C50" t="s">
        <v>47</v>
      </c>
      <c r="D50" t="s">
        <v>118</v>
      </c>
      <c r="E50" t="s">
        <v>119</v>
      </c>
      <c r="F50" t="s">
        <v>120</v>
      </c>
      <c r="H50" t="s">
        <v>121</v>
      </c>
      <c r="I50" t="s">
        <v>122</v>
      </c>
      <c r="J50" t="s">
        <v>53</v>
      </c>
      <c r="K50" t="s">
        <v>54</v>
      </c>
      <c r="L50" t="s">
        <v>55</v>
      </c>
      <c r="M50" t="s">
        <v>123</v>
      </c>
      <c r="N50" t="s">
        <v>124</v>
      </c>
      <c r="O50" t="s">
        <v>120</v>
      </c>
      <c r="Q50" t="s">
        <v>57</v>
      </c>
      <c r="S50">
        <v>1</v>
      </c>
      <c r="U50">
        <v>80000</v>
      </c>
      <c r="Y50" t="s">
        <v>125</v>
      </c>
      <c r="Z50">
        <v>4411</v>
      </c>
      <c r="AA50" t="s">
        <v>62</v>
      </c>
      <c r="AB50" t="s">
        <v>63</v>
      </c>
      <c r="AC50">
        <v>32</v>
      </c>
      <c r="AD50">
        <v>24.55</v>
      </c>
      <c r="AE50">
        <f t="shared" si="0"/>
        <v>785.6</v>
      </c>
      <c r="AF50" s="4">
        <v>0.39</v>
      </c>
      <c r="AG50">
        <f t="shared" si="1"/>
        <v>479.22</v>
      </c>
      <c r="AH50" s="4">
        <v>0.18</v>
      </c>
      <c r="AI50">
        <f t="shared" si="2"/>
        <v>565.48</v>
      </c>
      <c r="AJ50" s="4">
        <v>0.1</v>
      </c>
      <c r="AK50">
        <f t="shared" si="3"/>
        <v>56.55</v>
      </c>
      <c r="AL50">
        <f t="shared" si="4"/>
        <v>622.03</v>
      </c>
      <c r="AM50">
        <f t="shared" si="5"/>
        <v>163.57</v>
      </c>
      <c r="AN50" s="4">
        <f t="shared" si="6"/>
        <v>0.208210285132383</v>
      </c>
      <c r="AO50" t="s">
        <v>64</v>
      </c>
      <c r="AQ50" t="s">
        <v>65</v>
      </c>
      <c r="AS50" t="s">
        <v>126</v>
      </c>
    </row>
    <row r="51" ht="15.75" customHeight="1" spans="1:45">
      <c r="A51" t="s">
        <v>117</v>
      </c>
      <c r="B51" t="s">
        <v>67</v>
      </c>
      <c r="C51" t="s">
        <v>47</v>
      </c>
      <c r="D51" t="s">
        <v>118</v>
      </c>
      <c r="E51" t="s">
        <v>119</v>
      </c>
      <c r="F51" t="s">
        <v>120</v>
      </c>
      <c r="H51" t="s">
        <v>121</v>
      </c>
      <c r="I51" t="s">
        <v>122</v>
      </c>
      <c r="J51" t="s">
        <v>53</v>
      </c>
      <c r="K51" t="s">
        <v>54</v>
      </c>
      <c r="L51" t="s">
        <v>55</v>
      </c>
      <c r="M51" t="s">
        <v>127</v>
      </c>
      <c r="N51" t="s">
        <v>124</v>
      </c>
      <c r="O51" t="s">
        <v>120</v>
      </c>
      <c r="Q51" t="s">
        <v>57</v>
      </c>
      <c r="S51">
        <v>1</v>
      </c>
      <c r="U51">
        <v>80000</v>
      </c>
      <c r="Y51" t="s">
        <v>125</v>
      </c>
      <c r="Z51">
        <v>4411</v>
      </c>
      <c r="AA51" t="s">
        <v>62</v>
      </c>
      <c r="AB51" t="s">
        <v>63</v>
      </c>
      <c r="AC51">
        <v>32</v>
      </c>
      <c r="AD51">
        <v>30.12</v>
      </c>
      <c r="AE51">
        <f t="shared" si="0"/>
        <v>963.84</v>
      </c>
      <c r="AF51" s="4">
        <v>0.39</v>
      </c>
      <c r="AG51">
        <f t="shared" si="1"/>
        <v>587.94</v>
      </c>
      <c r="AH51" s="4">
        <v>0.18</v>
      </c>
      <c r="AI51">
        <f t="shared" si="2"/>
        <v>693.77</v>
      </c>
      <c r="AJ51" s="4">
        <v>0.1</v>
      </c>
      <c r="AK51">
        <f t="shared" si="3"/>
        <v>69.38</v>
      </c>
      <c r="AL51">
        <f t="shared" si="4"/>
        <v>763.15</v>
      </c>
      <c r="AM51">
        <f t="shared" si="5"/>
        <v>200.69</v>
      </c>
      <c r="AN51" s="4">
        <f t="shared" si="6"/>
        <v>0.208219206507304</v>
      </c>
      <c r="AO51" t="s">
        <v>64</v>
      </c>
      <c r="AQ51" t="s">
        <v>65</v>
      </c>
      <c r="AS51" t="s">
        <v>126</v>
      </c>
    </row>
    <row r="52" ht="15.75" customHeight="1" spans="1:45">
      <c r="A52" t="s">
        <v>117</v>
      </c>
      <c r="B52" t="s">
        <v>71</v>
      </c>
      <c r="C52" t="s">
        <v>47</v>
      </c>
      <c r="D52" t="s">
        <v>118</v>
      </c>
      <c r="E52" t="s">
        <v>119</v>
      </c>
      <c r="F52" t="s">
        <v>120</v>
      </c>
      <c r="H52" t="s">
        <v>121</v>
      </c>
      <c r="I52" t="s">
        <v>122</v>
      </c>
      <c r="J52" t="s">
        <v>53</v>
      </c>
      <c r="K52" t="s">
        <v>54</v>
      </c>
      <c r="L52" t="s">
        <v>55</v>
      </c>
      <c r="M52" t="s">
        <v>128</v>
      </c>
      <c r="N52" t="s">
        <v>124</v>
      </c>
      <c r="O52" t="s">
        <v>120</v>
      </c>
      <c r="Q52" t="s">
        <v>57</v>
      </c>
      <c r="S52">
        <v>1</v>
      </c>
      <c r="U52">
        <v>80000</v>
      </c>
      <c r="Y52" t="s">
        <v>125</v>
      </c>
      <c r="Z52">
        <v>4411</v>
      </c>
      <c r="AA52" t="s">
        <v>62</v>
      </c>
      <c r="AB52" t="s">
        <v>63</v>
      </c>
      <c r="AC52">
        <v>32</v>
      </c>
      <c r="AD52">
        <v>46.03</v>
      </c>
      <c r="AE52">
        <f t="shared" si="0"/>
        <v>1472.96</v>
      </c>
      <c r="AF52" s="4">
        <v>0.39</v>
      </c>
      <c r="AG52">
        <f t="shared" si="1"/>
        <v>898.51</v>
      </c>
      <c r="AH52" s="4">
        <v>0.18</v>
      </c>
      <c r="AI52">
        <f t="shared" si="2"/>
        <v>1060.24</v>
      </c>
      <c r="AJ52" s="4">
        <v>0.1</v>
      </c>
      <c r="AK52">
        <f t="shared" si="3"/>
        <v>106.02</v>
      </c>
      <c r="AL52">
        <f t="shared" si="4"/>
        <v>1166.26</v>
      </c>
      <c r="AM52">
        <f t="shared" si="5"/>
        <v>306.7</v>
      </c>
      <c r="AN52" s="4">
        <f t="shared" si="6"/>
        <v>0.208220182489681</v>
      </c>
      <c r="AO52" t="s">
        <v>64</v>
      </c>
      <c r="AQ52" t="s">
        <v>65</v>
      </c>
      <c r="AS52" t="s">
        <v>126</v>
      </c>
    </row>
    <row r="53" ht="15.75" customHeight="1" spans="1:45">
      <c r="A53" t="s">
        <v>117</v>
      </c>
      <c r="B53" t="s">
        <v>75</v>
      </c>
      <c r="C53" t="s">
        <v>47</v>
      </c>
      <c r="D53" t="s">
        <v>118</v>
      </c>
      <c r="E53" t="s">
        <v>119</v>
      </c>
      <c r="F53" t="s">
        <v>120</v>
      </c>
      <c r="H53" t="s">
        <v>121</v>
      </c>
      <c r="I53" t="s">
        <v>122</v>
      </c>
      <c r="J53" t="s">
        <v>53</v>
      </c>
      <c r="K53" t="s">
        <v>54</v>
      </c>
      <c r="L53" t="s">
        <v>55</v>
      </c>
      <c r="M53" t="s">
        <v>129</v>
      </c>
      <c r="N53" t="s">
        <v>124</v>
      </c>
      <c r="O53" t="s">
        <v>120</v>
      </c>
      <c r="Q53" t="s">
        <v>57</v>
      </c>
      <c r="S53">
        <v>1</v>
      </c>
      <c r="U53">
        <v>80000</v>
      </c>
      <c r="Y53" t="s">
        <v>125</v>
      </c>
      <c r="Z53">
        <v>4411</v>
      </c>
      <c r="AA53" t="s">
        <v>62</v>
      </c>
      <c r="AB53" t="s">
        <v>63</v>
      </c>
      <c r="AC53">
        <v>32</v>
      </c>
      <c r="AD53">
        <v>65.87</v>
      </c>
      <c r="AE53">
        <f t="shared" si="0"/>
        <v>2107.84</v>
      </c>
      <c r="AF53" s="4">
        <v>0.39</v>
      </c>
      <c r="AG53">
        <f t="shared" si="1"/>
        <v>1285.78</v>
      </c>
      <c r="AH53" s="4">
        <v>0.18</v>
      </c>
      <c r="AI53">
        <f t="shared" si="2"/>
        <v>1517.22</v>
      </c>
      <c r="AJ53" s="4">
        <v>0.1</v>
      </c>
      <c r="AK53">
        <f t="shared" si="3"/>
        <v>151.72</v>
      </c>
      <c r="AL53">
        <f t="shared" si="4"/>
        <v>1668.94</v>
      </c>
      <c r="AM53">
        <f t="shared" si="5"/>
        <v>438.9</v>
      </c>
      <c r="AN53" s="4">
        <f t="shared" si="6"/>
        <v>0.208222635494155</v>
      </c>
      <c r="AO53" t="s">
        <v>64</v>
      </c>
      <c r="AQ53" t="s">
        <v>65</v>
      </c>
      <c r="AS53" t="s">
        <v>126</v>
      </c>
    </row>
    <row r="54" ht="15.75" customHeight="1" spans="1:45">
      <c r="A54" t="s">
        <v>117</v>
      </c>
      <c r="B54" t="s">
        <v>79</v>
      </c>
      <c r="C54" t="s">
        <v>47</v>
      </c>
      <c r="D54" t="s">
        <v>118</v>
      </c>
      <c r="E54" t="s">
        <v>119</v>
      </c>
      <c r="F54" t="s">
        <v>120</v>
      </c>
      <c r="H54" t="s">
        <v>121</v>
      </c>
      <c r="I54" t="s">
        <v>122</v>
      </c>
      <c r="J54" t="s">
        <v>53</v>
      </c>
      <c r="K54" t="s">
        <v>54</v>
      </c>
      <c r="L54" t="s">
        <v>55</v>
      </c>
      <c r="M54" t="s">
        <v>130</v>
      </c>
      <c r="N54" t="s">
        <v>124</v>
      </c>
      <c r="O54" t="s">
        <v>120</v>
      </c>
      <c r="Q54" t="s">
        <v>57</v>
      </c>
      <c r="S54">
        <v>1</v>
      </c>
      <c r="U54">
        <v>80000</v>
      </c>
      <c r="Y54" t="s">
        <v>125</v>
      </c>
      <c r="Z54">
        <v>4411</v>
      </c>
      <c r="AA54" t="s">
        <v>62</v>
      </c>
      <c r="AB54" t="s">
        <v>63</v>
      </c>
      <c r="AC54">
        <v>32</v>
      </c>
      <c r="AD54">
        <v>67.83</v>
      </c>
      <c r="AE54">
        <f t="shared" si="0"/>
        <v>2170.56</v>
      </c>
      <c r="AF54" s="4">
        <v>0.39</v>
      </c>
      <c r="AG54">
        <f t="shared" si="1"/>
        <v>1324.04</v>
      </c>
      <c r="AH54" s="4">
        <v>0.18</v>
      </c>
      <c r="AI54">
        <f t="shared" si="2"/>
        <v>1562.37</v>
      </c>
      <c r="AJ54" s="4">
        <v>0.1</v>
      </c>
      <c r="AK54">
        <f t="shared" si="3"/>
        <v>156.24</v>
      </c>
      <c r="AL54">
        <f t="shared" si="4"/>
        <v>1718.61</v>
      </c>
      <c r="AM54">
        <f t="shared" si="5"/>
        <v>451.95</v>
      </c>
      <c r="AN54" s="4">
        <f t="shared" si="6"/>
        <v>0.208218155683326</v>
      </c>
      <c r="AO54" t="s">
        <v>64</v>
      </c>
      <c r="AQ54" t="s">
        <v>65</v>
      </c>
      <c r="AS54" t="s">
        <v>126</v>
      </c>
    </row>
    <row r="55" ht="15.75" customHeight="1" spans="1:45">
      <c r="A55" t="s">
        <v>117</v>
      </c>
      <c r="B55" t="s">
        <v>83</v>
      </c>
      <c r="C55" t="s">
        <v>47</v>
      </c>
      <c r="D55" t="s">
        <v>118</v>
      </c>
      <c r="E55" t="s">
        <v>119</v>
      </c>
      <c r="F55" t="s">
        <v>120</v>
      </c>
      <c r="H55" t="s">
        <v>121</v>
      </c>
      <c r="I55" t="s">
        <v>122</v>
      </c>
      <c r="J55" t="s">
        <v>53</v>
      </c>
      <c r="K55" t="s">
        <v>54</v>
      </c>
      <c r="L55" t="s">
        <v>55</v>
      </c>
      <c r="M55" t="s">
        <v>99</v>
      </c>
      <c r="N55" t="s">
        <v>124</v>
      </c>
      <c r="O55" t="s">
        <v>120</v>
      </c>
      <c r="Q55" t="s">
        <v>57</v>
      </c>
      <c r="S55">
        <v>1</v>
      </c>
      <c r="U55">
        <v>80000</v>
      </c>
      <c r="Y55" t="s">
        <v>125</v>
      </c>
      <c r="Z55">
        <v>4411</v>
      </c>
      <c r="AA55" t="s">
        <v>62</v>
      </c>
      <c r="AB55" t="s">
        <v>63</v>
      </c>
      <c r="AC55">
        <v>32</v>
      </c>
      <c r="AD55">
        <v>74.93</v>
      </c>
      <c r="AE55">
        <f t="shared" si="0"/>
        <v>2397.76</v>
      </c>
      <c r="AF55" s="4">
        <v>0.39</v>
      </c>
      <c r="AG55">
        <f t="shared" si="1"/>
        <v>1462.63</v>
      </c>
      <c r="AH55" s="4">
        <v>0.18</v>
      </c>
      <c r="AI55">
        <f t="shared" si="2"/>
        <v>1725.9</v>
      </c>
      <c r="AJ55" s="4">
        <v>0.1</v>
      </c>
      <c r="AK55">
        <f t="shared" si="3"/>
        <v>172.59</v>
      </c>
      <c r="AL55">
        <f t="shared" si="4"/>
        <v>1898.49</v>
      </c>
      <c r="AM55">
        <f t="shared" si="5"/>
        <v>499.27</v>
      </c>
      <c r="AN55" s="4">
        <f t="shared" si="6"/>
        <v>0.208223508608034</v>
      </c>
      <c r="AO55" t="s">
        <v>64</v>
      </c>
      <c r="AQ55" t="s">
        <v>65</v>
      </c>
      <c r="AS55" t="s">
        <v>126</v>
      </c>
    </row>
    <row r="56" ht="15.75" customHeight="1" spans="1:45">
      <c r="A56" t="s">
        <v>117</v>
      </c>
      <c r="B56" t="s">
        <v>131</v>
      </c>
      <c r="C56" t="s">
        <v>47</v>
      </c>
      <c r="D56" t="s">
        <v>118</v>
      </c>
      <c r="E56" t="s">
        <v>119</v>
      </c>
      <c r="F56" t="s">
        <v>120</v>
      </c>
      <c r="H56" t="s">
        <v>121</v>
      </c>
      <c r="I56" t="s">
        <v>132</v>
      </c>
      <c r="J56" t="s">
        <v>53</v>
      </c>
      <c r="K56" t="s">
        <v>54</v>
      </c>
      <c r="L56" t="s">
        <v>55</v>
      </c>
      <c r="M56" t="s">
        <v>123</v>
      </c>
      <c r="N56" t="s">
        <v>124</v>
      </c>
      <c r="O56" t="s">
        <v>120</v>
      </c>
      <c r="Q56" t="s">
        <v>57</v>
      </c>
      <c r="S56">
        <v>1</v>
      </c>
      <c r="U56">
        <v>80000</v>
      </c>
      <c r="Y56" t="s">
        <v>125</v>
      </c>
      <c r="Z56">
        <v>4411</v>
      </c>
      <c r="AA56" t="s">
        <v>62</v>
      </c>
      <c r="AB56" t="s">
        <v>63</v>
      </c>
      <c r="AC56">
        <v>32</v>
      </c>
      <c r="AD56">
        <v>31.63</v>
      </c>
      <c r="AE56">
        <f t="shared" si="0"/>
        <v>1012.16</v>
      </c>
      <c r="AF56" s="4">
        <v>0.39</v>
      </c>
      <c r="AG56">
        <f t="shared" si="1"/>
        <v>617.42</v>
      </c>
      <c r="AH56" s="4">
        <v>0.18</v>
      </c>
      <c r="AI56">
        <f t="shared" si="2"/>
        <v>728.56</v>
      </c>
      <c r="AJ56" s="4">
        <v>0.1</v>
      </c>
      <c r="AK56">
        <f t="shared" si="3"/>
        <v>72.86</v>
      </c>
      <c r="AL56">
        <f t="shared" si="4"/>
        <v>801.42</v>
      </c>
      <c r="AM56">
        <f t="shared" si="5"/>
        <v>210.74</v>
      </c>
      <c r="AN56" s="4">
        <f t="shared" si="6"/>
        <v>0.208208188428707</v>
      </c>
      <c r="AO56" t="s">
        <v>64</v>
      </c>
      <c r="AQ56" t="s">
        <v>65</v>
      </c>
      <c r="AS56" t="s">
        <v>126</v>
      </c>
    </row>
    <row r="57" ht="15.75" customHeight="1" spans="1:45">
      <c r="A57" t="s">
        <v>117</v>
      </c>
      <c r="B57" t="s">
        <v>133</v>
      </c>
      <c r="C57" t="s">
        <v>47</v>
      </c>
      <c r="D57" t="s">
        <v>118</v>
      </c>
      <c r="E57" t="s">
        <v>119</v>
      </c>
      <c r="F57" t="s">
        <v>120</v>
      </c>
      <c r="H57" t="s">
        <v>121</v>
      </c>
      <c r="I57" t="s">
        <v>132</v>
      </c>
      <c r="J57" t="s">
        <v>53</v>
      </c>
      <c r="K57" t="s">
        <v>54</v>
      </c>
      <c r="L57" t="s">
        <v>55</v>
      </c>
      <c r="M57" t="s">
        <v>134</v>
      </c>
      <c r="N57" t="s">
        <v>124</v>
      </c>
      <c r="O57" t="s">
        <v>120</v>
      </c>
      <c r="Q57" t="s">
        <v>57</v>
      </c>
      <c r="S57">
        <v>1</v>
      </c>
      <c r="U57">
        <v>80000</v>
      </c>
      <c r="Y57" t="s">
        <v>125</v>
      </c>
      <c r="Z57">
        <v>4411</v>
      </c>
      <c r="AA57" t="s">
        <v>62</v>
      </c>
      <c r="AB57" t="s">
        <v>63</v>
      </c>
      <c r="AC57">
        <v>32</v>
      </c>
      <c r="AD57">
        <v>38.87</v>
      </c>
      <c r="AE57">
        <f t="shared" si="0"/>
        <v>1243.84</v>
      </c>
      <c r="AF57" s="4">
        <v>0.39</v>
      </c>
      <c r="AG57">
        <f t="shared" si="1"/>
        <v>758.74</v>
      </c>
      <c r="AH57" s="4">
        <v>0.18</v>
      </c>
      <c r="AI57">
        <f t="shared" si="2"/>
        <v>895.31</v>
      </c>
      <c r="AJ57" s="4">
        <v>0.1</v>
      </c>
      <c r="AK57">
        <f t="shared" si="3"/>
        <v>89.53</v>
      </c>
      <c r="AL57">
        <f t="shared" si="4"/>
        <v>984.84</v>
      </c>
      <c r="AM57">
        <f t="shared" si="5"/>
        <v>259</v>
      </c>
      <c r="AN57" s="4">
        <f t="shared" si="6"/>
        <v>0.208226138410085</v>
      </c>
      <c r="AO57" t="s">
        <v>64</v>
      </c>
      <c r="AQ57" t="s">
        <v>65</v>
      </c>
      <c r="AS57" t="s">
        <v>126</v>
      </c>
    </row>
    <row r="58" ht="15.75" customHeight="1" spans="1:45">
      <c r="A58" t="s">
        <v>117</v>
      </c>
      <c r="B58" t="s">
        <v>135</v>
      </c>
      <c r="C58" t="s">
        <v>47</v>
      </c>
      <c r="D58" t="s">
        <v>118</v>
      </c>
      <c r="E58" t="s">
        <v>119</v>
      </c>
      <c r="F58" t="s">
        <v>120</v>
      </c>
      <c r="H58" t="s">
        <v>121</v>
      </c>
      <c r="I58" t="s">
        <v>132</v>
      </c>
      <c r="J58" t="s">
        <v>53</v>
      </c>
      <c r="K58" t="s">
        <v>54</v>
      </c>
      <c r="L58" t="s">
        <v>55</v>
      </c>
      <c r="M58" t="s">
        <v>136</v>
      </c>
      <c r="N58" t="s">
        <v>124</v>
      </c>
      <c r="O58" t="s">
        <v>120</v>
      </c>
      <c r="Q58" t="s">
        <v>57</v>
      </c>
      <c r="S58">
        <v>1</v>
      </c>
      <c r="U58">
        <v>80000</v>
      </c>
      <c r="Y58" t="s">
        <v>125</v>
      </c>
      <c r="Z58">
        <v>4411</v>
      </c>
      <c r="AA58" t="s">
        <v>62</v>
      </c>
      <c r="AB58" t="s">
        <v>63</v>
      </c>
      <c r="AC58">
        <v>32</v>
      </c>
      <c r="AD58">
        <v>59.38</v>
      </c>
      <c r="AE58">
        <f t="shared" si="0"/>
        <v>1900.16</v>
      </c>
      <c r="AF58" s="4">
        <v>0.39</v>
      </c>
      <c r="AG58">
        <f t="shared" si="1"/>
        <v>1159.1</v>
      </c>
      <c r="AH58" s="4">
        <v>0.18</v>
      </c>
      <c r="AI58">
        <f t="shared" si="2"/>
        <v>1367.74</v>
      </c>
      <c r="AJ58" s="4">
        <v>0.1</v>
      </c>
      <c r="AK58">
        <f t="shared" si="3"/>
        <v>136.77</v>
      </c>
      <c r="AL58">
        <f t="shared" si="4"/>
        <v>1504.51</v>
      </c>
      <c r="AM58">
        <f t="shared" si="5"/>
        <v>395.65</v>
      </c>
      <c r="AN58" s="4">
        <f t="shared" si="6"/>
        <v>0.20821930784776</v>
      </c>
      <c r="AO58" t="s">
        <v>64</v>
      </c>
      <c r="AQ58" t="s">
        <v>65</v>
      </c>
      <c r="AS58" t="s">
        <v>126</v>
      </c>
    </row>
    <row r="59" ht="15.75" customHeight="1" spans="1:45">
      <c r="A59" t="s">
        <v>117</v>
      </c>
      <c r="B59" t="s">
        <v>137</v>
      </c>
      <c r="C59" t="s">
        <v>47</v>
      </c>
      <c r="D59" t="s">
        <v>118</v>
      </c>
      <c r="E59" t="s">
        <v>119</v>
      </c>
      <c r="F59" t="s">
        <v>120</v>
      </c>
      <c r="H59" t="s">
        <v>121</v>
      </c>
      <c r="I59" t="s">
        <v>132</v>
      </c>
      <c r="J59" t="s">
        <v>53</v>
      </c>
      <c r="K59" t="s">
        <v>54</v>
      </c>
      <c r="L59" t="s">
        <v>55</v>
      </c>
      <c r="M59" t="s">
        <v>76</v>
      </c>
      <c r="N59" t="s">
        <v>124</v>
      </c>
      <c r="O59" t="s">
        <v>120</v>
      </c>
      <c r="Q59" t="s">
        <v>57</v>
      </c>
      <c r="S59">
        <v>1</v>
      </c>
      <c r="U59">
        <v>80000</v>
      </c>
      <c r="Y59" t="s">
        <v>125</v>
      </c>
      <c r="Z59">
        <v>4411</v>
      </c>
      <c r="AA59" t="s">
        <v>62</v>
      </c>
      <c r="AB59" t="s">
        <v>63</v>
      </c>
      <c r="AC59">
        <v>32</v>
      </c>
      <c r="AD59">
        <v>63.47</v>
      </c>
      <c r="AE59">
        <f t="shared" si="0"/>
        <v>2031.04</v>
      </c>
      <c r="AF59" s="4">
        <v>0.39</v>
      </c>
      <c r="AG59">
        <f t="shared" si="1"/>
        <v>1238.93</v>
      </c>
      <c r="AH59" s="4">
        <v>0.18</v>
      </c>
      <c r="AI59">
        <f t="shared" si="2"/>
        <v>1461.94</v>
      </c>
      <c r="AJ59" s="4">
        <v>0.1</v>
      </c>
      <c r="AK59">
        <f t="shared" si="3"/>
        <v>146.19</v>
      </c>
      <c r="AL59">
        <f t="shared" si="4"/>
        <v>1608.13</v>
      </c>
      <c r="AM59">
        <f t="shared" si="5"/>
        <v>422.91</v>
      </c>
      <c r="AN59" s="4">
        <f t="shared" si="6"/>
        <v>0.208223373247203</v>
      </c>
      <c r="AO59" t="s">
        <v>64</v>
      </c>
      <c r="AQ59" t="s">
        <v>65</v>
      </c>
      <c r="AS59" t="s">
        <v>126</v>
      </c>
    </row>
    <row r="60" ht="15.75" customHeight="1" spans="1:45">
      <c r="A60" t="s">
        <v>117</v>
      </c>
      <c r="B60" t="s">
        <v>138</v>
      </c>
      <c r="C60" t="s">
        <v>47</v>
      </c>
      <c r="D60" t="s">
        <v>118</v>
      </c>
      <c r="E60" t="s">
        <v>119</v>
      </c>
      <c r="F60" t="s">
        <v>120</v>
      </c>
      <c r="H60" t="s">
        <v>121</v>
      </c>
      <c r="I60" t="s">
        <v>132</v>
      </c>
      <c r="J60" t="s">
        <v>53</v>
      </c>
      <c r="K60" t="s">
        <v>54</v>
      </c>
      <c r="L60" t="s">
        <v>55</v>
      </c>
      <c r="M60" t="s">
        <v>139</v>
      </c>
      <c r="N60" t="s">
        <v>124</v>
      </c>
      <c r="O60" t="s">
        <v>120</v>
      </c>
      <c r="Q60" t="s">
        <v>57</v>
      </c>
      <c r="S60">
        <v>1</v>
      </c>
      <c r="U60">
        <v>80000</v>
      </c>
      <c r="Y60" t="s">
        <v>125</v>
      </c>
      <c r="Z60">
        <v>4411</v>
      </c>
      <c r="AA60" t="s">
        <v>62</v>
      </c>
      <c r="AB60" t="s">
        <v>63</v>
      </c>
      <c r="AC60">
        <v>32</v>
      </c>
      <c r="AD60">
        <v>87.37</v>
      </c>
      <c r="AE60">
        <f t="shared" si="0"/>
        <v>2795.84</v>
      </c>
      <c r="AF60" s="4">
        <v>0.39</v>
      </c>
      <c r="AG60">
        <f t="shared" si="1"/>
        <v>1705.46</v>
      </c>
      <c r="AH60" s="4">
        <v>0.18</v>
      </c>
      <c r="AI60">
        <f t="shared" si="2"/>
        <v>2012.44</v>
      </c>
      <c r="AJ60" s="4">
        <v>0.1</v>
      </c>
      <c r="AK60">
        <f t="shared" si="3"/>
        <v>201.24</v>
      </c>
      <c r="AL60">
        <f t="shared" si="4"/>
        <v>2213.68</v>
      </c>
      <c r="AM60">
        <f t="shared" si="5"/>
        <v>582.16</v>
      </c>
      <c r="AN60" s="4">
        <f t="shared" si="6"/>
        <v>0.208223646560604</v>
      </c>
      <c r="AO60" t="s">
        <v>64</v>
      </c>
      <c r="AQ60" t="s">
        <v>65</v>
      </c>
      <c r="AS60" t="s">
        <v>126</v>
      </c>
    </row>
    <row r="61" ht="15.75" customHeight="1" spans="1:45">
      <c r="A61" t="s">
        <v>117</v>
      </c>
      <c r="B61" t="s">
        <v>140</v>
      </c>
      <c r="C61" t="s">
        <v>47</v>
      </c>
      <c r="D61" t="s">
        <v>118</v>
      </c>
      <c r="E61" t="s">
        <v>119</v>
      </c>
      <c r="F61" t="s">
        <v>120</v>
      </c>
      <c r="H61" t="s">
        <v>121</v>
      </c>
      <c r="I61" t="s">
        <v>132</v>
      </c>
      <c r="J61" t="s">
        <v>53</v>
      </c>
      <c r="K61" t="s">
        <v>54</v>
      </c>
      <c r="L61" t="s">
        <v>55</v>
      </c>
      <c r="M61" t="s">
        <v>92</v>
      </c>
      <c r="N61" t="s">
        <v>124</v>
      </c>
      <c r="O61" t="s">
        <v>120</v>
      </c>
      <c r="Q61" t="s">
        <v>57</v>
      </c>
      <c r="S61">
        <v>1</v>
      </c>
      <c r="U61">
        <v>80000</v>
      </c>
      <c r="Y61" t="s">
        <v>125</v>
      </c>
      <c r="Z61">
        <v>4411</v>
      </c>
      <c r="AA61" t="s">
        <v>62</v>
      </c>
      <c r="AB61" t="s">
        <v>63</v>
      </c>
      <c r="AC61">
        <v>32</v>
      </c>
      <c r="AD61">
        <v>96.52</v>
      </c>
      <c r="AE61">
        <f t="shared" si="0"/>
        <v>3088.64</v>
      </c>
      <c r="AF61" s="4">
        <v>0.39</v>
      </c>
      <c r="AG61">
        <f t="shared" si="1"/>
        <v>1884.07</v>
      </c>
      <c r="AH61" s="4">
        <v>0.18</v>
      </c>
      <c r="AI61">
        <f t="shared" si="2"/>
        <v>2223.2</v>
      </c>
      <c r="AJ61" s="4">
        <v>0.1</v>
      </c>
      <c r="AK61">
        <f t="shared" si="3"/>
        <v>222.32</v>
      </c>
      <c r="AL61">
        <f t="shared" si="4"/>
        <v>2445.52</v>
      </c>
      <c r="AM61">
        <f t="shared" si="5"/>
        <v>643.12</v>
      </c>
      <c r="AN61" s="4">
        <f t="shared" si="6"/>
        <v>0.208221094073767</v>
      </c>
      <c r="AO61" t="s">
        <v>64</v>
      </c>
      <c r="AQ61" t="s">
        <v>65</v>
      </c>
      <c r="AS61" t="s">
        <v>126</v>
      </c>
    </row>
    <row r="62" ht="15.75" customHeight="1" spans="1:45">
      <c r="A62" t="s">
        <v>141</v>
      </c>
      <c r="B62" t="s">
        <v>46</v>
      </c>
      <c r="C62" t="s">
        <v>47</v>
      </c>
      <c r="D62" t="s">
        <v>118</v>
      </c>
      <c r="E62" t="s">
        <v>119</v>
      </c>
      <c r="F62" t="s">
        <v>142</v>
      </c>
      <c r="H62" t="s">
        <v>121</v>
      </c>
      <c r="I62" t="s">
        <v>122</v>
      </c>
      <c r="J62" t="s">
        <v>53</v>
      </c>
      <c r="K62" t="s">
        <v>54</v>
      </c>
      <c r="L62" t="s">
        <v>55</v>
      </c>
      <c r="M62" t="s">
        <v>123</v>
      </c>
      <c r="N62" t="s">
        <v>124</v>
      </c>
      <c r="O62" t="s">
        <v>143</v>
      </c>
      <c r="Q62" t="s">
        <v>57</v>
      </c>
      <c r="S62">
        <v>1</v>
      </c>
      <c r="U62">
        <v>80000</v>
      </c>
      <c r="Y62" t="s">
        <v>144</v>
      </c>
      <c r="Z62">
        <v>4411</v>
      </c>
      <c r="AA62" t="s">
        <v>62</v>
      </c>
      <c r="AB62" t="s">
        <v>63</v>
      </c>
      <c r="AC62">
        <v>32</v>
      </c>
      <c r="AD62">
        <v>49.55</v>
      </c>
      <c r="AE62">
        <f t="shared" si="0"/>
        <v>1585.6</v>
      </c>
      <c r="AF62" s="4">
        <v>0.39</v>
      </c>
      <c r="AG62">
        <f t="shared" si="1"/>
        <v>967.22</v>
      </c>
      <c r="AH62" s="4">
        <v>0.18</v>
      </c>
      <c r="AI62">
        <f t="shared" si="2"/>
        <v>1141.32</v>
      </c>
      <c r="AJ62" s="4">
        <v>0.1</v>
      </c>
      <c r="AK62">
        <f t="shared" si="3"/>
        <v>114.13</v>
      </c>
      <c r="AL62">
        <f t="shared" si="4"/>
        <v>1255.45</v>
      </c>
      <c r="AM62">
        <f t="shared" si="5"/>
        <v>330.15</v>
      </c>
      <c r="AN62" s="4">
        <f t="shared" si="6"/>
        <v>0.20821770938446</v>
      </c>
      <c r="AO62" t="s">
        <v>64</v>
      </c>
      <c r="AQ62" t="s">
        <v>65</v>
      </c>
      <c r="AS62" t="s">
        <v>126</v>
      </c>
    </row>
    <row r="63" ht="15.75" customHeight="1" spans="1:45">
      <c r="A63" t="s">
        <v>141</v>
      </c>
      <c r="B63" t="s">
        <v>67</v>
      </c>
      <c r="C63" t="s">
        <v>47</v>
      </c>
      <c r="D63" t="s">
        <v>118</v>
      </c>
      <c r="E63" t="s">
        <v>119</v>
      </c>
      <c r="F63" t="s">
        <v>142</v>
      </c>
      <c r="H63" t="s">
        <v>121</v>
      </c>
      <c r="I63" t="s">
        <v>122</v>
      </c>
      <c r="J63" t="s">
        <v>53</v>
      </c>
      <c r="K63" t="s">
        <v>54</v>
      </c>
      <c r="L63" t="s">
        <v>55</v>
      </c>
      <c r="M63" t="s">
        <v>127</v>
      </c>
      <c r="N63" t="s">
        <v>124</v>
      </c>
      <c r="O63" t="s">
        <v>143</v>
      </c>
      <c r="Q63" t="s">
        <v>57</v>
      </c>
      <c r="S63">
        <v>1</v>
      </c>
      <c r="U63">
        <v>80000</v>
      </c>
      <c r="Y63" t="s">
        <v>144</v>
      </c>
      <c r="Z63">
        <v>4411</v>
      </c>
      <c r="AA63" t="s">
        <v>62</v>
      </c>
      <c r="AB63" t="s">
        <v>63</v>
      </c>
      <c r="AC63">
        <v>32</v>
      </c>
      <c r="AD63">
        <v>55.11</v>
      </c>
      <c r="AE63">
        <f t="shared" si="0"/>
        <v>1763.52</v>
      </c>
      <c r="AF63" s="4">
        <v>0.39</v>
      </c>
      <c r="AG63">
        <f t="shared" si="1"/>
        <v>1075.75</v>
      </c>
      <c r="AH63" s="4">
        <v>0.18</v>
      </c>
      <c r="AI63">
        <f t="shared" si="2"/>
        <v>1269.39</v>
      </c>
      <c r="AJ63" s="4">
        <v>0.1</v>
      </c>
      <c r="AK63">
        <f t="shared" si="3"/>
        <v>126.94</v>
      </c>
      <c r="AL63">
        <f t="shared" si="4"/>
        <v>1396.33</v>
      </c>
      <c r="AM63">
        <f t="shared" si="5"/>
        <v>367.19</v>
      </c>
      <c r="AN63" s="4">
        <f t="shared" si="6"/>
        <v>0.208214253311559</v>
      </c>
      <c r="AO63" t="s">
        <v>64</v>
      </c>
      <c r="AQ63" t="s">
        <v>65</v>
      </c>
      <c r="AS63" t="s">
        <v>126</v>
      </c>
    </row>
    <row r="64" ht="15.75" customHeight="1" spans="1:45">
      <c r="A64" t="s">
        <v>141</v>
      </c>
      <c r="B64" t="s">
        <v>71</v>
      </c>
      <c r="C64" t="s">
        <v>47</v>
      </c>
      <c r="D64" t="s">
        <v>118</v>
      </c>
      <c r="E64" t="s">
        <v>119</v>
      </c>
      <c r="F64" t="s">
        <v>142</v>
      </c>
      <c r="H64" t="s">
        <v>121</v>
      </c>
      <c r="I64" t="s">
        <v>122</v>
      </c>
      <c r="J64" t="s">
        <v>53</v>
      </c>
      <c r="K64" t="s">
        <v>54</v>
      </c>
      <c r="L64" t="s">
        <v>55</v>
      </c>
      <c r="M64" t="s">
        <v>128</v>
      </c>
      <c r="N64" t="s">
        <v>124</v>
      </c>
      <c r="O64" t="s">
        <v>143</v>
      </c>
      <c r="Q64" t="s">
        <v>57</v>
      </c>
      <c r="S64">
        <v>1</v>
      </c>
      <c r="U64">
        <v>80000</v>
      </c>
      <c r="Y64" t="s">
        <v>144</v>
      </c>
      <c r="Z64">
        <v>4411</v>
      </c>
      <c r="AA64" t="s">
        <v>62</v>
      </c>
      <c r="AB64" t="s">
        <v>63</v>
      </c>
      <c r="AC64">
        <v>32</v>
      </c>
      <c r="AD64">
        <v>71.01</v>
      </c>
      <c r="AE64">
        <f t="shared" si="0"/>
        <v>2272.32</v>
      </c>
      <c r="AF64" s="4">
        <v>0.39</v>
      </c>
      <c r="AG64">
        <f t="shared" si="1"/>
        <v>1386.12</v>
      </c>
      <c r="AH64" s="4">
        <v>0.18</v>
      </c>
      <c r="AI64">
        <f t="shared" si="2"/>
        <v>1635.62</v>
      </c>
      <c r="AJ64" s="4">
        <v>0.1</v>
      </c>
      <c r="AK64">
        <f t="shared" si="3"/>
        <v>163.56</v>
      </c>
      <c r="AL64">
        <f t="shared" si="4"/>
        <v>1799.18</v>
      </c>
      <c r="AM64">
        <f t="shared" si="5"/>
        <v>473.14</v>
      </c>
      <c r="AN64" s="4">
        <f t="shared" si="6"/>
        <v>0.208218912829179</v>
      </c>
      <c r="AO64" t="s">
        <v>64</v>
      </c>
      <c r="AQ64" t="s">
        <v>65</v>
      </c>
      <c r="AS64" t="s">
        <v>126</v>
      </c>
    </row>
    <row r="65" ht="15.75" customHeight="1" spans="1:45">
      <c r="A65" t="s">
        <v>141</v>
      </c>
      <c r="B65" t="s">
        <v>75</v>
      </c>
      <c r="C65" t="s">
        <v>47</v>
      </c>
      <c r="D65" t="s">
        <v>118</v>
      </c>
      <c r="E65" t="s">
        <v>119</v>
      </c>
      <c r="F65" t="s">
        <v>142</v>
      </c>
      <c r="H65" t="s">
        <v>121</v>
      </c>
      <c r="I65" t="s">
        <v>122</v>
      </c>
      <c r="J65" t="s">
        <v>53</v>
      </c>
      <c r="K65" t="s">
        <v>54</v>
      </c>
      <c r="L65" t="s">
        <v>55</v>
      </c>
      <c r="M65" t="s">
        <v>129</v>
      </c>
      <c r="N65" t="s">
        <v>124</v>
      </c>
      <c r="O65" t="s">
        <v>143</v>
      </c>
      <c r="Q65" t="s">
        <v>57</v>
      </c>
      <c r="S65">
        <v>1</v>
      </c>
      <c r="U65">
        <v>80000</v>
      </c>
      <c r="Y65" t="s">
        <v>144</v>
      </c>
      <c r="Z65">
        <v>4411</v>
      </c>
      <c r="AA65" t="s">
        <v>62</v>
      </c>
      <c r="AB65" t="s">
        <v>63</v>
      </c>
      <c r="AC65">
        <v>32</v>
      </c>
      <c r="AD65">
        <v>90.81</v>
      </c>
      <c r="AE65">
        <f t="shared" si="0"/>
        <v>2905.92</v>
      </c>
      <c r="AF65" s="4">
        <v>0.39</v>
      </c>
      <c r="AG65">
        <f t="shared" si="1"/>
        <v>1772.61</v>
      </c>
      <c r="AH65" s="4">
        <v>0.18</v>
      </c>
      <c r="AI65">
        <f t="shared" si="2"/>
        <v>2091.68</v>
      </c>
      <c r="AJ65" s="4">
        <v>0.1</v>
      </c>
      <c r="AK65">
        <f t="shared" si="3"/>
        <v>209.17</v>
      </c>
      <c r="AL65">
        <f t="shared" si="4"/>
        <v>2300.85</v>
      </c>
      <c r="AM65">
        <f t="shared" si="5"/>
        <v>605.07</v>
      </c>
      <c r="AN65" s="4">
        <f t="shared" si="6"/>
        <v>0.208219772051536</v>
      </c>
      <c r="AO65" t="s">
        <v>64</v>
      </c>
      <c r="AQ65" t="s">
        <v>65</v>
      </c>
      <c r="AS65" t="s">
        <v>126</v>
      </c>
    </row>
    <row r="66" ht="15.75" customHeight="1" spans="1:45">
      <c r="A66" t="s">
        <v>141</v>
      </c>
      <c r="B66" t="s">
        <v>79</v>
      </c>
      <c r="C66" t="s">
        <v>47</v>
      </c>
      <c r="D66" t="s">
        <v>118</v>
      </c>
      <c r="E66" t="s">
        <v>119</v>
      </c>
      <c r="F66" t="s">
        <v>142</v>
      </c>
      <c r="H66" t="s">
        <v>121</v>
      </c>
      <c r="I66" t="s">
        <v>122</v>
      </c>
      <c r="J66" t="s">
        <v>53</v>
      </c>
      <c r="K66" t="s">
        <v>54</v>
      </c>
      <c r="L66" t="s">
        <v>55</v>
      </c>
      <c r="M66" t="s">
        <v>130</v>
      </c>
      <c r="N66" t="s">
        <v>124</v>
      </c>
      <c r="O66" t="s">
        <v>143</v>
      </c>
      <c r="Q66" t="s">
        <v>57</v>
      </c>
      <c r="S66">
        <v>1</v>
      </c>
      <c r="U66">
        <v>80000</v>
      </c>
      <c r="Y66" t="s">
        <v>144</v>
      </c>
      <c r="Z66">
        <v>4411</v>
      </c>
      <c r="AA66" t="s">
        <v>62</v>
      </c>
      <c r="AB66" t="s">
        <v>63</v>
      </c>
      <c r="AC66">
        <v>32</v>
      </c>
      <c r="AD66" s="5">
        <v>92.8</v>
      </c>
      <c r="AE66">
        <f t="shared" ref="AE66:AE129" si="7">+AC66*AD66</f>
        <v>2969.6</v>
      </c>
      <c r="AF66" s="4">
        <v>0.39</v>
      </c>
      <c r="AG66">
        <f t="shared" ref="AG66:AG129" si="8">ROUND(AE66-(AE66*AF66),2)</f>
        <v>1811.46</v>
      </c>
      <c r="AH66" s="4">
        <v>0.18</v>
      </c>
      <c r="AI66">
        <f t="shared" ref="AI66:AI129" si="9">ROUND(AG66+(AG66*AH66),2)</f>
        <v>2137.52</v>
      </c>
      <c r="AJ66" s="4">
        <v>0.1</v>
      </c>
      <c r="AK66">
        <f t="shared" ref="AK66:AK129" si="10">ROUND(AI66*AJ66,2)</f>
        <v>213.75</v>
      </c>
      <c r="AL66">
        <f t="shared" ref="AL66:AL129" si="11">AI66+AK66</f>
        <v>2351.27</v>
      </c>
      <c r="AM66">
        <f t="shared" ref="AM66:AM129" si="12">AE66-AL66</f>
        <v>618.33</v>
      </c>
      <c r="AN66" s="4">
        <f t="shared" ref="AN66:AN129" si="13">AM66/AE66</f>
        <v>0.208219962284483</v>
      </c>
      <c r="AO66" t="s">
        <v>64</v>
      </c>
      <c r="AQ66" t="s">
        <v>65</v>
      </c>
      <c r="AS66" t="s">
        <v>126</v>
      </c>
    </row>
    <row r="67" ht="15.75" customHeight="1" spans="1:45">
      <c r="A67" t="s">
        <v>141</v>
      </c>
      <c r="B67" t="s">
        <v>83</v>
      </c>
      <c r="C67" t="s">
        <v>47</v>
      </c>
      <c r="D67" t="s">
        <v>118</v>
      </c>
      <c r="E67" t="s">
        <v>119</v>
      </c>
      <c r="F67" t="s">
        <v>142</v>
      </c>
      <c r="H67" t="s">
        <v>121</v>
      </c>
      <c r="I67" t="s">
        <v>122</v>
      </c>
      <c r="J67" t="s">
        <v>53</v>
      </c>
      <c r="K67" t="s">
        <v>54</v>
      </c>
      <c r="L67" t="s">
        <v>55</v>
      </c>
      <c r="M67" t="s">
        <v>99</v>
      </c>
      <c r="N67" t="s">
        <v>124</v>
      </c>
      <c r="O67" t="s">
        <v>143</v>
      </c>
      <c r="Q67" t="s">
        <v>57</v>
      </c>
      <c r="S67">
        <v>1</v>
      </c>
      <c r="U67">
        <v>80000</v>
      </c>
      <c r="Y67" t="s">
        <v>144</v>
      </c>
      <c r="Z67">
        <v>4411</v>
      </c>
      <c r="AA67" t="s">
        <v>62</v>
      </c>
      <c r="AB67" t="s">
        <v>63</v>
      </c>
      <c r="AC67">
        <v>32</v>
      </c>
      <c r="AD67">
        <v>99.91</v>
      </c>
      <c r="AE67">
        <f t="shared" si="7"/>
        <v>3197.12</v>
      </c>
      <c r="AF67" s="4">
        <v>0.39</v>
      </c>
      <c r="AG67">
        <f t="shared" si="8"/>
        <v>1950.24</v>
      </c>
      <c r="AH67" s="4">
        <v>0.18</v>
      </c>
      <c r="AI67">
        <f t="shared" si="9"/>
        <v>2301.28</v>
      </c>
      <c r="AJ67" s="4">
        <v>0.1</v>
      </c>
      <c r="AK67">
        <f t="shared" si="10"/>
        <v>230.13</v>
      </c>
      <c r="AL67">
        <f t="shared" si="11"/>
        <v>2531.41</v>
      </c>
      <c r="AM67">
        <f t="shared" si="12"/>
        <v>665.71</v>
      </c>
      <c r="AN67" s="4">
        <f t="shared" si="13"/>
        <v>0.208221774597137</v>
      </c>
      <c r="AO67" t="s">
        <v>64</v>
      </c>
      <c r="AQ67" t="s">
        <v>65</v>
      </c>
      <c r="AS67" t="s">
        <v>126</v>
      </c>
    </row>
    <row r="68" ht="15.75" customHeight="1" spans="1:45">
      <c r="A68" t="s">
        <v>141</v>
      </c>
      <c r="B68" t="s">
        <v>131</v>
      </c>
      <c r="C68" t="s">
        <v>47</v>
      </c>
      <c r="D68" t="s">
        <v>118</v>
      </c>
      <c r="E68" t="s">
        <v>119</v>
      </c>
      <c r="F68" t="s">
        <v>142</v>
      </c>
      <c r="H68" t="s">
        <v>121</v>
      </c>
      <c r="I68" t="s">
        <v>132</v>
      </c>
      <c r="J68" t="s">
        <v>53</v>
      </c>
      <c r="K68" t="s">
        <v>54</v>
      </c>
      <c r="L68" t="s">
        <v>55</v>
      </c>
      <c r="M68" t="s">
        <v>134</v>
      </c>
      <c r="N68" t="s">
        <v>124</v>
      </c>
      <c r="O68" t="s">
        <v>143</v>
      </c>
      <c r="Q68" t="s">
        <v>57</v>
      </c>
      <c r="S68">
        <v>1</v>
      </c>
      <c r="U68">
        <v>80000</v>
      </c>
      <c r="Y68" t="s">
        <v>144</v>
      </c>
      <c r="Z68">
        <v>4411</v>
      </c>
      <c r="AA68" t="s">
        <v>62</v>
      </c>
      <c r="AB68" t="s">
        <v>63</v>
      </c>
      <c r="AC68">
        <v>32</v>
      </c>
      <c r="AD68">
        <v>63.81</v>
      </c>
      <c r="AE68">
        <f t="shared" si="7"/>
        <v>2041.92</v>
      </c>
      <c r="AF68" s="4">
        <v>0.39</v>
      </c>
      <c r="AG68">
        <f t="shared" si="8"/>
        <v>1245.57</v>
      </c>
      <c r="AH68" s="4">
        <v>0.18</v>
      </c>
      <c r="AI68">
        <f t="shared" si="9"/>
        <v>1469.77</v>
      </c>
      <c r="AJ68" s="4">
        <v>0.1</v>
      </c>
      <c r="AK68">
        <f t="shared" si="10"/>
        <v>146.98</v>
      </c>
      <c r="AL68">
        <f t="shared" si="11"/>
        <v>1616.75</v>
      </c>
      <c r="AM68">
        <f t="shared" si="12"/>
        <v>425.17</v>
      </c>
      <c r="AN68" s="4">
        <f t="shared" si="13"/>
        <v>0.20822069424855</v>
      </c>
      <c r="AO68" t="s">
        <v>64</v>
      </c>
      <c r="AQ68" t="s">
        <v>65</v>
      </c>
      <c r="AS68" t="s">
        <v>126</v>
      </c>
    </row>
    <row r="69" ht="15.75" customHeight="1" spans="1:45">
      <c r="A69" t="s">
        <v>141</v>
      </c>
      <c r="B69" t="s">
        <v>133</v>
      </c>
      <c r="C69" t="s">
        <v>47</v>
      </c>
      <c r="D69" t="s">
        <v>118</v>
      </c>
      <c r="E69" t="s">
        <v>119</v>
      </c>
      <c r="F69" t="s">
        <v>142</v>
      </c>
      <c r="H69" t="s">
        <v>121</v>
      </c>
      <c r="I69" t="s">
        <v>132</v>
      </c>
      <c r="J69" t="s">
        <v>53</v>
      </c>
      <c r="K69" t="s">
        <v>54</v>
      </c>
      <c r="L69" t="s">
        <v>55</v>
      </c>
      <c r="M69" t="s">
        <v>136</v>
      </c>
      <c r="N69" t="s">
        <v>124</v>
      </c>
      <c r="O69" t="s">
        <v>143</v>
      </c>
      <c r="Q69" t="s">
        <v>57</v>
      </c>
      <c r="S69">
        <v>1</v>
      </c>
      <c r="U69">
        <v>80000</v>
      </c>
      <c r="Y69" t="s">
        <v>144</v>
      </c>
      <c r="Z69">
        <v>4411</v>
      </c>
      <c r="AA69" t="s">
        <v>62</v>
      </c>
      <c r="AB69" t="s">
        <v>63</v>
      </c>
      <c r="AC69">
        <v>32</v>
      </c>
      <c r="AD69">
        <v>84.36</v>
      </c>
      <c r="AE69">
        <f t="shared" si="7"/>
        <v>2699.52</v>
      </c>
      <c r="AF69" s="4">
        <v>0.39</v>
      </c>
      <c r="AG69">
        <f t="shared" si="8"/>
        <v>1646.71</v>
      </c>
      <c r="AH69" s="4">
        <v>0.18</v>
      </c>
      <c r="AI69">
        <f t="shared" si="9"/>
        <v>1943.12</v>
      </c>
      <c r="AJ69" s="4">
        <v>0.1</v>
      </c>
      <c r="AK69">
        <f t="shared" si="10"/>
        <v>194.31</v>
      </c>
      <c r="AL69">
        <f t="shared" si="11"/>
        <v>2137.43</v>
      </c>
      <c r="AM69">
        <f t="shared" si="12"/>
        <v>562.09</v>
      </c>
      <c r="AN69" s="4">
        <f t="shared" si="13"/>
        <v>0.208218498103367</v>
      </c>
      <c r="AO69" t="s">
        <v>64</v>
      </c>
      <c r="AQ69" t="s">
        <v>65</v>
      </c>
      <c r="AS69" t="s">
        <v>126</v>
      </c>
    </row>
    <row r="70" ht="15.75" customHeight="1" spans="1:45">
      <c r="A70" t="s">
        <v>141</v>
      </c>
      <c r="B70" t="s">
        <v>135</v>
      </c>
      <c r="C70" t="s">
        <v>47</v>
      </c>
      <c r="D70" t="s">
        <v>118</v>
      </c>
      <c r="E70" t="s">
        <v>119</v>
      </c>
      <c r="F70" t="s">
        <v>142</v>
      </c>
      <c r="H70" t="s">
        <v>121</v>
      </c>
      <c r="I70" t="s">
        <v>132</v>
      </c>
      <c r="J70" t="s">
        <v>53</v>
      </c>
      <c r="K70" t="s">
        <v>54</v>
      </c>
      <c r="L70" t="s">
        <v>55</v>
      </c>
      <c r="M70" t="s">
        <v>139</v>
      </c>
      <c r="N70" t="s">
        <v>124</v>
      </c>
      <c r="O70" t="s">
        <v>143</v>
      </c>
      <c r="Q70" t="s">
        <v>57</v>
      </c>
      <c r="S70">
        <v>1</v>
      </c>
      <c r="U70">
        <v>80000</v>
      </c>
      <c r="Y70" t="s">
        <v>144</v>
      </c>
      <c r="Z70">
        <v>4411</v>
      </c>
      <c r="AA70" t="s">
        <v>62</v>
      </c>
      <c r="AB70" t="s">
        <v>63</v>
      </c>
      <c r="AC70">
        <v>32</v>
      </c>
      <c r="AD70">
        <v>112.36</v>
      </c>
      <c r="AE70">
        <f t="shared" si="7"/>
        <v>3595.52</v>
      </c>
      <c r="AF70" s="4">
        <v>0.39</v>
      </c>
      <c r="AG70">
        <f t="shared" si="8"/>
        <v>2193.27</v>
      </c>
      <c r="AH70" s="4">
        <v>0.18</v>
      </c>
      <c r="AI70">
        <f t="shared" si="9"/>
        <v>2588.06</v>
      </c>
      <c r="AJ70" s="4">
        <v>0.1</v>
      </c>
      <c r="AK70">
        <f t="shared" si="10"/>
        <v>258.81</v>
      </c>
      <c r="AL70">
        <f t="shared" si="11"/>
        <v>2846.87</v>
      </c>
      <c r="AM70">
        <f t="shared" si="12"/>
        <v>748.65</v>
      </c>
      <c r="AN70" s="4">
        <f t="shared" si="13"/>
        <v>0.208217448380207</v>
      </c>
      <c r="AO70" t="s">
        <v>64</v>
      </c>
      <c r="AQ70" t="s">
        <v>65</v>
      </c>
      <c r="AS70" t="s">
        <v>126</v>
      </c>
    </row>
    <row r="71" ht="15.75" customHeight="1" spans="1:45">
      <c r="A71" t="s">
        <v>141</v>
      </c>
      <c r="B71" t="s">
        <v>137</v>
      </c>
      <c r="C71" t="s">
        <v>47</v>
      </c>
      <c r="D71" t="s">
        <v>118</v>
      </c>
      <c r="E71" t="s">
        <v>119</v>
      </c>
      <c r="F71" t="s">
        <v>142</v>
      </c>
      <c r="H71" t="s">
        <v>121</v>
      </c>
      <c r="I71" t="s">
        <v>132</v>
      </c>
      <c r="J71" t="s">
        <v>53</v>
      </c>
      <c r="K71" t="s">
        <v>54</v>
      </c>
      <c r="L71" t="s">
        <v>55</v>
      </c>
      <c r="M71" t="s">
        <v>92</v>
      </c>
      <c r="N71" t="s">
        <v>124</v>
      </c>
      <c r="O71" t="s">
        <v>143</v>
      </c>
      <c r="Q71" t="s">
        <v>57</v>
      </c>
      <c r="S71">
        <v>1</v>
      </c>
      <c r="U71">
        <v>80000</v>
      </c>
      <c r="Y71" t="s">
        <v>144</v>
      </c>
      <c r="Z71">
        <v>4411</v>
      </c>
      <c r="AA71" t="s">
        <v>62</v>
      </c>
      <c r="AB71" t="s">
        <v>63</v>
      </c>
      <c r="AC71">
        <v>32</v>
      </c>
      <c r="AD71">
        <v>121.51</v>
      </c>
      <c r="AE71">
        <f t="shared" si="7"/>
        <v>3888.32</v>
      </c>
      <c r="AF71" s="4">
        <v>0.39</v>
      </c>
      <c r="AG71">
        <f t="shared" si="8"/>
        <v>2371.88</v>
      </c>
      <c r="AH71" s="4">
        <v>0.18</v>
      </c>
      <c r="AI71">
        <f t="shared" si="9"/>
        <v>2798.82</v>
      </c>
      <c r="AJ71" s="4">
        <v>0.1</v>
      </c>
      <c r="AK71">
        <f t="shared" si="10"/>
        <v>279.88</v>
      </c>
      <c r="AL71">
        <f t="shared" si="11"/>
        <v>3078.7</v>
      </c>
      <c r="AM71">
        <f t="shared" si="12"/>
        <v>809.62</v>
      </c>
      <c r="AN71" s="4">
        <f t="shared" si="13"/>
        <v>0.208218459386059</v>
      </c>
      <c r="AO71" t="s">
        <v>64</v>
      </c>
      <c r="AQ71" t="s">
        <v>65</v>
      </c>
      <c r="AS71" t="s">
        <v>126</v>
      </c>
    </row>
    <row r="72" ht="15.75" customHeight="1" spans="1:45">
      <c r="A72" t="s">
        <v>145</v>
      </c>
      <c r="B72" t="s">
        <v>46</v>
      </c>
      <c r="C72" t="s">
        <v>47</v>
      </c>
      <c r="D72" t="s">
        <v>118</v>
      </c>
      <c r="E72" t="s">
        <v>119</v>
      </c>
      <c r="F72" t="s">
        <v>146</v>
      </c>
      <c r="H72" t="s">
        <v>121</v>
      </c>
      <c r="I72" t="s">
        <v>122</v>
      </c>
      <c r="J72" t="s">
        <v>53</v>
      </c>
      <c r="K72" t="s">
        <v>54</v>
      </c>
      <c r="L72" t="s">
        <v>55</v>
      </c>
      <c r="M72" t="s">
        <v>123</v>
      </c>
      <c r="N72" t="s">
        <v>124</v>
      </c>
      <c r="O72" t="s">
        <v>143</v>
      </c>
      <c r="Q72" t="s">
        <v>57</v>
      </c>
      <c r="S72">
        <v>1</v>
      </c>
      <c r="U72">
        <v>80000</v>
      </c>
      <c r="Y72" t="s">
        <v>147</v>
      </c>
      <c r="Z72">
        <v>4411</v>
      </c>
      <c r="AA72" t="s">
        <v>62</v>
      </c>
      <c r="AB72" t="s">
        <v>63</v>
      </c>
      <c r="AC72">
        <v>32</v>
      </c>
      <c r="AD72">
        <v>52.01</v>
      </c>
      <c r="AE72">
        <f t="shared" si="7"/>
        <v>1664.32</v>
      </c>
      <c r="AF72" s="4">
        <v>0.39</v>
      </c>
      <c r="AG72">
        <f t="shared" si="8"/>
        <v>1015.24</v>
      </c>
      <c r="AH72" s="4">
        <v>0.18</v>
      </c>
      <c r="AI72">
        <f t="shared" si="9"/>
        <v>1197.98</v>
      </c>
      <c r="AJ72" s="4">
        <v>0.1</v>
      </c>
      <c r="AK72">
        <f t="shared" si="10"/>
        <v>119.8</v>
      </c>
      <c r="AL72">
        <f t="shared" si="11"/>
        <v>1317.78</v>
      </c>
      <c r="AM72">
        <f t="shared" si="12"/>
        <v>346.54</v>
      </c>
      <c r="AN72" s="4">
        <f t="shared" si="13"/>
        <v>0.208217169775043</v>
      </c>
      <c r="AO72" t="s">
        <v>64</v>
      </c>
      <c r="AQ72" t="s">
        <v>65</v>
      </c>
      <c r="AS72" t="s">
        <v>126</v>
      </c>
    </row>
    <row r="73" ht="15.75" customHeight="1" spans="1:45">
      <c r="A73" t="s">
        <v>145</v>
      </c>
      <c r="B73" t="s">
        <v>67</v>
      </c>
      <c r="C73" t="s">
        <v>47</v>
      </c>
      <c r="D73" t="s">
        <v>118</v>
      </c>
      <c r="E73" t="s">
        <v>119</v>
      </c>
      <c r="F73" t="s">
        <v>146</v>
      </c>
      <c r="H73" t="s">
        <v>121</v>
      </c>
      <c r="I73" t="s">
        <v>122</v>
      </c>
      <c r="J73" t="s">
        <v>53</v>
      </c>
      <c r="K73" t="s">
        <v>54</v>
      </c>
      <c r="L73" t="s">
        <v>55</v>
      </c>
      <c r="M73" t="s">
        <v>127</v>
      </c>
      <c r="N73" t="s">
        <v>124</v>
      </c>
      <c r="O73" t="s">
        <v>143</v>
      </c>
      <c r="Q73" t="s">
        <v>57</v>
      </c>
      <c r="S73">
        <v>1</v>
      </c>
      <c r="U73">
        <v>80000</v>
      </c>
      <c r="Y73" t="s">
        <v>147</v>
      </c>
      <c r="Z73">
        <v>4411</v>
      </c>
      <c r="AA73" t="s">
        <v>62</v>
      </c>
      <c r="AB73" t="s">
        <v>63</v>
      </c>
      <c r="AC73">
        <v>32</v>
      </c>
      <c r="AD73">
        <v>57.59</v>
      </c>
      <c r="AE73">
        <f t="shared" si="7"/>
        <v>1842.88</v>
      </c>
      <c r="AF73" s="4">
        <v>0.39</v>
      </c>
      <c r="AG73">
        <f t="shared" si="8"/>
        <v>1124.16</v>
      </c>
      <c r="AH73" s="4">
        <v>0.18</v>
      </c>
      <c r="AI73">
        <f t="shared" si="9"/>
        <v>1326.51</v>
      </c>
      <c r="AJ73" s="4">
        <v>0.1</v>
      </c>
      <c r="AK73">
        <f t="shared" si="10"/>
        <v>132.65</v>
      </c>
      <c r="AL73">
        <f t="shared" si="11"/>
        <v>1459.16</v>
      </c>
      <c r="AM73">
        <f t="shared" si="12"/>
        <v>383.72</v>
      </c>
      <c r="AN73" s="4">
        <f t="shared" si="13"/>
        <v>0.208217572495225</v>
      </c>
      <c r="AO73" t="s">
        <v>64</v>
      </c>
      <c r="AQ73" t="s">
        <v>65</v>
      </c>
      <c r="AS73" t="s">
        <v>126</v>
      </c>
    </row>
    <row r="74" ht="15.75" customHeight="1" spans="1:45">
      <c r="A74" t="s">
        <v>145</v>
      </c>
      <c r="B74" t="s">
        <v>71</v>
      </c>
      <c r="C74" t="s">
        <v>47</v>
      </c>
      <c r="D74" t="s">
        <v>118</v>
      </c>
      <c r="E74" t="s">
        <v>119</v>
      </c>
      <c r="F74" t="s">
        <v>146</v>
      </c>
      <c r="H74" t="s">
        <v>121</v>
      </c>
      <c r="I74" t="s">
        <v>122</v>
      </c>
      <c r="J74" t="s">
        <v>53</v>
      </c>
      <c r="K74" t="s">
        <v>54</v>
      </c>
      <c r="L74" t="s">
        <v>55</v>
      </c>
      <c r="M74" t="s">
        <v>128</v>
      </c>
      <c r="N74" t="s">
        <v>124</v>
      </c>
      <c r="O74" t="s">
        <v>143</v>
      </c>
      <c r="Q74" t="s">
        <v>57</v>
      </c>
      <c r="S74">
        <v>1</v>
      </c>
      <c r="U74">
        <v>80000</v>
      </c>
      <c r="Y74" t="s">
        <v>147</v>
      </c>
      <c r="Z74">
        <v>4411</v>
      </c>
      <c r="AA74" t="s">
        <v>62</v>
      </c>
      <c r="AB74" t="s">
        <v>63</v>
      </c>
      <c r="AC74">
        <v>32</v>
      </c>
      <c r="AD74">
        <v>73.52</v>
      </c>
      <c r="AE74">
        <f t="shared" si="7"/>
        <v>2352.64</v>
      </c>
      <c r="AF74" s="4">
        <v>0.39</v>
      </c>
      <c r="AG74">
        <f t="shared" si="8"/>
        <v>1435.11</v>
      </c>
      <c r="AH74" s="4">
        <v>0.18</v>
      </c>
      <c r="AI74">
        <f t="shared" si="9"/>
        <v>1693.43</v>
      </c>
      <c r="AJ74" s="4">
        <v>0.1</v>
      </c>
      <c r="AK74">
        <f t="shared" si="10"/>
        <v>169.34</v>
      </c>
      <c r="AL74">
        <f t="shared" si="11"/>
        <v>1862.77</v>
      </c>
      <c r="AM74">
        <f t="shared" si="12"/>
        <v>489.87</v>
      </c>
      <c r="AN74" s="4">
        <f t="shared" si="13"/>
        <v>0.208221402339499</v>
      </c>
      <c r="AO74" t="s">
        <v>64</v>
      </c>
      <c r="AQ74" t="s">
        <v>65</v>
      </c>
      <c r="AS74" t="s">
        <v>126</v>
      </c>
    </row>
    <row r="75" ht="15.75" customHeight="1" spans="1:45">
      <c r="A75" t="s">
        <v>145</v>
      </c>
      <c r="B75" t="s">
        <v>75</v>
      </c>
      <c r="C75" t="s">
        <v>47</v>
      </c>
      <c r="D75" t="s">
        <v>118</v>
      </c>
      <c r="E75" t="s">
        <v>119</v>
      </c>
      <c r="F75" t="s">
        <v>146</v>
      </c>
      <c r="H75" t="s">
        <v>121</v>
      </c>
      <c r="I75" t="s">
        <v>122</v>
      </c>
      <c r="J75" t="s">
        <v>53</v>
      </c>
      <c r="K75" t="s">
        <v>54</v>
      </c>
      <c r="L75" t="s">
        <v>55</v>
      </c>
      <c r="M75" t="s">
        <v>129</v>
      </c>
      <c r="N75" t="s">
        <v>124</v>
      </c>
      <c r="O75" t="s">
        <v>143</v>
      </c>
      <c r="Q75" t="s">
        <v>57</v>
      </c>
      <c r="S75">
        <v>1</v>
      </c>
      <c r="U75">
        <v>80000</v>
      </c>
      <c r="Y75" t="s">
        <v>147</v>
      </c>
      <c r="Z75">
        <v>4411</v>
      </c>
      <c r="AA75" t="s">
        <v>62</v>
      </c>
      <c r="AB75" t="s">
        <v>63</v>
      </c>
      <c r="AC75">
        <v>32</v>
      </c>
      <c r="AD75">
        <v>93.32</v>
      </c>
      <c r="AE75">
        <f t="shared" si="7"/>
        <v>2986.24</v>
      </c>
      <c r="AF75" s="4">
        <v>0.39</v>
      </c>
      <c r="AG75">
        <f t="shared" si="8"/>
        <v>1821.61</v>
      </c>
      <c r="AH75" s="4">
        <v>0.18</v>
      </c>
      <c r="AI75">
        <f t="shared" si="9"/>
        <v>2149.5</v>
      </c>
      <c r="AJ75" s="4">
        <v>0.1</v>
      </c>
      <c r="AK75">
        <f t="shared" si="10"/>
        <v>214.95</v>
      </c>
      <c r="AL75">
        <f t="shared" si="11"/>
        <v>2364.45</v>
      </c>
      <c r="AM75">
        <f t="shared" si="12"/>
        <v>621.79</v>
      </c>
      <c r="AN75" s="4">
        <f t="shared" si="13"/>
        <v>0.20821836155165</v>
      </c>
      <c r="AO75" t="s">
        <v>64</v>
      </c>
      <c r="AQ75" t="s">
        <v>65</v>
      </c>
      <c r="AS75" t="s">
        <v>126</v>
      </c>
    </row>
    <row r="76" ht="15.75" customHeight="1" spans="1:45">
      <c r="A76" t="s">
        <v>145</v>
      </c>
      <c r="B76" t="s">
        <v>79</v>
      </c>
      <c r="C76" t="s">
        <v>47</v>
      </c>
      <c r="D76" t="s">
        <v>118</v>
      </c>
      <c r="E76" t="s">
        <v>119</v>
      </c>
      <c r="F76" t="s">
        <v>146</v>
      </c>
      <c r="H76" t="s">
        <v>121</v>
      </c>
      <c r="I76" t="s">
        <v>122</v>
      </c>
      <c r="J76" t="s">
        <v>53</v>
      </c>
      <c r="K76" t="s">
        <v>54</v>
      </c>
      <c r="L76" t="s">
        <v>55</v>
      </c>
      <c r="M76" t="s">
        <v>130</v>
      </c>
      <c r="N76" t="s">
        <v>124</v>
      </c>
      <c r="O76" t="s">
        <v>143</v>
      </c>
      <c r="Q76" t="s">
        <v>57</v>
      </c>
      <c r="S76">
        <v>1</v>
      </c>
      <c r="U76">
        <v>80000</v>
      </c>
      <c r="Y76" t="s">
        <v>147</v>
      </c>
      <c r="Z76">
        <v>4411</v>
      </c>
      <c r="AA76" t="s">
        <v>62</v>
      </c>
      <c r="AB76" t="s">
        <v>63</v>
      </c>
      <c r="AC76">
        <v>32</v>
      </c>
      <c r="AD76">
        <v>95.34</v>
      </c>
      <c r="AE76">
        <f t="shared" si="7"/>
        <v>3050.88</v>
      </c>
      <c r="AF76" s="4">
        <v>0.39</v>
      </c>
      <c r="AG76">
        <f t="shared" si="8"/>
        <v>1861.04</v>
      </c>
      <c r="AH76" s="4">
        <v>0.18</v>
      </c>
      <c r="AI76">
        <f t="shared" si="9"/>
        <v>2196.03</v>
      </c>
      <c r="AJ76" s="4">
        <v>0.1</v>
      </c>
      <c r="AK76">
        <f t="shared" si="10"/>
        <v>219.6</v>
      </c>
      <c r="AL76">
        <f t="shared" si="11"/>
        <v>2415.63</v>
      </c>
      <c r="AM76">
        <f t="shared" si="12"/>
        <v>635.25</v>
      </c>
      <c r="AN76" s="4">
        <f t="shared" si="13"/>
        <v>0.208218612334802</v>
      </c>
      <c r="AO76" t="s">
        <v>64</v>
      </c>
      <c r="AQ76" t="s">
        <v>65</v>
      </c>
      <c r="AS76" t="s">
        <v>126</v>
      </c>
    </row>
    <row r="77" ht="15.75" customHeight="1" spans="1:45">
      <c r="A77" t="s">
        <v>145</v>
      </c>
      <c r="B77" t="s">
        <v>83</v>
      </c>
      <c r="C77" t="s">
        <v>47</v>
      </c>
      <c r="D77" t="s">
        <v>118</v>
      </c>
      <c r="E77" t="s">
        <v>119</v>
      </c>
      <c r="F77" t="s">
        <v>146</v>
      </c>
      <c r="H77" t="s">
        <v>121</v>
      </c>
      <c r="I77" t="s">
        <v>122</v>
      </c>
      <c r="J77" t="s">
        <v>53</v>
      </c>
      <c r="K77" t="s">
        <v>54</v>
      </c>
      <c r="L77" t="s">
        <v>55</v>
      </c>
      <c r="M77" t="s">
        <v>99</v>
      </c>
      <c r="N77" t="s">
        <v>124</v>
      </c>
      <c r="O77" t="s">
        <v>143</v>
      </c>
      <c r="Q77" t="s">
        <v>57</v>
      </c>
      <c r="S77">
        <v>1</v>
      </c>
      <c r="U77">
        <v>80000</v>
      </c>
      <c r="Y77" t="s">
        <v>147</v>
      </c>
      <c r="Z77">
        <v>4411</v>
      </c>
      <c r="AA77" t="s">
        <v>62</v>
      </c>
      <c r="AB77" t="s">
        <v>63</v>
      </c>
      <c r="AC77">
        <v>32</v>
      </c>
      <c r="AD77" s="5">
        <v>102.4</v>
      </c>
      <c r="AE77">
        <f t="shared" si="7"/>
        <v>3276.8</v>
      </c>
      <c r="AF77" s="4">
        <v>0.39</v>
      </c>
      <c r="AG77">
        <f t="shared" si="8"/>
        <v>1998.85</v>
      </c>
      <c r="AH77" s="4">
        <v>0.18</v>
      </c>
      <c r="AI77">
        <f t="shared" si="9"/>
        <v>2358.64</v>
      </c>
      <c r="AJ77" s="4">
        <v>0.1</v>
      </c>
      <c r="AK77">
        <f t="shared" si="10"/>
        <v>235.86</v>
      </c>
      <c r="AL77">
        <f t="shared" si="11"/>
        <v>2594.5</v>
      </c>
      <c r="AM77">
        <f t="shared" si="12"/>
        <v>682.3</v>
      </c>
      <c r="AN77" s="4">
        <f t="shared" si="13"/>
        <v>0.208221435546875</v>
      </c>
      <c r="AO77" t="s">
        <v>64</v>
      </c>
      <c r="AQ77" t="s">
        <v>65</v>
      </c>
      <c r="AS77" t="s">
        <v>126</v>
      </c>
    </row>
    <row r="78" ht="15.75" customHeight="1" spans="1:45">
      <c r="A78" t="s">
        <v>145</v>
      </c>
      <c r="B78" t="s">
        <v>131</v>
      </c>
      <c r="C78" t="s">
        <v>47</v>
      </c>
      <c r="D78" t="s">
        <v>118</v>
      </c>
      <c r="E78" t="s">
        <v>119</v>
      </c>
      <c r="F78" t="s">
        <v>146</v>
      </c>
      <c r="H78" t="s">
        <v>121</v>
      </c>
      <c r="I78" t="s">
        <v>122</v>
      </c>
      <c r="J78" t="s">
        <v>53</v>
      </c>
      <c r="K78" t="s">
        <v>54</v>
      </c>
      <c r="L78" t="s">
        <v>55</v>
      </c>
      <c r="M78" t="s">
        <v>134</v>
      </c>
      <c r="N78" t="s">
        <v>124</v>
      </c>
      <c r="O78" t="s">
        <v>143</v>
      </c>
      <c r="Q78" t="s">
        <v>57</v>
      </c>
      <c r="S78">
        <v>1</v>
      </c>
      <c r="U78">
        <v>80000</v>
      </c>
      <c r="Y78" t="s">
        <v>147</v>
      </c>
      <c r="Z78">
        <v>4411</v>
      </c>
      <c r="AA78" t="s">
        <v>62</v>
      </c>
      <c r="AB78" t="s">
        <v>63</v>
      </c>
      <c r="AC78">
        <v>32</v>
      </c>
      <c r="AD78">
        <v>66.33</v>
      </c>
      <c r="AE78">
        <f t="shared" si="7"/>
        <v>2122.56</v>
      </c>
      <c r="AF78" s="4">
        <v>0.39</v>
      </c>
      <c r="AG78">
        <f t="shared" si="8"/>
        <v>1294.76</v>
      </c>
      <c r="AH78" s="4">
        <v>0.18</v>
      </c>
      <c r="AI78">
        <f t="shared" si="9"/>
        <v>1527.82</v>
      </c>
      <c r="AJ78" s="4">
        <v>0.1</v>
      </c>
      <c r="AK78">
        <f t="shared" si="10"/>
        <v>152.78</v>
      </c>
      <c r="AL78">
        <f t="shared" si="11"/>
        <v>1680.6</v>
      </c>
      <c r="AM78">
        <f t="shared" si="12"/>
        <v>441.96</v>
      </c>
      <c r="AN78" s="4">
        <f t="shared" si="13"/>
        <v>0.20822026232474</v>
      </c>
      <c r="AO78" t="s">
        <v>64</v>
      </c>
      <c r="AQ78" t="s">
        <v>65</v>
      </c>
      <c r="AS78" t="s">
        <v>126</v>
      </c>
    </row>
    <row r="79" ht="15.75" customHeight="1" spans="1:45">
      <c r="A79" t="s">
        <v>145</v>
      </c>
      <c r="B79" t="s">
        <v>133</v>
      </c>
      <c r="C79" t="s">
        <v>47</v>
      </c>
      <c r="D79" t="s">
        <v>118</v>
      </c>
      <c r="E79" t="s">
        <v>119</v>
      </c>
      <c r="F79" t="s">
        <v>146</v>
      </c>
      <c r="H79" t="s">
        <v>121</v>
      </c>
      <c r="I79" t="s">
        <v>122</v>
      </c>
      <c r="J79" t="s">
        <v>53</v>
      </c>
      <c r="K79" t="s">
        <v>54</v>
      </c>
      <c r="L79" t="s">
        <v>55</v>
      </c>
      <c r="M79" t="s">
        <v>136</v>
      </c>
      <c r="N79" t="s">
        <v>124</v>
      </c>
      <c r="O79" t="s">
        <v>143</v>
      </c>
      <c r="Q79" t="s">
        <v>57</v>
      </c>
      <c r="S79">
        <v>1</v>
      </c>
      <c r="U79">
        <v>80000</v>
      </c>
      <c r="Y79" t="s">
        <v>147</v>
      </c>
      <c r="Z79">
        <v>4411</v>
      </c>
      <c r="AA79" t="s">
        <v>62</v>
      </c>
      <c r="AB79" t="s">
        <v>63</v>
      </c>
      <c r="AC79">
        <v>32</v>
      </c>
      <c r="AD79">
        <v>86.87</v>
      </c>
      <c r="AE79">
        <f t="shared" si="7"/>
        <v>2779.84</v>
      </c>
      <c r="AF79" s="4">
        <v>0.39</v>
      </c>
      <c r="AG79">
        <f t="shared" si="8"/>
        <v>1695.7</v>
      </c>
      <c r="AH79" s="4">
        <v>0.18</v>
      </c>
      <c r="AI79">
        <f t="shared" si="9"/>
        <v>2000.93</v>
      </c>
      <c r="AJ79" s="4">
        <v>0.1</v>
      </c>
      <c r="AK79">
        <f t="shared" si="10"/>
        <v>200.09</v>
      </c>
      <c r="AL79">
        <f t="shared" si="11"/>
        <v>2201.02</v>
      </c>
      <c r="AM79">
        <f t="shared" si="12"/>
        <v>578.82</v>
      </c>
      <c r="AN79" s="4">
        <f t="shared" si="13"/>
        <v>0.208220617013929</v>
      </c>
      <c r="AO79" t="s">
        <v>64</v>
      </c>
      <c r="AQ79" t="s">
        <v>65</v>
      </c>
      <c r="AS79" t="s">
        <v>126</v>
      </c>
    </row>
    <row r="80" ht="15.75" customHeight="1" spans="1:45">
      <c r="A80" t="s">
        <v>145</v>
      </c>
      <c r="B80" t="s">
        <v>135</v>
      </c>
      <c r="C80" t="s">
        <v>47</v>
      </c>
      <c r="D80" t="s">
        <v>118</v>
      </c>
      <c r="E80" t="s">
        <v>119</v>
      </c>
      <c r="F80" t="s">
        <v>146</v>
      </c>
      <c r="H80" t="s">
        <v>121</v>
      </c>
      <c r="I80" t="s">
        <v>122</v>
      </c>
      <c r="J80" t="s">
        <v>53</v>
      </c>
      <c r="K80" t="s">
        <v>54</v>
      </c>
      <c r="L80" t="s">
        <v>55</v>
      </c>
      <c r="M80" t="s">
        <v>139</v>
      </c>
      <c r="N80" t="s">
        <v>124</v>
      </c>
      <c r="O80" t="s">
        <v>143</v>
      </c>
      <c r="Q80" t="s">
        <v>57</v>
      </c>
      <c r="S80">
        <v>1</v>
      </c>
      <c r="U80">
        <v>80000</v>
      </c>
      <c r="Y80" t="s">
        <v>147</v>
      </c>
      <c r="Z80">
        <v>4411</v>
      </c>
      <c r="AA80" t="s">
        <v>62</v>
      </c>
      <c r="AB80" t="s">
        <v>63</v>
      </c>
      <c r="AC80">
        <v>32</v>
      </c>
      <c r="AD80">
        <v>114.85</v>
      </c>
      <c r="AE80">
        <f t="shared" si="7"/>
        <v>3675.2</v>
      </c>
      <c r="AF80" s="4">
        <v>0.39</v>
      </c>
      <c r="AG80">
        <f t="shared" si="8"/>
        <v>2241.87</v>
      </c>
      <c r="AH80" s="4">
        <v>0.18</v>
      </c>
      <c r="AI80">
        <f t="shared" si="9"/>
        <v>2645.41</v>
      </c>
      <c r="AJ80" s="4">
        <v>0.1</v>
      </c>
      <c r="AK80">
        <f t="shared" si="10"/>
        <v>264.54</v>
      </c>
      <c r="AL80">
        <f t="shared" si="11"/>
        <v>2909.95</v>
      </c>
      <c r="AM80">
        <f t="shared" si="12"/>
        <v>765.25</v>
      </c>
      <c r="AN80" s="4">
        <f t="shared" si="13"/>
        <v>0.208219960818459</v>
      </c>
      <c r="AO80" t="s">
        <v>64</v>
      </c>
      <c r="AQ80" t="s">
        <v>65</v>
      </c>
      <c r="AS80" t="s">
        <v>126</v>
      </c>
    </row>
    <row r="81" ht="15.75" customHeight="1" spans="1:45">
      <c r="A81" t="s">
        <v>145</v>
      </c>
      <c r="B81" t="s">
        <v>137</v>
      </c>
      <c r="C81" t="s">
        <v>47</v>
      </c>
      <c r="D81" t="s">
        <v>118</v>
      </c>
      <c r="E81" t="s">
        <v>119</v>
      </c>
      <c r="F81" t="s">
        <v>146</v>
      </c>
      <c r="H81" t="s">
        <v>121</v>
      </c>
      <c r="I81" t="s">
        <v>122</v>
      </c>
      <c r="J81" t="s">
        <v>53</v>
      </c>
      <c r="K81" t="s">
        <v>54</v>
      </c>
      <c r="L81" t="s">
        <v>55</v>
      </c>
      <c r="M81" t="s">
        <v>92</v>
      </c>
      <c r="N81" t="s">
        <v>124</v>
      </c>
      <c r="O81" t="s">
        <v>143</v>
      </c>
      <c r="Q81" t="s">
        <v>57</v>
      </c>
      <c r="S81">
        <v>1</v>
      </c>
      <c r="U81">
        <v>80000</v>
      </c>
      <c r="Y81" t="s">
        <v>147</v>
      </c>
      <c r="Z81">
        <v>4411</v>
      </c>
      <c r="AA81" t="s">
        <v>62</v>
      </c>
      <c r="AB81" t="s">
        <v>63</v>
      </c>
      <c r="AC81">
        <v>32</v>
      </c>
      <c r="AD81">
        <v>124</v>
      </c>
      <c r="AE81">
        <f t="shared" si="7"/>
        <v>3968</v>
      </c>
      <c r="AF81" s="4">
        <v>0.39</v>
      </c>
      <c r="AG81">
        <f t="shared" si="8"/>
        <v>2420.48</v>
      </c>
      <c r="AH81" s="4">
        <v>0.18</v>
      </c>
      <c r="AI81">
        <f t="shared" si="9"/>
        <v>2856.17</v>
      </c>
      <c r="AJ81" s="4">
        <v>0.1</v>
      </c>
      <c r="AK81">
        <f t="shared" si="10"/>
        <v>285.62</v>
      </c>
      <c r="AL81">
        <f t="shared" si="11"/>
        <v>3141.79</v>
      </c>
      <c r="AM81">
        <f t="shared" si="12"/>
        <v>826.21</v>
      </c>
      <c r="AN81" s="4">
        <f t="shared" si="13"/>
        <v>0.208218245967742</v>
      </c>
      <c r="AO81" t="s">
        <v>64</v>
      </c>
      <c r="AQ81" t="s">
        <v>65</v>
      </c>
      <c r="AS81" t="s">
        <v>126</v>
      </c>
    </row>
    <row r="82" ht="15.75" customHeight="1" spans="1:45">
      <c r="A82" t="s">
        <v>148</v>
      </c>
      <c r="B82" t="s">
        <v>46</v>
      </c>
      <c r="C82" t="s">
        <v>47</v>
      </c>
      <c r="D82" t="s">
        <v>118</v>
      </c>
      <c r="E82" t="s">
        <v>119</v>
      </c>
      <c r="F82" t="s">
        <v>149</v>
      </c>
      <c r="H82" t="s">
        <v>121</v>
      </c>
      <c r="I82" t="s">
        <v>122</v>
      </c>
      <c r="J82" t="s">
        <v>53</v>
      </c>
      <c r="K82" t="s">
        <v>54</v>
      </c>
      <c r="L82" t="s">
        <v>55</v>
      </c>
      <c r="M82" t="s">
        <v>123</v>
      </c>
      <c r="N82" t="s">
        <v>124</v>
      </c>
      <c r="O82" t="s">
        <v>143</v>
      </c>
      <c r="Q82" t="s">
        <v>57</v>
      </c>
      <c r="S82">
        <v>1</v>
      </c>
      <c r="U82">
        <v>80000</v>
      </c>
      <c r="Y82" t="s">
        <v>150</v>
      </c>
      <c r="Z82">
        <v>4411</v>
      </c>
      <c r="AA82" t="s">
        <v>62</v>
      </c>
      <c r="AB82" t="s">
        <v>63</v>
      </c>
      <c r="AC82">
        <v>32</v>
      </c>
      <c r="AD82">
        <v>47</v>
      </c>
      <c r="AE82">
        <f t="shared" si="7"/>
        <v>1504</v>
      </c>
      <c r="AF82" s="4">
        <v>0.39</v>
      </c>
      <c r="AG82">
        <f t="shared" si="8"/>
        <v>917.44</v>
      </c>
      <c r="AH82" s="4">
        <v>0.18</v>
      </c>
      <c r="AI82">
        <f t="shared" si="9"/>
        <v>1082.58</v>
      </c>
      <c r="AJ82" s="4">
        <v>0.1</v>
      </c>
      <c r="AK82">
        <f t="shared" si="10"/>
        <v>108.26</v>
      </c>
      <c r="AL82">
        <f t="shared" si="11"/>
        <v>1190.84</v>
      </c>
      <c r="AM82">
        <f t="shared" si="12"/>
        <v>313.16</v>
      </c>
      <c r="AN82" s="4">
        <f t="shared" si="13"/>
        <v>0.208218085106383</v>
      </c>
      <c r="AO82" t="s">
        <v>64</v>
      </c>
      <c r="AQ82" t="s">
        <v>65</v>
      </c>
      <c r="AS82" t="s">
        <v>126</v>
      </c>
    </row>
    <row r="83" ht="15.75" customHeight="1" spans="1:45">
      <c r="A83" t="s">
        <v>148</v>
      </c>
      <c r="B83" t="s">
        <v>67</v>
      </c>
      <c r="C83" t="s">
        <v>47</v>
      </c>
      <c r="D83" t="s">
        <v>118</v>
      </c>
      <c r="E83" t="s">
        <v>119</v>
      </c>
      <c r="F83" t="s">
        <v>149</v>
      </c>
      <c r="H83" t="s">
        <v>121</v>
      </c>
      <c r="I83" t="s">
        <v>122</v>
      </c>
      <c r="J83" t="s">
        <v>53</v>
      </c>
      <c r="K83" t="s">
        <v>54</v>
      </c>
      <c r="L83" t="s">
        <v>55</v>
      </c>
      <c r="M83" t="s">
        <v>134</v>
      </c>
      <c r="N83" t="s">
        <v>124</v>
      </c>
      <c r="O83" t="s">
        <v>143</v>
      </c>
      <c r="Q83" t="s">
        <v>57</v>
      </c>
      <c r="S83">
        <v>1</v>
      </c>
      <c r="U83">
        <v>80000</v>
      </c>
      <c r="Y83" t="s">
        <v>150</v>
      </c>
      <c r="Z83">
        <v>4411</v>
      </c>
      <c r="AA83" t="s">
        <v>62</v>
      </c>
      <c r="AB83" t="s">
        <v>63</v>
      </c>
      <c r="AC83">
        <v>32</v>
      </c>
      <c r="AD83">
        <v>52.59</v>
      </c>
      <c r="AE83">
        <f t="shared" si="7"/>
        <v>1682.88</v>
      </c>
      <c r="AF83" s="4">
        <v>0.39</v>
      </c>
      <c r="AG83">
        <f t="shared" si="8"/>
        <v>1026.56</v>
      </c>
      <c r="AH83" s="4">
        <v>0.18</v>
      </c>
      <c r="AI83">
        <f t="shared" si="9"/>
        <v>1211.34</v>
      </c>
      <c r="AJ83" s="4">
        <v>0.1</v>
      </c>
      <c r="AK83">
        <f t="shared" si="10"/>
        <v>121.13</v>
      </c>
      <c r="AL83">
        <f t="shared" si="11"/>
        <v>1332.47</v>
      </c>
      <c r="AM83">
        <f t="shared" si="12"/>
        <v>350.41</v>
      </c>
      <c r="AN83" s="4">
        <f t="shared" si="13"/>
        <v>0.208220431640997</v>
      </c>
      <c r="AO83" t="s">
        <v>64</v>
      </c>
      <c r="AQ83" t="s">
        <v>65</v>
      </c>
      <c r="AS83" t="s">
        <v>126</v>
      </c>
    </row>
    <row r="84" ht="15.75" customHeight="1" spans="1:45">
      <c r="A84" t="s">
        <v>148</v>
      </c>
      <c r="B84" t="s">
        <v>71</v>
      </c>
      <c r="C84" t="s">
        <v>47</v>
      </c>
      <c r="D84" t="s">
        <v>118</v>
      </c>
      <c r="E84" t="s">
        <v>119</v>
      </c>
      <c r="F84" t="s">
        <v>149</v>
      </c>
      <c r="H84" t="s">
        <v>121</v>
      </c>
      <c r="I84" t="s">
        <v>122</v>
      </c>
      <c r="J84" t="s">
        <v>53</v>
      </c>
      <c r="K84" t="s">
        <v>54</v>
      </c>
      <c r="L84" t="s">
        <v>55</v>
      </c>
      <c r="M84" t="s">
        <v>136</v>
      </c>
      <c r="N84" t="s">
        <v>124</v>
      </c>
      <c r="O84" t="s">
        <v>143</v>
      </c>
      <c r="Q84" t="s">
        <v>57</v>
      </c>
      <c r="S84">
        <v>1</v>
      </c>
      <c r="U84">
        <v>80000</v>
      </c>
      <c r="Y84" t="s">
        <v>150</v>
      </c>
      <c r="Z84">
        <v>4411</v>
      </c>
      <c r="AA84" t="s">
        <v>62</v>
      </c>
      <c r="AB84" t="s">
        <v>63</v>
      </c>
      <c r="AC84">
        <v>32</v>
      </c>
      <c r="AD84">
        <v>68.53</v>
      </c>
      <c r="AE84">
        <f t="shared" si="7"/>
        <v>2192.96</v>
      </c>
      <c r="AF84" s="4">
        <v>0.39</v>
      </c>
      <c r="AG84">
        <f t="shared" si="8"/>
        <v>1337.71</v>
      </c>
      <c r="AH84" s="4">
        <v>0.18</v>
      </c>
      <c r="AI84">
        <f t="shared" si="9"/>
        <v>1578.5</v>
      </c>
      <c r="AJ84" s="4">
        <v>0.1</v>
      </c>
      <c r="AK84">
        <f t="shared" si="10"/>
        <v>157.85</v>
      </c>
      <c r="AL84">
        <f t="shared" si="11"/>
        <v>1736.35</v>
      </c>
      <c r="AM84">
        <f t="shared" si="12"/>
        <v>456.61</v>
      </c>
      <c r="AN84" s="4">
        <f t="shared" si="13"/>
        <v>0.208216292134832</v>
      </c>
      <c r="AO84" t="s">
        <v>64</v>
      </c>
      <c r="AQ84" t="s">
        <v>65</v>
      </c>
      <c r="AS84" t="s">
        <v>126</v>
      </c>
    </row>
    <row r="85" ht="15.75" customHeight="1" spans="1:45">
      <c r="A85" t="s">
        <v>148</v>
      </c>
      <c r="B85" t="s">
        <v>75</v>
      </c>
      <c r="C85" t="s">
        <v>47</v>
      </c>
      <c r="D85" t="s">
        <v>118</v>
      </c>
      <c r="E85" t="s">
        <v>119</v>
      </c>
      <c r="F85" t="s">
        <v>149</v>
      </c>
      <c r="H85" t="s">
        <v>121</v>
      </c>
      <c r="I85" t="s">
        <v>122</v>
      </c>
      <c r="J85" t="s">
        <v>53</v>
      </c>
      <c r="K85" t="s">
        <v>54</v>
      </c>
      <c r="L85" t="s">
        <v>55</v>
      </c>
      <c r="M85" t="s">
        <v>76</v>
      </c>
      <c r="N85" t="s">
        <v>124</v>
      </c>
      <c r="O85" t="s">
        <v>143</v>
      </c>
      <c r="Q85" t="s">
        <v>57</v>
      </c>
      <c r="S85">
        <v>1</v>
      </c>
      <c r="U85">
        <v>80000</v>
      </c>
      <c r="Y85" t="s">
        <v>150</v>
      </c>
      <c r="Z85">
        <v>4411</v>
      </c>
      <c r="AA85" t="s">
        <v>62</v>
      </c>
      <c r="AB85" t="s">
        <v>63</v>
      </c>
      <c r="AC85">
        <v>32</v>
      </c>
      <c r="AD85">
        <v>71.81</v>
      </c>
      <c r="AE85">
        <f t="shared" si="7"/>
        <v>2297.92</v>
      </c>
      <c r="AF85" s="4">
        <v>0.39</v>
      </c>
      <c r="AG85">
        <f t="shared" si="8"/>
        <v>1401.73</v>
      </c>
      <c r="AH85" s="4">
        <v>0.18</v>
      </c>
      <c r="AI85">
        <f t="shared" si="9"/>
        <v>1654.04</v>
      </c>
      <c r="AJ85" s="4">
        <v>0.1</v>
      </c>
      <c r="AK85">
        <f t="shared" si="10"/>
        <v>165.4</v>
      </c>
      <c r="AL85">
        <f t="shared" si="11"/>
        <v>1819.44</v>
      </c>
      <c r="AM85">
        <f t="shared" si="12"/>
        <v>478.48</v>
      </c>
      <c r="AN85" s="4">
        <f t="shared" si="13"/>
        <v>0.208223088706308</v>
      </c>
      <c r="AO85" t="s">
        <v>64</v>
      </c>
      <c r="AQ85" t="s">
        <v>65</v>
      </c>
      <c r="AS85" t="s">
        <v>126</v>
      </c>
    </row>
    <row r="86" ht="15.75" customHeight="1" spans="1:45">
      <c r="A86" t="s">
        <v>148</v>
      </c>
      <c r="B86" t="s">
        <v>79</v>
      </c>
      <c r="C86" t="s">
        <v>47</v>
      </c>
      <c r="D86" t="s">
        <v>118</v>
      </c>
      <c r="E86" t="s">
        <v>119</v>
      </c>
      <c r="F86" t="s">
        <v>149</v>
      </c>
      <c r="H86" t="s">
        <v>121</v>
      </c>
      <c r="I86" t="s">
        <v>122</v>
      </c>
      <c r="J86" t="s">
        <v>53</v>
      </c>
      <c r="K86" t="s">
        <v>54</v>
      </c>
      <c r="L86" t="s">
        <v>55</v>
      </c>
      <c r="M86" t="s">
        <v>151</v>
      </c>
      <c r="N86" t="s">
        <v>124</v>
      </c>
      <c r="O86" t="s">
        <v>143</v>
      </c>
      <c r="Q86" t="s">
        <v>57</v>
      </c>
      <c r="S86">
        <v>1</v>
      </c>
      <c r="U86">
        <v>80000</v>
      </c>
      <c r="Y86" t="s">
        <v>150</v>
      </c>
      <c r="Z86">
        <v>4411</v>
      </c>
      <c r="AA86" t="s">
        <v>62</v>
      </c>
      <c r="AB86" t="s">
        <v>63</v>
      </c>
      <c r="AC86">
        <v>32</v>
      </c>
      <c r="AD86">
        <v>88.31</v>
      </c>
      <c r="AE86">
        <f t="shared" si="7"/>
        <v>2825.92</v>
      </c>
      <c r="AF86" s="4">
        <v>0.39</v>
      </c>
      <c r="AG86">
        <f t="shared" si="8"/>
        <v>1723.81</v>
      </c>
      <c r="AH86" s="4">
        <v>0.18</v>
      </c>
      <c r="AI86">
        <f t="shared" si="9"/>
        <v>2034.1</v>
      </c>
      <c r="AJ86" s="4">
        <v>0.1</v>
      </c>
      <c r="AK86">
        <f t="shared" si="10"/>
        <v>203.41</v>
      </c>
      <c r="AL86">
        <f t="shared" si="11"/>
        <v>2237.51</v>
      </c>
      <c r="AM86">
        <f t="shared" si="12"/>
        <v>588.41</v>
      </c>
      <c r="AN86" s="4">
        <f t="shared" si="13"/>
        <v>0.208218916317518</v>
      </c>
      <c r="AO86" t="s">
        <v>64</v>
      </c>
      <c r="AQ86" t="s">
        <v>65</v>
      </c>
      <c r="AS86" t="s">
        <v>126</v>
      </c>
    </row>
    <row r="87" ht="15.75" customHeight="1" spans="1:45">
      <c r="A87" t="s">
        <v>148</v>
      </c>
      <c r="B87" t="s">
        <v>83</v>
      </c>
      <c r="C87" t="s">
        <v>47</v>
      </c>
      <c r="D87" t="s">
        <v>118</v>
      </c>
      <c r="E87" t="s">
        <v>119</v>
      </c>
      <c r="F87" t="s">
        <v>149</v>
      </c>
      <c r="H87" t="s">
        <v>121</v>
      </c>
      <c r="I87" t="s">
        <v>122</v>
      </c>
      <c r="J87" t="s">
        <v>53</v>
      </c>
      <c r="K87" t="s">
        <v>54</v>
      </c>
      <c r="L87" t="s">
        <v>55</v>
      </c>
      <c r="M87" t="s">
        <v>139</v>
      </c>
      <c r="N87" t="s">
        <v>124</v>
      </c>
      <c r="O87" t="s">
        <v>143</v>
      </c>
      <c r="Q87" t="s">
        <v>57</v>
      </c>
      <c r="S87">
        <v>1</v>
      </c>
      <c r="U87">
        <v>80000</v>
      </c>
      <c r="Y87" t="s">
        <v>150</v>
      </c>
      <c r="Z87">
        <v>4411</v>
      </c>
      <c r="AA87" t="s">
        <v>62</v>
      </c>
      <c r="AB87" t="s">
        <v>63</v>
      </c>
      <c r="AC87">
        <v>32</v>
      </c>
      <c r="AD87">
        <v>90.32</v>
      </c>
      <c r="AE87">
        <f t="shared" si="7"/>
        <v>2890.24</v>
      </c>
      <c r="AF87" s="4">
        <v>0.39</v>
      </c>
      <c r="AG87">
        <f t="shared" si="8"/>
        <v>1763.05</v>
      </c>
      <c r="AH87" s="4">
        <v>0.18</v>
      </c>
      <c r="AI87">
        <f t="shared" si="9"/>
        <v>2080.4</v>
      </c>
      <c r="AJ87" s="4">
        <v>0.1</v>
      </c>
      <c r="AK87">
        <f t="shared" si="10"/>
        <v>208.04</v>
      </c>
      <c r="AL87">
        <f t="shared" si="11"/>
        <v>2288.44</v>
      </c>
      <c r="AM87">
        <f t="shared" si="12"/>
        <v>601.8</v>
      </c>
      <c r="AN87" s="4">
        <f t="shared" si="13"/>
        <v>0.208218002657219</v>
      </c>
      <c r="AO87" t="s">
        <v>64</v>
      </c>
      <c r="AQ87" t="s">
        <v>65</v>
      </c>
      <c r="AS87" t="s">
        <v>126</v>
      </c>
    </row>
    <row r="88" ht="15.75" customHeight="1" spans="1:45">
      <c r="A88" t="s">
        <v>148</v>
      </c>
      <c r="B88" t="s">
        <v>131</v>
      </c>
      <c r="C88" t="s">
        <v>47</v>
      </c>
      <c r="D88" t="s">
        <v>118</v>
      </c>
      <c r="E88" t="s">
        <v>119</v>
      </c>
      <c r="F88" t="s">
        <v>149</v>
      </c>
      <c r="H88" t="s">
        <v>121</v>
      </c>
      <c r="I88" t="s">
        <v>122</v>
      </c>
      <c r="J88" t="s">
        <v>53</v>
      </c>
      <c r="K88" t="s">
        <v>54</v>
      </c>
      <c r="L88" t="s">
        <v>55</v>
      </c>
      <c r="M88" t="s">
        <v>92</v>
      </c>
      <c r="N88" t="s">
        <v>124</v>
      </c>
      <c r="O88" t="s">
        <v>143</v>
      </c>
      <c r="Q88" t="s">
        <v>57</v>
      </c>
      <c r="S88">
        <v>1</v>
      </c>
      <c r="U88">
        <v>80000</v>
      </c>
      <c r="Y88" t="s">
        <v>150</v>
      </c>
      <c r="Z88">
        <v>4411</v>
      </c>
      <c r="AA88" t="s">
        <v>62</v>
      </c>
      <c r="AB88" t="s">
        <v>63</v>
      </c>
      <c r="AC88">
        <v>32</v>
      </c>
      <c r="AD88" s="5">
        <v>97.4</v>
      </c>
      <c r="AE88">
        <f t="shared" si="7"/>
        <v>3116.8</v>
      </c>
      <c r="AF88" s="4">
        <v>0.39</v>
      </c>
      <c r="AG88">
        <f t="shared" si="8"/>
        <v>1901.25</v>
      </c>
      <c r="AH88" s="4">
        <v>0.18</v>
      </c>
      <c r="AI88">
        <f t="shared" si="9"/>
        <v>2243.48</v>
      </c>
      <c r="AJ88" s="4">
        <v>0.1</v>
      </c>
      <c r="AK88">
        <f t="shared" si="10"/>
        <v>224.35</v>
      </c>
      <c r="AL88">
        <f t="shared" si="11"/>
        <v>2467.83</v>
      </c>
      <c r="AM88">
        <f t="shared" si="12"/>
        <v>648.97</v>
      </c>
      <c r="AN88" s="4">
        <f t="shared" si="13"/>
        <v>0.208216760780288</v>
      </c>
      <c r="AO88" t="s">
        <v>64</v>
      </c>
      <c r="AQ88" t="s">
        <v>65</v>
      </c>
      <c r="AS88" t="s">
        <v>126</v>
      </c>
    </row>
    <row r="89" ht="15.75" customHeight="1" spans="1:45">
      <c r="A89" t="s">
        <v>148</v>
      </c>
      <c r="B89" t="s">
        <v>133</v>
      </c>
      <c r="C89" t="s">
        <v>47</v>
      </c>
      <c r="D89" t="s">
        <v>118</v>
      </c>
      <c r="E89" t="s">
        <v>119</v>
      </c>
      <c r="F89" t="s">
        <v>149</v>
      </c>
      <c r="H89" t="s">
        <v>121</v>
      </c>
      <c r="I89" t="s">
        <v>122</v>
      </c>
      <c r="J89" t="s">
        <v>53</v>
      </c>
      <c r="K89" t="s">
        <v>54</v>
      </c>
      <c r="L89" t="s">
        <v>55</v>
      </c>
      <c r="M89" t="s">
        <v>134</v>
      </c>
      <c r="N89" t="s">
        <v>124</v>
      </c>
      <c r="O89" t="s">
        <v>143</v>
      </c>
      <c r="Q89" t="s">
        <v>57</v>
      </c>
      <c r="S89">
        <v>1</v>
      </c>
      <c r="U89">
        <v>80000</v>
      </c>
      <c r="Y89" t="s">
        <v>150</v>
      </c>
      <c r="Z89">
        <v>4411</v>
      </c>
      <c r="AA89" t="s">
        <v>62</v>
      </c>
      <c r="AB89" t="s">
        <v>63</v>
      </c>
      <c r="AC89">
        <v>32</v>
      </c>
      <c r="AD89">
        <v>61.34</v>
      </c>
      <c r="AE89">
        <f t="shared" si="7"/>
        <v>1962.88</v>
      </c>
      <c r="AF89" s="4">
        <v>0.39</v>
      </c>
      <c r="AG89">
        <f t="shared" si="8"/>
        <v>1197.36</v>
      </c>
      <c r="AH89" s="4">
        <v>0.18</v>
      </c>
      <c r="AI89">
        <f t="shared" si="9"/>
        <v>1412.88</v>
      </c>
      <c r="AJ89" s="4">
        <v>0.1</v>
      </c>
      <c r="AK89">
        <f t="shared" si="10"/>
        <v>141.29</v>
      </c>
      <c r="AL89">
        <f t="shared" si="11"/>
        <v>1554.17</v>
      </c>
      <c r="AM89">
        <f t="shared" si="12"/>
        <v>408.71</v>
      </c>
      <c r="AN89" s="4">
        <f t="shared" si="13"/>
        <v>0.20821955493968</v>
      </c>
      <c r="AO89" t="s">
        <v>64</v>
      </c>
      <c r="AQ89" t="s">
        <v>65</v>
      </c>
      <c r="AS89" t="s">
        <v>126</v>
      </c>
    </row>
    <row r="90" ht="15.75" customHeight="1" spans="1:45">
      <c r="A90" t="s">
        <v>148</v>
      </c>
      <c r="B90" t="s">
        <v>135</v>
      </c>
      <c r="C90" t="s">
        <v>47</v>
      </c>
      <c r="D90" t="s">
        <v>118</v>
      </c>
      <c r="E90" t="s">
        <v>119</v>
      </c>
      <c r="F90" t="s">
        <v>149</v>
      </c>
      <c r="H90" t="s">
        <v>121</v>
      </c>
      <c r="I90" t="s">
        <v>122</v>
      </c>
      <c r="J90" t="s">
        <v>53</v>
      </c>
      <c r="K90" t="s">
        <v>54</v>
      </c>
      <c r="L90" t="s">
        <v>55</v>
      </c>
      <c r="M90" t="s">
        <v>136</v>
      </c>
      <c r="N90" t="s">
        <v>124</v>
      </c>
      <c r="O90" t="s">
        <v>143</v>
      </c>
      <c r="Q90" t="s">
        <v>57</v>
      </c>
      <c r="S90">
        <v>1</v>
      </c>
      <c r="U90">
        <v>80000</v>
      </c>
      <c r="Y90" t="s">
        <v>150</v>
      </c>
      <c r="Z90">
        <v>4411</v>
      </c>
      <c r="AA90" t="s">
        <v>62</v>
      </c>
      <c r="AB90" t="s">
        <v>63</v>
      </c>
      <c r="AC90">
        <v>32</v>
      </c>
      <c r="AD90" s="5">
        <v>81.9</v>
      </c>
      <c r="AE90">
        <f t="shared" si="7"/>
        <v>2620.8</v>
      </c>
      <c r="AF90" s="4">
        <v>0.39</v>
      </c>
      <c r="AG90">
        <f t="shared" si="8"/>
        <v>1598.69</v>
      </c>
      <c r="AH90" s="4">
        <v>0.18</v>
      </c>
      <c r="AI90">
        <f t="shared" si="9"/>
        <v>1886.45</v>
      </c>
      <c r="AJ90" s="4">
        <v>0.1</v>
      </c>
      <c r="AK90">
        <f t="shared" si="10"/>
        <v>188.65</v>
      </c>
      <c r="AL90">
        <f t="shared" si="11"/>
        <v>2075.1</v>
      </c>
      <c r="AM90">
        <f t="shared" si="12"/>
        <v>545.7</v>
      </c>
      <c r="AN90" s="4">
        <f t="shared" si="13"/>
        <v>0.208218864468865</v>
      </c>
      <c r="AO90" t="s">
        <v>64</v>
      </c>
      <c r="AQ90" t="s">
        <v>65</v>
      </c>
      <c r="AS90" t="s">
        <v>126</v>
      </c>
    </row>
    <row r="91" ht="15.75" customHeight="1" spans="1:45">
      <c r="A91" t="s">
        <v>148</v>
      </c>
      <c r="B91" t="s">
        <v>137</v>
      </c>
      <c r="C91" t="s">
        <v>47</v>
      </c>
      <c r="D91" t="s">
        <v>118</v>
      </c>
      <c r="E91" t="s">
        <v>119</v>
      </c>
      <c r="F91" t="s">
        <v>149</v>
      </c>
      <c r="H91" t="s">
        <v>121</v>
      </c>
      <c r="I91" t="s">
        <v>122</v>
      </c>
      <c r="J91" t="s">
        <v>53</v>
      </c>
      <c r="K91" t="s">
        <v>54</v>
      </c>
      <c r="L91" t="s">
        <v>55</v>
      </c>
      <c r="M91" t="s">
        <v>139</v>
      </c>
      <c r="N91" t="s">
        <v>124</v>
      </c>
      <c r="O91" t="s">
        <v>143</v>
      </c>
      <c r="Q91" t="s">
        <v>57</v>
      </c>
      <c r="S91">
        <v>1</v>
      </c>
      <c r="U91">
        <v>80000</v>
      </c>
      <c r="Y91" t="s">
        <v>150</v>
      </c>
      <c r="Z91">
        <v>4411</v>
      </c>
      <c r="AA91" t="s">
        <v>62</v>
      </c>
      <c r="AB91" t="s">
        <v>63</v>
      </c>
      <c r="AC91">
        <v>32</v>
      </c>
      <c r="AD91">
        <v>109.87</v>
      </c>
      <c r="AE91">
        <f t="shared" si="7"/>
        <v>3515.84</v>
      </c>
      <c r="AF91" s="4">
        <v>0.39</v>
      </c>
      <c r="AG91">
        <f t="shared" si="8"/>
        <v>2144.66</v>
      </c>
      <c r="AH91" s="4">
        <v>0.18</v>
      </c>
      <c r="AI91">
        <f t="shared" si="9"/>
        <v>2530.7</v>
      </c>
      <c r="AJ91" s="4">
        <v>0.1</v>
      </c>
      <c r="AK91">
        <f t="shared" si="10"/>
        <v>253.07</v>
      </c>
      <c r="AL91">
        <f t="shared" si="11"/>
        <v>2783.77</v>
      </c>
      <c r="AM91">
        <f t="shared" si="12"/>
        <v>732.07</v>
      </c>
      <c r="AN91" s="4">
        <f t="shared" si="13"/>
        <v>0.20822051060344</v>
      </c>
      <c r="AO91" t="s">
        <v>64</v>
      </c>
      <c r="AQ91" t="s">
        <v>65</v>
      </c>
      <c r="AS91" t="s">
        <v>126</v>
      </c>
    </row>
    <row r="92" ht="15.75" customHeight="1" spans="1:45">
      <c r="A92" t="s">
        <v>148</v>
      </c>
      <c r="B92" t="s">
        <v>138</v>
      </c>
      <c r="C92" t="s">
        <v>47</v>
      </c>
      <c r="D92" t="s">
        <v>118</v>
      </c>
      <c r="E92" t="s">
        <v>119</v>
      </c>
      <c r="F92" t="s">
        <v>149</v>
      </c>
      <c r="H92" t="s">
        <v>121</v>
      </c>
      <c r="I92" t="s">
        <v>122</v>
      </c>
      <c r="J92" t="s">
        <v>53</v>
      </c>
      <c r="K92" t="s">
        <v>54</v>
      </c>
      <c r="L92" t="s">
        <v>55</v>
      </c>
      <c r="M92" t="s">
        <v>92</v>
      </c>
      <c r="N92" t="s">
        <v>124</v>
      </c>
      <c r="O92" t="s">
        <v>143</v>
      </c>
      <c r="Q92" t="s">
        <v>57</v>
      </c>
      <c r="S92">
        <v>1</v>
      </c>
      <c r="U92">
        <v>80000</v>
      </c>
      <c r="Y92" t="s">
        <v>150</v>
      </c>
      <c r="Z92">
        <v>4411</v>
      </c>
      <c r="AA92" t="s">
        <v>62</v>
      </c>
      <c r="AB92" t="s">
        <v>63</v>
      </c>
      <c r="AC92">
        <v>32</v>
      </c>
      <c r="AD92">
        <v>119</v>
      </c>
      <c r="AE92">
        <f t="shared" si="7"/>
        <v>3808</v>
      </c>
      <c r="AF92" s="4">
        <v>0.39</v>
      </c>
      <c r="AG92">
        <f t="shared" si="8"/>
        <v>2322.88</v>
      </c>
      <c r="AH92" s="4">
        <v>0.18</v>
      </c>
      <c r="AI92">
        <f t="shared" si="9"/>
        <v>2741</v>
      </c>
      <c r="AJ92" s="4">
        <v>0.1</v>
      </c>
      <c r="AK92">
        <f t="shared" si="10"/>
        <v>274.1</v>
      </c>
      <c r="AL92">
        <f t="shared" si="11"/>
        <v>3015.1</v>
      </c>
      <c r="AM92">
        <f t="shared" si="12"/>
        <v>792.9</v>
      </c>
      <c r="AN92" s="4">
        <f t="shared" si="13"/>
        <v>0.208219537815126</v>
      </c>
      <c r="AO92" t="s">
        <v>64</v>
      </c>
      <c r="AQ92" t="s">
        <v>65</v>
      </c>
      <c r="AS92" t="s">
        <v>126</v>
      </c>
    </row>
    <row r="93" ht="15.75" customHeight="1" spans="1:45">
      <c r="A93" t="s">
        <v>152</v>
      </c>
      <c r="B93" t="s">
        <v>46</v>
      </c>
      <c r="C93" t="s">
        <v>47</v>
      </c>
      <c r="D93" t="s">
        <v>118</v>
      </c>
      <c r="E93" t="s">
        <v>119</v>
      </c>
      <c r="F93" t="s">
        <v>153</v>
      </c>
      <c r="H93" t="s">
        <v>121</v>
      </c>
      <c r="I93" t="s">
        <v>122</v>
      </c>
      <c r="J93" t="s">
        <v>53</v>
      </c>
      <c r="K93" t="s">
        <v>54</v>
      </c>
      <c r="L93" t="s">
        <v>55</v>
      </c>
      <c r="M93" t="s">
        <v>139</v>
      </c>
      <c r="N93" t="s">
        <v>124</v>
      </c>
      <c r="O93" t="s">
        <v>143</v>
      </c>
      <c r="Q93" t="s">
        <v>57</v>
      </c>
      <c r="S93">
        <v>1</v>
      </c>
      <c r="U93">
        <v>80000</v>
      </c>
      <c r="Y93" t="s">
        <v>154</v>
      </c>
      <c r="Z93">
        <v>4411</v>
      </c>
      <c r="AA93" t="s">
        <v>62</v>
      </c>
      <c r="AB93" t="s">
        <v>63</v>
      </c>
      <c r="AC93">
        <v>32</v>
      </c>
      <c r="AD93">
        <v>102.17</v>
      </c>
      <c r="AE93">
        <f t="shared" si="7"/>
        <v>3269.44</v>
      </c>
      <c r="AF93" s="4">
        <v>0.39</v>
      </c>
      <c r="AG93">
        <f t="shared" si="8"/>
        <v>1994.36</v>
      </c>
      <c r="AH93" s="4">
        <v>0.18</v>
      </c>
      <c r="AI93">
        <f t="shared" si="9"/>
        <v>2353.34</v>
      </c>
      <c r="AJ93" s="4">
        <v>0.1</v>
      </c>
      <c r="AK93">
        <f t="shared" si="10"/>
        <v>235.33</v>
      </c>
      <c r="AL93">
        <f t="shared" si="11"/>
        <v>2588.67</v>
      </c>
      <c r="AM93">
        <f t="shared" si="12"/>
        <v>680.77</v>
      </c>
      <c r="AN93" s="4">
        <f t="shared" si="13"/>
        <v>0.20822220319076</v>
      </c>
      <c r="AO93" t="s">
        <v>64</v>
      </c>
      <c r="AQ93" t="s">
        <v>65</v>
      </c>
      <c r="AS93" t="s">
        <v>126</v>
      </c>
    </row>
    <row r="94" ht="15.75" customHeight="1" spans="1:45">
      <c r="A94" t="s">
        <v>155</v>
      </c>
      <c r="B94" t="s">
        <v>46</v>
      </c>
      <c r="C94" t="s">
        <v>47</v>
      </c>
      <c r="D94" t="s">
        <v>156</v>
      </c>
      <c r="E94" t="s">
        <v>119</v>
      </c>
      <c r="F94" t="s">
        <v>120</v>
      </c>
      <c r="H94" t="s">
        <v>121</v>
      </c>
      <c r="I94" t="s">
        <v>122</v>
      </c>
      <c r="J94" t="s">
        <v>53</v>
      </c>
      <c r="K94" t="s">
        <v>54</v>
      </c>
      <c r="L94" t="s">
        <v>55</v>
      </c>
      <c r="M94" t="s">
        <v>123</v>
      </c>
      <c r="N94" t="s">
        <v>124</v>
      </c>
      <c r="O94" t="s">
        <v>120</v>
      </c>
      <c r="Q94" t="s">
        <v>57</v>
      </c>
      <c r="S94">
        <v>1</v>
      </c>
      <c r="U94">
        <v>80000</v>
      </c>
      <c r="W94" t="s">
        <v>157</v>
      </c>
      <c r="X94" t="s">
        <v>74</v>
      </c>
      <c r="Y94" t="s">
        <v>158</v>
      </c>
      <c r="Z94">
        <v>4411</v>
      </c>
      <c r="AA94" t="s">
        <v>62</v>
      </c>
      <c r="AB94" t="s">
        <v>63</v>
      </c>
      <c r="AC94">
        <v>32</v>
      </c>
      <c r="AD94">
        <v>41.29</v>
      </c>
      <c r="AE94">
        <f t="shared" si="7"/>
        <v>1321.28</v>
      </c>
      <c r="AF94" s="4">
        <v>0.39</v>
      </c>
      <c r="AG94">
        <f t="shared" si="8"/>
        <v>805.98</v>
      </c>
      <c r="AH94" s="4">
        <v>0.18</v>
      </c>
      <c r="AI94">
        <f t="shared" si="9"/>
        <v>951.06</v>
      </c>
      <c r="AJ94" s="4">
        <v>0.1</v>
      </c>
      <c r="AK94">
        <f t="shared" si="10"/>
        <v>95.11</v>
      </c>
      <c r="AL94">
        <f t="shared" si="11"/>
        <v>1046.17</v>
      </c>
      <c r="AM94">
        <f t="shared" si="12"/>
        <v>275.11</v>
      </c>
      <c r="AN94" s="4">
        <f t="shared" si="13"/>
        <v>0.208214761443449</v>
      </c>
      <c r="AO94" t="s">
        <v>64</v>
      </c>
      <c r="AQ94" t="s">
        <v>65</v>
      </c>
      <c r="AS94" t="s">
        <v>159</v>
      </c>
    </row>
    <row r="95" ht="15.75" customHeight="1" spans="1:45">
      <c r="A95" t="s">
        <v>155</v>
      </c>
      <c r="B95" t="s">
        <v>67</v>
      </c>
      <c r="C95" t="s">
        <v>47</v>
      </c>
      <c r="D95" t="s">
        <v>156</v>
      </c>
      <c r="E95" t="s">
        <v>119</v>
      </c>
      <c r="F95" t="s">
        <v>120</v>
      </c>
      <c r="H95" t="s">
        <v>121</v>
      </c>
      <c r="I95" t="s">
        <v>122</v>
      </c>
      <c r="J95" t="s">
        <v>53</v>
      </c>
      <c r="K95" t="s">
        <v>54</v>
      </c>
      <c r="L95" t="s">
        <v>55</v>
      </c>
      <c r="M95" t="s">
        <v>90</v>
      </c>
      <c r="N95" t="s">
        <v>124</v>
      </c>
      <c r="O95" t="s">
        <v>120</v>
      </c>
      <c r="Q95" t="s">
        <v>57</v>
      </c>
      <c r="S95">
        <v>1</v>
      </c>
      <c r="U95">
        <v>80000</v>
      </c>
      <c r="X95" t="s">
        <v>78</v>
      </c>
      <c r="Y95" t="s">
        <v>158</v>
      </c>
      <c r="Z95">
        <v>4411</v>
      </c>
      <c r="AA95" t="s">
        <v>62</v>
      </c>
      <c r="AB95" t="s">
        <v>63</v>
      </c>
      <c r="AC95">
        <v>32</v>
      </c>
      <c r="AD95">
        <v>55.66</v>
      </c>
      <c r="AE95">
        <f t="shared" si="7"/>
        <v>1781.12</v>
      </c>
      <c r="AF95" s="4">
        <v>0.39</v>
      </c>
      <c r="AG95">
        <f t="shared" si="8"/>
        <v>1086.48</v>
      </c>
      <c r="AH95" s="4">
        <v>0.18</v>
      </c>
      <c r="AI95">
        <f t="shared" si="9"/>
        <v>1282.05</v>
      </c>
      <c r="AJ95" s="4">
        <v>0.1</v>
      </c>
      <c r="AK95">
        <f t="shared" si="10"/>
        <v>128.21</v>
      </c>
      <c r="AL95">
        <f t="shared" si="11"/>
        <v>1410.26</v>
      </c>
      <c r="AM95">
        <f t="shared" si="12"/>
        <v>370.86</v>
      </c>
      <c r="AN95" s="4">
        <f t="shared" si="13"/>
        <v>0.20821730147323</v>
      </c>
      <c r="AO95" t="s">
        <v>64</v>
      </c>
      <c r="AQ95" t="s">
        <v>65</v>
      </c>
      <c r="AS95" t="s">
        <v>159</v>
      </c>
    </row>
    <row r="96" ht="15.75" customHeight="1" spans="1:45">
      <c r="A96" t="s">
        <v>155</v>
      </c>
      <c r="B96" t="s">
        <v>71</v>
      </c>
      <c r="C96" t="s">
        <v>47</v>
      </c>
      <c r="D96" t="s">
        <v>156</v>
      </c>
      <c r="E96" t="s">
        <v>119</v>
      </c>
      <c r="F96" t="s">
        <v>120</v>
      </c>
      <c r="H96" t="s">
        <v>121</v>
      </c>
      <c r="I96" t="s">
        <v>122</v>
      </c>
      <c r="J96" t="s">
        <v>53</v>
      </c>
      <c r="K96" t="s">
        <v>54</v>
      </c>
      <c r="L96" t="s">
        <v>55</v>
      </c>
      <c r="M96" t="s">
        <v>76</v>
      </c>
      <c r="N96" t="s">
        <v>124</v>
      </c>
      <c r="O96" t="s">
        <v>120</v>
      </c>
      <c r="Q96" t="s">
        <v>57</v>
      </c>
      <c r="S96">
        <v>1</v>
      </c>
      <c r="U96">
        <v>80000</v>
      </c>
      <c r="Y96" t="s">
        <v>158</v>
      </c>
      <c r="Z96">
        <v>4411</v>
      </c>
      <c r="AA96" t="s">
        <v>62</v>
      </c>
      <c r="AB96" t="s">
        <v>63</v>
      </c>
      <c r="AC96">
        <v>32</v>
      </c>
      <c r="AD96">
        <v>84.72</v>
      </c>
      <c r="AE96">
        <f t="shared" si="7"/>
        <v>2711.04</v>
      </c>
      <c r="AF96" s="4">
        <v>0.39</v>
      </c>
      <c r="AG96">
        <f t="shared" si="8"/>
        <v>1653.73</v>
      </c>
      <c r="AH96" s="4">
        <v>0.18</v>
      </c>
      <c r="AI96">
        <f t="shared" si="9"/>
        <v>1951.4</v>
      </c>
      <c r="AJ96" s="4">
        <v>0.1</v>
      </c>
      <c r="AK96">
        <f t="shared" si="10"/>
        <v>195.14</v>
      </c>
      <c r="AL96">
        <f t="shared" si="11"/>
        <v>2146.54</v>
      </c>
      <c r="AM96">
        <f t="shared" si="12"/>
        <v>564.5</v>
      </c>
      <c r="AN96" s="4">
        <f t="shared" si="13"/>
        <v>0.208222674693107</v>
      </c>
      <c r="AO96" t="s">
        <v>64</v>
      </c>
      <c r="AQ96" t="s">
        <v>65</v>
      </c>
      <c r="AS96" t="s">
        <v>159</v>
      </c>
    </row>
    <row r="97" ht="15.75" customHeight="1" spans="1:45">
      <c r="A97" t="s">
        <v>155</v>
      </c>
      <c r="B97" t="s">
        <v>75</v>
      </c>
      <c r="C97" t="s">
        <v>47</v>
      </c>
      <c r="D97" t="s">
        <v>156</v>
      </c>
      <c r="E97" t="s">
        <v>119</v>
      </c>
      <c r="F97" t="s">
        <v>120</v>
      </c>
      <c r="H97" t="s">
        <v>121</v>
      </c>
      <c r="I97" t="s">
        <v>122</v>
      </c>
      <c r="J97" t="s">
        <v>53</v>
      </c>
      <c r="K97" t="s">
        <v>54</v>
      </c>
      <c r="L97" t="s">
        <v>55</v>
      </c>
      <c r="M97" t="s">
        <v>160</v>
      </c>
      <c r="N97" t="s">
        <v>124</v>
      </c>
      <c r="O97" t="s">
        <v>120</v>
      </c>
      <c r="Q97" t="s">
        <v>57</v>
      </c>
      <c r="S97">
        <v>1</v>
      </c>
      <c r="U97">
        <v>80000</v>
      </c>
      <c r="Y97" t="s">
        <v>158</v>
      </c>
      <c r="Z97">
        <v>4411</v>
      </c>
      <c r="AA97" t="s">
        <v>62</v>
      </c>
      <c r="AB97" t="s">
        <v>63</v>
      </c>
      <c r="AC97">
        <v>32</v>
      </c>
      <c r="AD97">
        <v>107.47</v>
      </c>
      <c r="AE97">
        <f t="shared" si="7"/>
        <v>3439.04</v>
      </c>
      <c r="AF97" s="4">
        <v>0.39</v>
      </c>
      <c r="AG97">
        <f t="shared" si="8"/>
        <v>2097.81</v>
      </c>
      <c r="AH97" s="4">
        <v>0.18</v>
      </c>
      <c r="AI97">
        <f t="shared" si="9"/>
        <v>2475.42</v>
      </c>
      <c r="AJ97" s="4">
        <v>0.1</v>
      </c>
      <c r="AK97">
        <f t="shared" si="10"/>
        <v>247.54</v>
      </c>
      <c r="AL97">
        <f t="shared" si="11"/>
        <v>2722.96</v>
      </c>
      <c r="AM97">
        <f t="shared" si="12"/>
        <v>716.08</v>
      </c>
      <c r="AN97" s="4">
        <f t="shared" si="13"/>
        <v>0.208220898855495</v>
      </c>
      <c r="AO97" t="s">
        <v>64</v>
      </c>
      <c r="AQ97" t="s">
        <v>65</v>
      </c>
      <c r="AS97" t="s">
        <v>159</v>
      </c>
    </row>
    <row r="98" ht="15.75" customHeight="1" spans="1:45">
      <c r="A98" t="s">
        <v>155</v>
      </c>
      <c r="B98" t="s">
        <v>79</v>
      </c>
      <c r="C98" t="s">
        <v>47</v>
      </c>
      <c r="D98" t="s">
        <v>156</v>
      </c>
      <c r="E98" t="s">
        <v>119</v>
      </c>
      <c r="F98" t="s">
        <v>120</v>
      </c>
      <c r="H98" t="s">
        <v>121</v>
      </c>
      <c r="I98" t="s">
        <v>122</v>
      </c>
      <c r="J98" t="s">
        <v>53</v>
      </c>
      <c r="K98" t="s">
        <v>54</v>
      </c>
      <c r="L98" t="s">
        <v>55</v>
      </c>
      <c r="M98" t="s">
        <v>161</v>
      </c>
      <c r="N98" t="s">
        <v>124</v>
      </c>
      <c r="O98" t="s">
        <v>120</v>
      </c>
      <c r="Q98" t="s">
        <v>57</v>
      </c>
      <c r="S98">
        <v>1</v>
      </c>
      <c r="U98">
        <v>80000</v>
      </c>
      <c r="Y98" t="s">
        <v>158</v>
      </c>
      <c r="Z98">
        <v>4411</v>
      </c>
      <c r="AA98" t="s">
        <v>62</v>
      </c>
      <c r="AB98" t="s">
        <v>63</v>
      </c>
      <c r="AC98">
        <v>32</v>
      </c>
      <c r="AD98">
        <v>112.48</v>
      </c>
      <c r="AE98">
        <f t="shared" si="7"/>
        <v>3599.36</v>
      </c>
      <c r="AF98" s="4">
        <v>0.39</v>
      </c>
      <c r="AG98">
        <f t="shared" si="8"/>
        <v>2195.61</v>
      </c>
      <c r="AH98" s="4">
        <v>0.18</v>
      </c>
      <c r="AI98">
        <f t="shared" si="9"/>
        <v>2590.82</v>
      </c>
      <c r="AJ98" s="4">
        <v>0.1</v>
      </c>
      <c r="AK98">
        <f t="shared" si="10"/>
        <v>259.08</v>
      </c>
      <c r="AL98">
        <f t="shared" si="11"/>
        <v>2849.9</v>
      </c>
      <c r="AM98">
        <f t="shared" si="12"/>
        <v>749.46</v>
      </c>
      <c r="AN98" s="4">
        <f t="shared" si="13"/>
        <v>0.208220350284495</v>
      </c>
      <c r="AO98" t="s">
        <v>64</v>
      </c>
      <c r="AQ98" t="s">
        <v>65</v>
      </c>
      <c r="AS98" t="s">
        <v>159</v>
      </c>
    </row>
    <row r="99" ht="15.75" customHeight="1" spans="1:45">
      <c r="A99" t="s">
        <v>155</v>
      </c>
      <c r="B99" t="s">
        <v>83</v>
      </c>
      <c r="C99" t="s">
        <v>47</v>
      </c>
      <c r="D99" t="s">
        <v>156</v>
      </c>
      <c r="E99" t="s">
        <v>119</v>
      </c>
      <c r="F99" t="s">
        <v>120</v>
      </c>
      <c r="H99" t="s">
        <v>121</v>
      </c>
      <c r="I99" t="s">
        <v>122</v>
      </c>
      <c r="J99" t="s">
        <v>53</v>
      </c>
      <c r="K99" t="s">
        <v>54</v>
      </c>
      <c r="L99" t="s">
        <v>55</v>
      </c>
      <c r="M99" t="s">
        <v>92</v>
      </c>
      <c r="N99" t="s">
        <v>124</v>
      </c>
      <c r="O99" t="s">
        <v>120</v>
      </c>
      <c r="Q99" t="s">
        <v>57</v>
      </c>
      <c r="S99">
        <v>1</v>
      </c>
      <c r="U99">
        <v>80000</v>
      </c>
      <c r="Y99" t="s">
        <v>158</v>
      </c>
      <c r="Z99">
        <v>4411</v>
      </c>
      <c r="AA99" t="s">
        <v>62</v>
      </c>
      <c r="AB99" t="s">
        <v>63</v>
      </c>
      <c r="AC99">
        <v>32</v>
      </c>
      <c r="AD99">
        <v>126.09</v>
      </c>
      <c r="AE99">
        <f t="shared" si="7"/>
        <v>4034.88</v>
      </c>
      <c r="AF99" s="4">
        <v>0.39</v>
      </c>
      <c r="AG99">
        <f t="shared" si="8"/>
        <v>2461.28</v>
      </c>
      <c r="AH99" s="4">
        <v>0.18</v>
      </c>
      <c r="AI99">
        <f t="shared" si="9"/>
        <v>2904.31</v>
      </c>
      <c r="AJ99" s="4">
        <v>0.1</v>
      </c>
      <c r="AK99">
        <f t="shared" si="10"/>
        <v>290.43</v>
      </c>
      <c r="AL99">
        <f t="shared" si="11"/>
        <v>3194.74</v>
      </c>
      <c r="AM99">
        <f t="shared" si="12"/>
        <v>840.14</v>
      </c>
      <c r="AN99" s="4">
        <f t="shared" si="13"/>
        <v>0.20821932746451</v>
      </c>
      <c r="AO99" t="s">
        <v>64</v>
      </c>
      <c r="AQ99" t="s">
        <v>65</v>
      </c>
      <c r="AS99" t="s">
        <v>159</v>
      </c>
    </row>
    <row r="100" ht="15.75" customHeight="1" spans="1:45">
      <c r="A100" t="s">
        <v>162</v>
      </c>
      <c r="B100" t="s">
        <v>46</v>
      </c>
      <c r="C100" t="s">
        <v>47</v>
      </c>
      <c r="D100" t="s">
        <v>156</v>
      </c>
      <c r="E100" t="s">
        <v>119</v>
      </c>
      <c r="F100" t="s">
        <v>142</v>
      </c>
      <c r="H100" t="s">
        <v>121</v>
      </c>
      <c r="I100" t="s">
        <v>122</v>
      </c>
      <c r="J100" t="s">
        <v>53</v>
      </c>
      <c r="K100" t="s">
        <v>54</v>
      </c>
      <c r="L100" t="s">
        <v>55</v>
      </c>
      <c r="M100" t="s">
        <v>123</v>
      </c>
      <c r="N100" t="s">
        <v>124</v>
      </c>
      <c r="O100" t="s">
        <v>163</v>
      </c>
      <c r="Q100" t="s">
        <v>57</v>
      </c>
      <c r="S100">
        <v>1</v>
      </c>
      <c r="U100">
        <v>80000</v>
      </c>
      <c r="Y100" t="s">
        <v>164</v>
      </c>
      <c r="Z100">
        <v>4411</v>
      </c>
      <c r="AA100" t="s">
        <v>62</v>
      </c>
      <c r="AB100" t="s">
        <v>63</v>
      </c>
      <c r="AC100">
        <v>32</v>
      </c>
      <c r="AD100">
        <v>66.32</v>
      </c>
      <c r="AE100">
        <f t="shared" si="7"/>
        <v>2122.24</v>
      </c>
      <c r="AF100" s="4">
        <v>0.39</v>
      </c>
      <c r="AG100">
        <f t="shared" si="8"/>
        <v>1294.57</v>
      </c>
      <c r="AH100" s="4">
        <v>0.18</v>
      </c>
      <c r="AI100">
        <f t="shared" si="9"/>
        <v>1527.59</v>
      </c>
      <c r="AJ100" s="4">
        <v>0.1</v>
      </c>
      <c r="AK100">
        <f t="shared" si="10"/>
        <v>152.76</v>
      </c>
      <c r="AL100">
        <f t="shared" si="11"/>
        <v>1680.35</v>
      </c>
      <c r="AM100">
        <f t="shared" si="12"/>
        <v>441.89</v>
      </c>
      <c r="AN100" s="4">
        <f t="shared" si="13"/>
        <v>0.208218674607961</v>
      </c>
      <c r="AO100" t="s">
        <v>64</v>
      </c>
      <c r="AQ100" t="s">
        <v>65</v>
      </c>
      <c r="AS100" t="s">
        <v>159</v>
      </c>
    </row>
    <row r="101" ht="15.75" customHeight="1" spans="1:45">
      <c r="A101" t="s">
        <v>162</v>
      </c>
      <c r="B101" t="s">
        <v>67</v>
      </c>
      <c r="C101" t="s">
        <v>47</v>
      </c>
      <c r="D101" t="s">
        <v>156</v>
      </c>
      <c r="E101" t="s">
        <v>119</v>
      </c>
      <c r="F101" t="s">
        <v>142</v>
      </c>
      <c r="H101" t="s">
        <v>121</v>
      </c>
      <c r="I101" t="s">
        <v>122</v>
      </c>
      <c r="J101" t="s">
        <v>53</v>
      </c>
      <c r="K101" t="s">
        <v>54</v>
      </c>
      <c r="L101" t="s">
        <v>55</v>
      </c>
      <c r="M101" t="s">
        <v>90</v>
      </c>
      <c r="N101" t="s">
        <v>124</v>
      </c>
      <c r="O101" t="s">
        <v>163</v>
      </c>
      <c r="Q101" t="s">
        <v>57</v>
      </c>
      <c r="S101">
        <v>1</v>
      </c>
      <c r="U101">
        <v>80000</v>
      </c>
      <c r="Y101" t="s">
        <v>164</v>
      </c>
      <c r="Z101">
        <v>4411</v>
      </c>
      <c r="AA101" t="s">
        <v>62</v>
      </c>
      <c r="AB101" t="s">
        <v>63</v>
      </c>
      <c r="AC101">
        <v>32</v>
      </c>
      <c r="AD101" s="5">
        <v>80.7</v>
      </c>
      <c r="AE101">
        <f t="shared" si="7"/>
        <v>2582.4</v>
      </c>
      <c r="AF101" s="4">
        <v>0.39</v>
      </c>
      <c r="AG101">
        <f t="shared" si="8"/>
        <v>1575.26</v>
      </c>
      <c r="AH101" s="4">
        <v>0.18</v>
      </c>
      <c r="AI101">
        <f t="shared" si="9"/>
        <v>1858.81</v>
      </c>
      <c r="AJ101" s="4">
        <v>0.1</v>
      </c>
      <c r="AK101">
        <f t="shared" si="10"/>
        <v>185.88</v>
      </c>
      <c r="AL101">
        <f t="shared" si="11"/>
        <v>2044.69</v>
      </c>
      <c r="AM101">
        <f t="shared" si="12"/>
        <v>537.71</v>
      </c>
      <c r="AN101" s="4">
        <f t="shared" si="13"/>
        <v>0.208221034696406</v>
      </c>
      <c r="AO101" t="s">
        <v>64</v>
      </c>
      <c r="AQ101" t="s">
        <v>65</v>
      </c>
      <c r="AS101" t="s">
        <v>159</v>
      </c>
    </row>
    <row r="102" ht="15.75" customHeight="1" spans="1:45">
      <c r="A102" t="s">
        <v>162</v>
      </c>
      <c r="B102" t="s">
        <v>71</v>
      </c>
      <c r="C102" t="s">
        <v>47</v>
      </c>
      <c r="D102" t="s">
        <v>156</v>
      </c>
      <c r="E102" t="s">
        <v>119</v>
      </c>
      <c r="F102" t="s">
        <v>142</v>
      </c>
      <c r="H102" t="s">
        <v>121</v>
      </c>
      <c r="I102" t="s">
        <v>122</v>
      </c>
      <c r="J102" t="s">
        <v>53</v>
      </c>
      <c r="K102" t="s">
        <v>54</v>
      </c>
      <c r="L102" t="s">
        <v>55</v>
      </c>
      <c r="M102" t="s">
        <v>76</v>
      </c>
      <c r="N102" t="s">
        <v>124</v>
      </c>
      <c r="O102" t="s">
        <v>163</v>
      </c>
      <c r="Q102" t="s">
        <v>57</v>
      </c>
      <c r="S102">
        <v>1</v>
      </c>
      <c r="U102">
        <v>80000</v>
      </c>
      <c r="Y102" t="s">
        <v>164</v>
      </c>
      <c r="Z102">
        <v>4411</v>
      </c>
      <c r="AA102" t="s">
        <v>62</v>
      </c>
      <c r="AB102" t="s">
        <v>63</v>
      </c>
      <c r="AC102">
        <v>32</v>
      </c>
      <c r="AD102">
        <v>109.73</v>
      </c>
      <c r="AE102">
        <f t="shared" si="7"/>
        <v>3511.36</v>
      </c>
      <c r="AF102" s="4">
        <v>0.39</v>
      </c>
      <c r="AG102">
        <f t="shared" si="8"/>
        <v>2141.93</v>
      </c>
      <c r="AH102" s="4">
        <v>0.18</v>
      </c>
      <c r="AI102">
        <f t="shared" si="9"/>
        <v>2527.48</v>
      </c>
      <c r="AJ102" s="4">
        <v>0.1</v>
      </c>
      <c r="AK102">
        <f t="shared" si="10"/>
        <v>252.75</v>
      </c>
      <c r="AL102">
        <f t="shared" si="11"/>
        <v>2780.23</v>
      </c>
      <c r="AM102">
        <f t="shared" si="12"/>
        <v>731.13</v>
      </c>
      <c r="AN102" s="4">
        <f t="shared" si="13"/>
        <v>0.20821846805796</v>
      </c>
      <c r="AO102" t="s">
        <v>64</v>
      </c>
      <c r="AQ102" t="s">
        <v>65</v>
      </c>
      <c r="AS102" t="s">
        <v>159</v>
      </c>
    </row>
    <row r="103" ht="15.75" customHeight="1" spans="1:45">
      <c r="A103" t="s">
        <v>162</v>
      </c>
      <c r="B103" t="s">
        <v>75</v>
      </c>
      <c r="C103" t="s">
        <v>47</v>
      </c>
      <c r="D103" t="s">
        <v>156</v>
      </c>
      <c r="E103" t="s">
        <v>119</v>
      </c>
      <c r="F103" t="s">
        <v>142</v>
      </c>
      <c r="H103" t="s">
        <v>121</v>
      </c>
      <c r="I103" t="s">
        <v>122</v>
      </c>
      <c r="J103" t="s">
        <v>53</v>
      </c>
      <c r="K103" t="s">
        <v>54</v>
      </c>
      <c r="L103" t="s">
        <v>55</v>
      </c>
      <c r="M103" t="s">
        <v>160</v>
      </c>
      <c r="N103" t="s">
        <v>124</v>
      </c>
      <c r="O103" t="s">
        <v>163</v>
      </c>
      <c r="Q103" t="s">
        <v>57</v>
      </c>
      <c r="S103">
        <v>1</v>
      </c>
      <c r="U103">
        <v>80000</v>
      </c>
      <c r="Y103" t="s">
        <v>164</v>
      </c>
      <c r="Z103">
        <v>4411</v>
      </c>
      <c r="AA103" t="s">
        <v>62</v>
      </c>
      <c r="AB103" t="s">
        <v>63</v>
      </c>
      <c r="AC103">
        <v>32</v>
      </c>
      <c r="AD103">
        <v>132.52</v>
      </c>
      <c r="AE103">
        <f t="shared" si="7"/>
        <v>4240.64</v>
      </c>
      <c r="AF103" s="4">
        <v>0.39</v>
      </c>
      <c r="AG103">
        <f t="shared" si="8"/>
        <v>2586.79</v>
      </c>
      <c r="AH103" s="4">
        <v>0.18</v>
      </c>
      <c r="AI103">
        <f t="shared" si="9"/>
        <v>3052.41</v>
      </c>
      <c r="AJ103" s="4">
        <v>0.1</v>
      </c>
      <c r="AK103">
        <f t="shared" si="10"/>
        <v>305.24</v>
      </c>
      <c r="AL103">
        <f t="shared" si="11"/>
        <v>3357.65</v>
      </c>
      <c r="AM103">
        <f t="shared" si="12"/>
        <v>882.990000000001</v>
      </c>
      <c r="AN103" s="4">
        <f t="shared" si="13"/>
        <v>0.20822092891639</v>
      </c>
      <c r="AO103" t="s">
        <v>64</v>
      </c>
      <c r="AQ103" t="s">
        <v>65</v>
      </c>
      <c r="AS103" t="s">
        <v>159</v>
      </c>
    </row>
    <row r="104" ht="15.75" customHeight="1" spans="1:45">
      <c r="A104" t="s">
        <v>162</v>
      </c>
      <c r="B104" t="s">
        <v>79</v>
      </c>
      <c r="C104" t="s">
        <v>47</v>
      </c>
      <c r="D104" t="s">
        <v>156</v>
      </c>
      <c r="E104" t="s">
        <v>119</v>
      </c>
      <c r="F104" t="s">
        <v>142</v>
      </c>
      <c r="H104" t="s">
        <v>121</v>
      </c>
      <c r="I104" t="s">
        <v>122</v>
      </c>
      <c r="J104" t="s">
        <v>53</v>
      </c>
      <c r="K104" t="s">
        <v>54</v>
      </c>
      <c r="L104" t="s">
        <v>55</v>
      </c>
      <c r="M104" t="s">
        <v>161</v>
      </c>
      <c r="N104" t="s">
        <v>124</v>
      </c>
      <c r="O104" t="s">
        <v>163</v>
      </c>
      <c r="Q104" t="s">
        <v>57</v>
      </c>
      <c r="S104">
        <v>1</v>
      </c>
      <c r="U104">
        <v>80000</v>
      </c>
      <c r="Y104" t="s">
        <v>164</v>
      </c>
      <c r="Z104">
        <v>4411</v>
      </c>
      <c r="AA104" t="s">
        <v>62</v>
      </c>
      <c r="AB104" t="s">
        <v>63</v>
      </c>
      <c r="AC104">
        <v>32</v>
      </c>
      <c r="AD104">
        <v>137.52</v>
      </c>
      <c r="AE104">
        <f t="shared" si="7"/>
        <v>4400.64</v>
      </c>
      <c r="AF104" s="4">
        <v>0.39</v>
      </c>
      <c r="AG104">
        <f t="shared" si="8"/>
        <v>2684.39</v>
      </c>
      <c r="AH104" s="4">
        <v>0.18</v>
      </c>
      <c r="AI104">
        <f t="shared" si="9"/>
        <v>3167.58</v>
      </c>
      <c r="AJ104" s="4">
        <v>0.1</v>
      </c>
      <c r="AK104">
        <f t="shared" si="10"/>
        <v>316.76</v>
      </c>
      <c r="AL104">
        <f t="shared" si="11"/>
        <v>3484.34</v>
      </c>
      <c r="AM104">
        <f t="shared" si="12"/>
        <v>916.3</v>
      </c>
      <c r="AN104" s="4">
        <f t="shared" si="13"/>
        <v>0.208219713496219</v>
      </c>
      <c r="AO104" t="s">
        <v>64</v>
      </c>
      <c r="AQ104" t="s">
        <v>65</v>
      </c>
      <c r="AS104" t="s">
        <v>159</v>
      </c>
    </row>
    <row r="105" ht="15.75" customHeight="1" spans="1:45">
      <c r="A105" t="s">
        <v>162</v>
      </c>
      <c r="B105" t="s">
        <v>83</v>
      </c>
      <c r="C105" t="s">
        <v>47</v>
      </c>
      <c r="D105" t="s">
        <v>156</v>
      </c>
      <c r="E105" t="s">
        <v>119</v>
      </c>
      <c r="F105" t="s">
        <v>142</v>
      </c>
      <c r="H105" t="s">
        <v>121</v>
      </c>
      <c r="I105" t="s">
        <v>122</v>
      </c>
      <c r="J105" t="s">
        <v>53</v>
      </c>
      <c r="K105" t="s">
        <v>54</v>
      </c>
      <c r="L105" t="s">
        <v>55</v>
      </c>
      <c r="M105" t="s">
        <v>92</v>
      </c>
      <c r="N105" t="s">
        <v>124</v>
      </c>
      <c r="O105" t="s">
        <v>163</v>
      </c>
      <c r="Q105" t="s">
        <v>57</v>
      </c>
      <c r="S105">
        <v>1</v>
      </c>
      <c r="U105">
        <v>80000</v>
      </c>
      <c r="Y105" t="s">
        <v>164</v>
      </c>
      <c r="Z105">
        <v>4411</v>
      </c>
      <c r="AA105" t="s">
        <v>62</v>
      </c>
      <c r="AB105" t="s">
        <v>63</v>
      </c>
      <c r="AC105">
        <v>32</v>
      </c>
      <c r="AD105">
        <v>151.15</v>
      </c>
      <c r="AE105">
        <f t="shared" si="7"/>
        <v>4836.8</v>
      </c>
      <c r="AF105" s="4">
        <v>0.39</v>
      </c>
      <c r="AG105">
        <f t="shared" si="8"/>
        <v>2950.45</v>
      </c>
      <c r="AH105" s="4">
        <v>0.18</v>
      </c>
      <c r="AI105">
        <f t="shared" si="9"/>
        <v>3481.53</v>
      </c>
      <c r="AJ105" s="4">
        <v>0.1</v>
      </c>
      <c r="AK105">
        <f t="shared" si="10"/>
        <v>348.15</v>
      </c>
      <c r="AL105">
        <f t="shared" si="11"/>
        <v>3829.68</v>
      </c>
      <c r="AM105">
        <f t="shared" si="12"/>
        <v>1007.12</v>
      </c>
      <c r="AN105" s="4">
        <f t="shared" si="13"/>
        <v>0.208220310949388</v>
      </c>
      <c r="AO105" t="s">
        <v>64</v>
      </c>
      <c r="AQ105" t="s">
        <v>65</v>
      </c>
      <c r="AS105" t="s">
        <v>159</v>
      </c>
    </row>
    <row r="106" ht="15.75" customHeight="1" spans="1:45">
      <c r="A106" t="s">
        <v>165</v>
      </c>
      <c r="B106" t="s">
        <v>46</v>
      </c>
      <c r="C106" t="s">
        <v>47</v>
      </c>
      <c r="D106" t="s">
        <v>156</v>
      </c>
      <c r="E106" t="s">
        <v>119</v>
      </c>
      <c r="F106" t="s">
        <v>146</v>
      </c>
      <c r="H106" t="s">
        <v>121</v>
      </c>
      <c r="I106" t="s">
        <v>122</v>
      </c>
      <c r="J106" t="s">
        <v>53</v>
      </c>
      <c r="K106" t="s">
        <v>54</v>
      </c>
      <c r="L106" t="s">
        <v>55</v>
      </c>
      <c r="M106" t="s">
        <v>123</v>
      </c>
      <c r="N106" t="s">
        <v>124</v>
      </c>
      <c r="O106" t="s">
        <v>163</v>
      </c>
      <c r="Q106" t="s">
        <v>57</v>
      </c>
      <c r="S106">
        <v>1</v>
      </c>
      <c r="U106">
        <v>80000</v>
      </c>
      <c r="Y106" t="s">
        <v>166</v>
      </c>
      <c r="Z106">
        <v>4411</v>
      </c>
      <c r="AA106" t="s">
        <v>62</v>
      </c>
      <c r="AB106" t="s">
        <v>63</v>
      </c>
      <c r="AC106">
        <v>32</v>
      </c>
      <c r="AD106">
        <v>68.84</v>
      </c>
      <c r="AE106">
        <f t="shared" si="7"/>
        <v>2202.88</v>
      </c>
      <c r="AF106" s="4">
        <v>0.39</v>
      </c>
      <c r="AG106">
        <f t="shared" si="8"/>
        <v>1343.76</v>
      </c>
      <c r="AH106" s="4">
        <v>0.18</v>
      </c>
      <c r="AI106">
        <f t="shared" si="9"/>
        <v>1585.64</v>
      </c>
      <c r="AJ106" s="4">
        <v>0.1</v>
      </c>
      <c r="AK106">
        <f t="shared" si="10"/>
        <v>158.56</v>
      </c>
      <c r="AL106">
        <f t="shared" si="11"/>
        <v>1744.2</v>
      </c>
      <c r="AM106">
        <f t="shared" si="12"/>
        <v>458.68</v>
      </c>
      <c r="AN106" s="4">
        <f t="shared" si="13"/>
        <v>0.208218332364904</v>
      </c>
      <c r="AO106" t="s">
        <v>64</v>
      </c>
      <c r="AQ106" t="s">
        <v>65</v>
      </c>
      <c r="AS106" t="s">
        <v>159</v>
      </c>
    </row>
    <row r="107" ht="15.75" customHeight="1" spans="1:45">
      <c r="A107" t="s">
        <v>165</v>
      </c>
      <c r="B107" t="s">
        <v>67</v>
      </c>
      <c r="C107" t="s">
        <v>47</v>
      </c>
      <c r="D107" t="s">
        <v>156</v>
      </c>
      <c r="E107" t="s">
        <v>119</v>
      </c>
      <c r="F107" t="s">
        <v>146</v>
      </c>
      <c r="H107" t="s">
        <v>121</v>
      </c>
      <c r="I107" t="s">
        <v>122</v>
      </c>
      <c r="J107" t="s">
        <v>53</v>
      </c>
      <c r="K107" t="s">
        <v>54</v>
      </c>
      <c r="L107" t="s">
        <v>55</v>
      </c>
      <c r="M107" t="s">
        <v>90</v>
      </c>
      <c r="N107" t="s">
        <v>124</v>
      </c>
      <c r="O107" t="s">
        <v>163</v>
      </c>
      <c r="Q107" t="s">
        <v>57</v>
      </c>
      <c r="S107">
        <v>1</v>
      </c>
      <c r="U107">
        <v>80000</v>
      </c>
      <c r="Y107" t="s">
        <v>166</v>
      </c>
      <c r="Z107">
        <v>4411</v>
      </c>
      <c r="AA107" t="s">
        <v>62</v>
      </c>
      <c r="AB107" t="s">
        <v>63</v>
      </c>
      <c r="AC107">
        <v>32</v>
      </c>
      <c r="AD107">
        <v>83.23</v>
      </c>
      <c r="AE107">
        <f t="shared" si="7"/>
        <v>2663.36</v>
      </c>
      <c r="AF107" s="4">
        <v>0.39</v>
      </c>
      <c r="AG107">
        <f t="shared" si="8"/>
        <v>1624.65</v>
      </c>
      <c r="AH107" s="4">
        <v>0.18</v>
      </c>
      <c r="AI107">
        <f t="shared" si="9"/>
        <v>1917.09</v>
      </c>
      <c r="AJ107" s="4">
        <v>0.1</v>
      </c>
      <c r="AK107">
        <f t="shared" si="10"/>
        <v>191.71</v>
      </c>
      <c r="AL107">
        <f t="shared" si="11"/>
        <v>2108.8</v>
      </c>
      <c r="AM107">
        <f t="shared" si="12"/>
        <v>554.56</v>
      </c>
      <c r="AN107" s="4">
        <f t="shared" si="13"/>
        <v>0.20821819055629</v>
      </c>
      <c r="AO107" t="s">
        <v>64</v>
      </c>
      <c r="AQ107" t="s">
        <v>65</v>
      </c>
      <c r="AS107" t="s">
        <v>159</v>
      </c>
    </row>
    <row r="108" ht="15.75" customHeight="1" spans="1:45">
      <c r="A108" t="s">
        <v>165</v>
      </c>
      <c r="B108" t="s">
        <v>71</v>
      </c>
      <c r="C108" t="s">
        <v>47</v>
      </c>
      <c r="D108" t="s">
        <v>156</v>
      </c>
      <c r="E108" t="s">
        <v>119</v>
      </c>
      <c r="F108" t="s">
        <v>146</v>
      </c>
      <c r="H108" t="s">
        <v>121</v>
      </c>
      <c r="I108" t="s">
        <v>122</v>
      </c>
      <c r="J108" t="s">
        <v>53</v>
      </c>
      <c r="K108" t="s">
        <v>54</v>
      </c>
      <c r="L108" t="s">
        <v>55</v>
      </c>
      <c r="M108" t="s">
        <v>76</v>
      </c>
      <c r="N108" t="s">
        <v>124</v>
      </c>
      <c r="O108" t="s">
        <v>163</v>
      </c>
      <c r="Q108" t="s">
        <v>57</v>
      </c>
      <c r="S108">
        <v>1</v>
      </c>
      <c r="U108">
        <v>80000</v>
      </c>
      <c r="Y108" t="s">
        <v>166</v>
      </c>
      <c r="Z108">
        <v>4411</v>
      </c>
      <c r="AA108" t="s">
        <v>62</v>
      </c>
      <c r="AB108" t="s">
        <v>63</v>
      </c>
      <c r="AC108">
        <v>32</v>
      </c>
      <c r="AD108">
        <v>112.25</v>
      </c>
      <c r="AE108">
        <f t="shared" si="7"/>
        <v>3592</v>
      </c>
      <c r="AF108" s="4">
        <v>0.39</v>
      </c>
      <c r="AG108">
        <f t="shared" si="8"/>
        <v>2191.12</v>
      </c>
      <c r="AH108" s="4">
        <v>0.18</v>
      </c>
      <c r="AI108">
        <f t="shared" si="9"/>
        <v>2585.52</v>
      </c>
      <c r="AJ108" s="4">
        <v>0.1</v>
      </c>
      <c r="AK108">
        <f t="shared" si="10"/>
        <v>258.55</v>
      </c>
      <c r="AL108">
        <f t="shared" si="11"/>
        <v>2844.07</v>
      </c>
      <c r="AM108">
        <f t="shared" si="12"/>
        <v>747.93</v>
      </c>
      <c r="AN108" s="4">
        <f t="shared" si="13"/>
        <v>0.208221046770601</v>
      </c>
      <c r="AO108" t="s">
        <v>64</v>
      </c>
      <c r="AQ108" t="s">
        <v>65</v>
      </c>
      <c r="AS108" t="s">
        <v>159</v>
      </c>
    </row>
    <row r="109" ht="15.75" customHeight="1" spans="1:45">
      <c r="A109" t="s">
        <v>165</v>
      </c>
      <c r="B109" t="s">
        <v>75</v>
      </c>
      <c r="C109" t="s">
        <v>47</v>
      </c>
      <c r="D109" t="s">
        <v>156</v>
      </c>
      <c r="E109" t="s">
        <v>119</v>
      </c>
      <c r="F109" t="s">
        <v>146</v>
      </c>
      <c r="H109" t="s">
        <v>121</v>
      </c>
      <c r="I109" t="s">
        <v>122</v>
      </c>
      <c r="J109" t="s">
        <v>53</v>
      </c>
      <c r="K109" t="s">
        <v>54</v>
      </c>
      <c r="L109" t="s">
        <v>55</v>
      </c>
      <c r="M109" t="s">
        <v>160</v>
      </c>
      <c r="N109" t="s">
        <v>124</v>
      </c>
      <c r="O109" t="s">
        <v>163</v>
      </c>
      <c r="Q109" t="s">
        <v>57</v>
      </c>
      <c r="S109">
        <v>1</v>
      </c>
      <c r="U109">
        <v>80000</v>
      </c>
      <c r="Y109" t="s">
        <v>166</v>
      </c>
      <c r="Z109">
        <v>4411</v>
      </c>
      <c r="AA109" t="s">
        <v>62</v>
      </c>
      <c r="AB109" t="s">
        <v>63</v>
      </c>
      <c r="AC109">
        <v>32</v>
      </c>
      <c r="AD109">
        <v>135.01</v>
      </c>
      <c r="AE109">
        <f t="shared" si="7"/>
        <v>4320.32</v>
      </c>
      <c r="AF109" s="4">
        <v>0.39</v>
      </c>
      <c r="AG109">
        <f t="shared" si="8"/>
        <v>2635.4</v>
      </c>
      <c r="AH109" s="4">
        <v>0.18</v>
      </c>
      <c r="AI109">
        <f t="shared" si="9"/>
        <v>3109.77</v>
      </c>
      <c r="AJ109" s="4">
        <v>0.1</v>
      </c>
      <c r="AK109">
        <f t="shared" si="10"/>
        <v>310.98</v>
      </c>
      <c r="AL109">
        <f t="shared" si="11"/>
        <v>3420.75</v>
      </c>
      <c r="AM109">
        <f t="shared" si="12"/>
        <v>899.57</v>
      </c>
      <c r="AN109" s="4">
        <f t="shared" si="13"/>
        <v>0.208218372713132</v>
      </c>
      <c r="AO109" t="s">
        <v>64</v>
      </c>
      <c r="AQ109" t="s">
        <v>65</v>
      </c>
      <c r="AS109" t="s">
        <v>159</v>
      </c>
    </row>
    <row r="110" ht="15.75" customHeight="1" spans="1:45">
      <c r="A110" t="s">
        <v>165</v>
      </c>
      <c r="B110" t="s">
        <v>79</v>
      </c>
      <c r="C110" t="s">
        <v>47</v>
      </c>
      <c r="D110" t="s">
        <v>156</v>
      </c>
      <c r="E110" t="s">
        <v>119</v>
      </c>
      <c r="F110" t="s">
        <v>146</v>
      </c>
      <c r="H110" t="s">
        <v>121</v>
      </c>
      <c r="I110" t="s">
        <v>122</v>
      </c>
      <c r="J110" t="s">
        <v>53</v>
      </c>
      <c r="K110" t="s">
        <v>54</v>
      </c>
      <c r="L110" t="s">
        <v>55</v>
      </c>
      <c r="M110" t="s">
        <v>161</v>
      </c>
      <c r="N110" t="s">
        <v>124</v>
      </c>
      <c r="O110" t="s">
        <v>163</v>
      </c>
      <c r="Q110" t="s">
        <v>57</v>
      </c>
      <c r="S110">
        <v>1</v>
      </c>
      <c r="U110">
        <v>80000</v>
      </c>
      <c r="Y110" t="s">
        <v>166</v>
      </c>
      <c r="Z110">
        <v>4411</v>
      </c>
      <c r="AA110" t="s">
        <v>62</v>
      </c>
      <c r="AB110" t="s">
        <v>63</v>
      </c>
      <c r="AC110">
        <v>32</v>
      </c>
      <c r="AD110">
        <v>140.02</v>
      </c>
      <c r="AE110">
        <f t="shared" si="7"/>
        <v>4480.64</v>
      </c>
      <c r="AF110" s="4">
        <v>0.39</v>
      </c>
      <c r="AG110">
        <f t="shared" si="8"/>
        <v>2733.19</v>
      </c>
      <c r="AH110" s="4">
        <v>0.18</v>
      </c>
      <c r="AI110">
        <f t="shared" si="9"/>
        <v>3225.16</v>
      </c>
      <c r="AJ110" s="4">
        <v>0.1</v>
      </c>
      <c r="AK110">
        <f t="shared" si="10"/>
        <v>322.52</v>
      </c>
      <c r="AL110">
        <f t="shared" si="11"/>
        <v>3547.68</v>
      </c>
      <c r="AM110">
        <f t="shared" si="12"/>
        <v>932.96</v>
      </c>
      <c r="AN110" s="4">
        <f t="shared" si="13"/>
        <v>0.208220254249393</v>
      </c>
      <c r="AO110" t="s">
        <v>64</v>
      </c>
      <c r="AQ110" t="s">
        <v>65</v>
      </c>
      <c r="AS110" t="s">
        <v>159</v>
      </c>
    </row>
    <row r="111" ht="15.75" customHeight="1" spans="1:45">
      <c r="A111" t="s">
        <v>165</v>
      </c>
      <c r="B111" t="s">
        <v>83</v>
      </c>
      <c r="C111" t="s">
        <v>47</v>
      </c>
      <c r="D111" t="s">
        <v>156</v>
      </c>
      <c r="E111" t="s">
        <v>119</v>
      </c>
      <c r="F111" t="s">
        <v>146</v>
      </c>
      <c r="H111" t="s">
        <v>121</v>
      </c>
      <c r="I111" t="s">
        <v>122</v>
      </c>
      <c r="J111" t="s">
        <v>53</v>
      </c>
      <c r="K111" t="s">
        <v>54</v>
      </c>
      <c r="L111" t="s">
        <v>55</v>
      </c>
      <c r="M111" t="s">
        <v>92</v>
      </c>
      <c r="N111" t="s">
        <v>124</v>
      </c>
      <c r="O111" t="s">
        <v>163</v>
      </c>
      <c r="Q111" t="s">
        <v>57</v>
      </c>
      <c r="S111">
        <v>1</v>
      </c>
      <c r="U111">
        <v>80000</v>
      </c>
      <c r="Y111" t="s">
        <v>166</v>
      </c>
      <c r="Z111">
        <v>4411</v>
      </c>
      <c r="AA111" t="s">
        <v>62</v>
      </c>
      <c r="AB111" t="s">
        <v>63</v>
      </c>
      <c r="AC111">
        <v>32</v>
      </c>
      <c r="AD111">
        <v>153.68</v>
      </c>
      <c r="AE111">
        <f t="shared" si="7"/>
        <v>4917.76</v>
      </c>
      <c r="AF111" s="4">
        <v>0.39</v>
      </c>
      <c r="AG111">
        <f t="shared" si="8"/>
        <v>2999.83</v>
      </c>
      <c r="AH111" s="4">
        <v>0.18</v>
      </c>
      <c r="AI111">
        <f t="shared" si="9"/>
        <v>3539.8</v>
      </c>
      <c r="AJ111" s="4">
        <v>0.1</v>
      </c>
      <c r="AK111">
        <f t="shared" si="10"/>
        <v>353.98</v>
      </c>
      <c r="AL111">
        <f t="shared" si="11"/>
        <v>3893.78</v>
      </c>
      <c r="AM111">
        <f t="shared" si="12"/>
        <v>1023.98</v>
      </c>
      <c r="AN111" s="4">
        <f t="shared" si="13"/>
        <v>0.20822081598126</v>
      </c>
      <c r="AO111" t="s">
        <v>64</v>
      </c>
      <c r="AQ111" t="s">
        <v>65</v>
      </c>
      <c r="AS111" t="s">
        <v>159</v>
      </c>
    </row>
    <row r="112" ht="15.75" customHeight="1" spans="1:45">
      <c r="A112" t="s">
        <v>167</v>
      </c>
      <c r="B112" t="s">
        <v>46</v>
      </c>
      <c r="C112" t="s">
        <v>47</v>
      </c>
      <c r="D112" t="s">
        <v>156</v>
      </c>
      <c r="E112" t="s">
        <v>119</v>
      </c>
      <c r="F112" t="s">
        <v>153</v>
      </c>
      <c r="H112" t="s">
        <v>121</v>
      </c>
      <c r="I112" t="s">
        <v>122</v>
      </c>
      <c r="J112" t="s">
        <v>53</v>
      </c>
      <c r="K112" t="s">
        <v>54</v>
      </c>
      <c r="L112" t="s">
        <v>55</v>
      </c>
      <c r="M112" t="s">
        <v>123</v>
      </c>
      <c r="N112" t="s">
        <v>124</v>
      </c>
      <c r="O112" t="s">
        <v>143</v>
      </c>
      <c r="Q112" t="s">
        <v>57</v>
      </c>
      <c r="S112">
        <v>1</v>
      </c>
      <c r="U112">
        <v>80000</v>
      </c>
      <c r="Y112" t="s">
        <v>168</v>
      </c>
      <c r="Z112">
        <v>4411</v>
      </c>
      <c r="AA112" t="s">
        <v>62</v>
      </c>
      <c r="AB112" t="s">
        <v>63</v>
      </c>
      <c r="AC112">
        <v>32</v>
      </c>
      <c r="AD112">
        <v>57.55</v>
      </c>
      <c r="AE112">
        <f t="shared" si="7"/>
        <v>1841.6</v>
      </c>
      <c r="AF112" s="4">
        <v>0.39</v>
      </c>
      <c r="AG112">
        <f t="shared" si="8"/>
        <v>1123.38</v>
      </c>
      <c r="AH112" s="4">
        <v>0.18</v>
      </c>
      <c r="AI112">
        <f t="shared" si="9"/>
        <v>1325.59</v>
      </c>
      <c r="AJ112" s="4">
        <v>0.1</v>
      </c>
      <c r="AK112">
        <f t="shared" si="10"/>
        <v>132.56</v>
      </c>
      <c r="AL112">
        <f t="shared" si="11"/>
        <v>1458.15</v>
      </c>
      <c r="AM112">
        <f t="shared" si="12"/>
        <v>383.45</v>
      </c>
      <c r="AN112" s="4">
        <f t="shared" si="13"/>
        <v>0.208215682015639</v>
      </c>
      <c r="AO112" t="s">
        <v>64</v>
      </c>
      <c r="AQ112" t="s">
        <v>65</v>
      </c>
      <c r="AS112" t="s">
        <v>159</v>
      </c>
    </row>
    <row r="113" ht="15.75" customHeight="1" spans="1:45">
      <c r="A113" t="s">
        <v>167</v>
      </c>
      <c r="B113" t="s">
        <v>67</v>
      </c>
      <c r="C113" t="s">
        <v>47</v>
      </c>
      <c r="D113" t="s">
        <v>156</v>
      </c>
      <c r="E113" t="s">
        <v>119</v>
      </c>
      <c r="F113" t="s">
        <v>153</v>
      </c>
      <c r="H113" t="s">
        <v>121</v>
      </c>
      <c r="I113" t="s">
        <v>122</v>
      </c>
      <c r="J113" t="s">
        <v>53</v>
      </c>
      <c r="K113" t="s">
        <v>54</v>
      </c>
      <c r="L113" t="s">
        <v>55</v>
      </c>
      <c r="M113" t="s">
        <v>90</v>
      </c>
      <c r="N113" t="s">
        <v>124</v>
      </c>
      <c r="O113" t="s">
        <v>143</v>
      </c>
      <c r="Q113" t="s">
        <v>57</v>
      </c>
      <c r="S113">
        <v>1</v>
      </c>
      <c r="U113">
        <v>80000</v>
      </c>
      <c r="Y113" t="s">
        <v>168</v>
      </c>
      <c r="Z113">
        <v>4411</v>
      </c>
      <c r="AA113" t="s">
        <v>62</v>
      </c>
      <c r="AB113" t="s">
        <v>63</v>
      </c>
      <c r="AC113">
        <v>32</v>
      </c>
      <c r="AD113">
        <v>71.95</v>
      </c>
      <c r="AE113">
        <f t="shared" si="7"/>
        <v>2302.4</v>
      </c>
      <c r="AF113" s="4">
        <v>0.39</v>
      </c>
      <c r="AG113">
        <f t="shared" si="8"/>
        <v>1404.46</v>
      </c>
      <c r="AH113" s="4">
        <v>0.18</v>
      </c>
      <c r="AI113">
        <f t="shared" si="9"/>
        <v>1657.26</v>
      </c>
      <c r="AJ113" s="4">
        <v>0.1</v>
      </c>
      <c r="AK113">
        <f t="shared" si="10"/>
        <v>165.73</v>
      </c>
      <c r="AL113">
        <f t="shared" si="11"/>
        <v>1822.99</v>
      </c>
      <c r="AM113">
        <f t="shared" si="12"/>
        <v>479.41</v>
      </c>
      <c r="AN113" s="4">
        <f t="shared" si="13"/>
        <v>0.208221855455177</v>
      </c>
      <c r="AO113" t="s">
        <v>64</v>
      </c>
      <c r="AQ113" t="s">
        <v>65</v>
      </c>
      <c r="AS113" t="s">
        <v>159</v>
      </c>
    </row>
    <row r="114" ht="15.75" customHeight="1" spans="1:45">
      <c r="A114" t="s">
        <v>167</v>
      </c>
      <c r="B114" t="s">
        <v>71</v>
      </c>
      <c r="C114" t="s">
        <v>47</v>
      </c>
      <c r="D114" t="s">
        <v>156</v>
      </c>
      <c r="E114" t="s">
        <v>119</v>
      </c>
      <c r="F114" t="s">
        <v>153</v>
      </c>
      <c r="H114" t="s">
        <v>121</v>
      </c>
      <c r="I114" t="s">
        <v>122</v>
      </c>
      <c r="J114" t="s">
        <v>53</v>
      </c>
      <c r="K114" t="s">
        <v>54</v>
      </c>
      <c r="L114" t="s">
        <v>55</v>
      </c>
      <c r="M114" t="s">
        <v>76</v>
      </c>
      <c r="N114" t="s">
        <v>124</v>
      </c>
      <c r="O114" t="s">
        <v>143</v>
      </c>
      <c r="Q114" t="s">
        <v>57</v>
      </c>
      <c r="S114">
        <v>1</v>
      </c>
      <c r="U114">
        <v>80000</v>
      </c>
      <c r="Y114" t="s">
        <v>168</v>
      </c>
      <c r="Z114">
        <v>4411</v>
      </c>
      <c r="AA114" t="s">
        <v>62</v>
      </c>
      <c r="AB114" t="s">
        <v>63</v>
      </c>
      <c r="AC114">
        <v>32</v>
      </c>
      <c r="AD114">
        <v>100.98</v>
      </c>
      <c r="AE114">
        <f t="shared" si="7"/>
        <v>3231.36</v>
      </c>
      <c r="AF114" s="4">
        <v>0.39</v>
      </c>
      <c r="AG114">
        <f t="shared" si="8"/>
        <v>1971.13</v>
      </c>
      <c r="AH114" s="4">
        <v>0.18</v>
      </c>
      <c r="AI114">
        <f t="shared" si="9"/>
        <v>2325.93</v>
      </c>
      <c r="AJ114" s="4">
        <v>0.1</v>
      </c>
      <c r="AK114">
        <f t="shared" si="10"/>
        <v>232.59</v>
      </c>
      <c r="AL114">
        <f t="shared" si="11"/>
        <v>2558.52</v>
      </c>
      <c r="AM114">
        <f t="shared" si="12"/>
        <v>672.84</v>
      </c>
      <c r="AN114" s="4">
        <f t="shared" si="13"/>
        <v>0.20822192513369</v>
      </c>
      <c r="AO114" t="s">
        <v>64</v>
      </c>
      <c r="AQ114" t="s">
        <v>65</v>
      </c>
      <c r="AS114" t="s">
        <v>159</v>
      </c>
    </row>
    <row r="115" ht="15.75" customHeight="1" spans="1:45">
      <c r="A115" t="s">
        <v>167</v>
      </c>
      <c r="B115" t="s">
        <v>75</v>
      </c>
      <c r="C115" t="s">
        <v>47</v>
      </c>
      <c r="D115" t="s">
        <v>156</v>
      </c>
      <c r="E115" t="s">
        <v>119</v>
      </c>
      <c r="F115" t="s">
        <v>153</v>
      </c>
      <c r="H115" t="s">
        <v>121</v>
      </c>
      <c r="I115" t="s">
        <v>122</v>
      </c>
      <c r="J115" t="s">
        <v>53</v>
      </c>
      <c r="K115" t="s">
        <v>54</v>
      </c>
      <c r="L115" t="s">
        <v>55</v>
      </c>
      <c r="M115" t="s">
        <v>160</v>
      </c>
      <c r="N115" t="s">
        <v>124</v>
      </c>
      <c r="O115" t="s">
        <v>143</v>
      </c>
      <c r="Q115" t="s">
        <v>57</v>
      </c>
      <c r="S115">
        <v>1</v>
      </c>
      <c r="U115">
        <v>80000</v>
      </c>
      <c r="Y115" t="s">
        <v>168</v>
      </c>
      <c r="Z115">
        <v>4411</v>
      </c>
      <c r="AA115" t="s">
        <v>62</v>
      </c>
      <c r="AB115" t="s">
        <v>63</v>
      </c>
      <c r="AC115">
        <v>32</v>
      </c>
      <c r="AD115">
        <v>123.73</v>
      </c>
      <c r="AE115">
        <f t="shared" si="7"/>
        <v>3959.36</v>
      </c>
      <c r="AF115" s="4">
        <v>0.39</v>
      </c>
      <c r="AG115">
        <f t="shared" si="8"/>
        <v>2415.21</v>
      </c>
      <c r="AH115" s="4">
        <v>0.18</v>
      </c>
      <c r="AI115">
        <f t="shared" si="9"/>
        <v>2849.95</v>
      </c>
      <c r="AJ115" s="4">
        <v>0.1</v>
      </c>
      <c r="AK115">
        <f t="shared" si="10"/>
        <v>285</v>
      </c>
      <c r="AL115">
        <f t="shared" si="11"/>
        <v>3134.95</v>
      </c>
      <c r="AM115">
        <f t="shared" si="12"/>
        <v>824.41</v>
      </c>
      <c r="AN115" s="4">
        <f t="shared" si="13"/>
        <v>0.208217994827447</v>
      </c>
      <c r="AO115" t="s">
        <v>64</v>
      </c>
      <c r="AQ115" t="s">
        <v>65</v>
      </c>
      <c r="AS115" t="s">
        <v>159</v>
      </c>
    </row>
    <row r="116" ht="15.75" customHeight="1" spans="1:45">
      <c r="A116" t="s">
        <v>167</v>
      </c>
      <c r="B116" t="s">
        <v>79</v>
      </c>
      <c r="C116" t="s">
        <v>47</v>
      </c>
      <c r="D116" t="s">
        <v>156</v>
      </c>
      <c r="E116" t="s">
        <v>119</v>
      </c>
      <c r="F116" t="s">
        <v>153</v>
      </c>
      <c r="H116" t="s">
        <v>121</v>
      </c>
      <c r="I116" t="s">
        <v>122</v>
      </c>
      <c r="J116" t="s">
        <v>53</v>
      </c>
      <c r="K116" t="s">
        <v>54</v>
      </c>
      <c r="L116" t="s">
        <v>55</v>
      </c>
      <c r="M116" t="s">
        <v>161</v>
      </c>
      <c r="N116" t="s">
        <v>124</v>
      </c>
      <c r="O116" t="s">
        <v>143</v>
      </c>
      <c r="Q116" t="s">
        <v>57</v>
      </c>
      <c r="S116">
        <v>1</v>
      </c>
      <c r="U116">
        <v>80000</v>
      </c>
      <c r="Y116" t="s">
        <v>168</v>
      </c>
      <c r="Z116">
        <v>4411</v>
      </c>
      <c r="AA116" t="s">
        <v>62</v>
      </c>
      <c r="AB116" t="s">
        <v>63</v>
      </c>
      <c r="AC116">
        <v>32</v>
      </c>
      <c r="AD116">
        <v>128.75</v>
      </c>
      <c r="AE116">
        <f t="shared" si="7"/>
        <v>4120</v>
      </c>
      <c r="AF116" s="4">
        <v>0.39</v>
      </c>
      <c r="AG116">
        <f t="shared" si="8"/>
        <v>2513.2</v>
      </c>
      <c r="AH116" s="4">
        <v>0.18</v>
      </c>
      <c r="AI116">
        <f t="shared" si="9"/>
        <v>2965.58</v>
      </c>
      <c r="AJ116" s="4">
        <v>0.1</v>
      </c>
      <c r="AK116">
        <f t="shared" si="10"/>
        <v>296.56</v>
      </c>
      <c r="AL116">
        <f t="shared" si="11"/>
        <v>3262.14</v>
      </c>
      <c r="AM116">
        <f t="shared" si="12"/>
        <v>857.86</v>
      </c>
      <c r="AN116" s="4">
        <f t="shared" si="13"/>
        <v>0.208218446601942</v>
      </c>
      <c r="AO116" t="s">
        <v>64</v>
      </c>
      <c r="AQ116" t="s">
        <v>65</v>
      </c>
      <c r="AS116" t="s">
        <v>159</v>
      </c>
    </row>
    <row r="117" ht="15.75" customHeight="1" spans="1:45">
      <c r="A117" t="s">
        <v>167</v>
      </c>
      <c r="B117" t="s">
        <v>83</v>
      </c>
      <c r="C117" t="s">
        <v>47</v>
      </c>
      <c r="D117" t="s">
        <v>156</v>
      </c>
      <c r="E117" t="s">
        <v>119</v>
      </c>
      <c r="F117" t="s">
        <v>153</v>
      </c>
      <c r="H117" t="s">
        <v>121</v>
      </c>
      <c r="I117" t="s">
        <v>122</v>
      </c>
      <c r="J117" t="s">
        <v>53</v>
      </c>
      <c r="K117" t="s">
        <v>54</v>
      </c>
      <c r="L117" t="s">
        <v>55</v>
      </c>
      <c r="M117" t="s">
        <v>92</v>
      </c>
      <c r="N117" t="s">
        <v>124</v>
      </c>
      <c r="O117" t="s">
        <v>143</v>
      </c>
      <c r="Q117" t="s">
        <v>57</v>
      </c>
      <c r="S117">
        <v>1</v>
      </c>
      <c r="U117">
        <v>80000</v>
      </c>
      <c r="Y117" t="s">
        <v>168</v>
      </c>
      <c r="Z117">
        <v>4411</v>
      </c>
      <c r="AA117" t="s">
        <v>62</v>
      </c>
      <c r="AB117" t="s">
        <v>63</v>
      </c>
      <c r="AC117">
        <v>32</v>
      </c>
      <c r="AD117">
        <v>142.39</v>
      </c>
      <c r="AE117">
        <f t="shared" si="7"/>
        <v>4556.48</v>
      </c>
      <c r="AF117" s="4">
        <v>0.39</v>
      </c>
      <c r="AG117">
        <f t="shared" si="8"/>
        <v>2779.45</v>
      </c>
      <c r="AH117" s="4">
        <v>0.18</v>
      </c>
      <c r="AI117">
        <f t="shared" si="9"/>
        <v>3279.75</v>
      </c>
      <c r="AJ117" s="4">
        <v>0.1</v>
      </c>
      <c r="AK117">
        <f t="shared" si="10"/>
        <v>327.98</v>
      </c>
      <c r="AL117">
        <f t="shared" si="11"/>
        <v>3607.73</v>
      </c>
      <c r="AM117">
        <f t="shared" si="12"/>
        <v>948.75</v>
      </c>
      <c r="AN117" s="4">
        <f t="shared" si="13"/>
        <v>0.20821994170939</v>
      </c>
      <c r="AO117" t="s">
        <v>64</v>
      </c>
      <c r="AQ117" t="s">
        <v>65</v>
      </c>
      <c r="AS117" t="s">
        <v>159</v>
      </c>
    </row>
    <row r="118" ht="15.75" customHeight="1" spans="1:45">
      <c r="A118" t="s">
        <v>169</v>
      </c>
      <c r="B118" t="s">
        <v>46</v>
      </c>
      <c r="C118" t="s">
        <v>47</v>
      </c>
      <c r="D118" t="s">
        <v>156</v>
      </c>
      <c r="E118" t="s">
        <v>119</v>
      </c>
      <c r="F118" t="s">
        <v>149</v>
      </c>
      <c r="H118" t="s">
        <v>121</v>
      </c>
      <c r="I118" t="s">
        <v>122</v>
      </c>
      <c r="J118" t="s">
        <v>53</v>
      </c>
      <c r="K118" t="s">
        <v>54</v>
      </c>
      <c r="L118" t="s">
        <v>55</v>
      </c>
      <c r="M118" t="s">
        <v>123</v>
      </c>
      <c r="N118" t="s">
        <v>124</v>
      </c>
      <c r="O118" t="s">
        <v>143</v>
      </c>
      <c r="Q118" t="s">
        <v>57</v>
      </c>
      <c r="S118">
        <v>1</v>
      </c>
      <c r="U118">
        <v>80000</v>
      </c>
      <c r="Y118" t="s">
        <v>170</v>
      </c>
      <c r="Z118">
        <v>4411</v>
      </c>
      <c r="AA118" t="s">
        <v>62</v>
      </c>
      <c r="AB118" t="s">
        <v>63</v>
      </c>
      <c r="AC118">
        <v>32</v>
      </c>
      <c r="AD118" s="5">
        <v>63.8</v>
      </c>
      <c r="AE118">
        <f t="shared" si="7"/>
        <v>2041.6</v>
      </c>
      <c r="AF118" s="4">
        <v>0.39</v>
      </c>
      <c r="AG118">
        <f t="shared" si="8"/>
        <v>1245.38</v>
      </c>
      <c r="AH118" s="4">
        <v>0.18</v>
      </c>
      <c r="AI118">
        <f t="shared" si="9"/>
        <v>1469.55</v>
      </c>
      <c r="AJ118" s="4">
        <v>0.1</v>
      </c>
      <c r="AK118">
        <f t="shared" si="10"/>
        <v>146.96</v>
      </c>
      <c r="AL118">
        <f t="shared" si="11"/>
        <v>1616.51</v>
      </c>
      <c r="AM118">
        <f t="shared" si="12"/>
        <v>425.09</v>
      </c>
      <c r="AN118" s="4">
        <f t="shared" si="13"/>
        <v>0.208214145768025</v>
      </c>
      <c r="AO118" t="s">
        <v>64</v>
      </c>
      <c r="AQ118" t="s">
        <v>65</v>
      </c>
      <c r="AS118" t="s">
        <v>159</v>
      </c>
    </row>
    <row r="119" ht="15.75" customHeight="1" spans="1:45">
      <c r="A119" t="s">
        <v>169</v>
      </c>
      <c r="B119" t="s">
        <v>67</v>
      </c>
      <c r="C119" t="s">
        <v>47</v>
      </c>
      <c r="D119" t="s">
        <v>156</v>
      </c>
      <c r="E119" t="s">
        <v>119</v>
      </c>
      <c r="F119" t="s">
        <v>149</v>
      </c>
      <c r="H119" t="s">
        <v>121</v>
      </c>
      <c r="I119" t="s">
        <v>122</v>
      </c>
      <c r="J119" t="s">
        <v>53</v>
      </c>
      <c r="K119" t="s">
        <v>54</v>
      </c>
      <c r="L119" t="s">
        <v>55</v>
      </c>
      <c r="M119" t="s">
        <v>90</v>
      </c>
      <c r="N119" t="s">
        <v>124</v>
      </c>
      <c r="O119" t="s">
        <v>143</v>
      </c>
      <c r="Q119" t="s">
        <v>57</v>
      </c>
      <c r="S119">
        <v>1</v>
      </c>
      <c r="U119">
        <v>80000</v>
      </c>
      <c r="Y119" t="s">
        <v>170</v>
      </c>
      <c r="Z119">
        <v>4411</v>
      </c>
      <c r="AA119" t="s">
        <v>62</v>
      </c>
      <c r="AB119" t="s">
        <v>63</v>
      </c>
      <c r="AC119">
        <v>32</v>
      </c>
      <c r="AD119">
        <v>78.21</v>
      </c>
      <c r="AE119">
        <f t="shared" si="7"/>
        <v>2502.72</v>
      </c>
      <c r="AF119" s="4">
        <v>0.39</v>
      </c>
      <c r="AG119">
        <f t="shared" si="8"/>
        <v>1526.66</v>
      </c>
      <c r="AH119" s="4">
        <v>0.18</v>
      </c>
      <c r="AI119">
        <f t="shared" si="9"/>
        <v>1801.46</v>
      </c>
      <c r="AJ119" s="4">
        <v>0.1</v>
      </c>
      <c r="AK119">
        <f t="shared" si="10"/>
        <v>180.15</v>
      </c>
      <c r="AL119">
        <f t="shared" si="11"/>
        <v>1981.61</v>
      </c>
      <c r="AM119">
        <f t="shared" si="12"/>
        <v>521.11</v>
      </c>
      <c r="AN119" s="4">
        <f t="shared" si="13"/>
        <v>0.208217459404168</v>
      </c>
      <c r="AO119" t="s">
        <v>64</v>
      </c>
      <c r="AQ119" t="s">
        <v>65</v>
      </c>
      <c r="AS119" t="s">
        <v>159</v>
      </c>
    </row>
    <row r="120" ht="15.75" customHeight="1" spans="1:45">
      <c r="A120" t="s">
        <v>169</v>
      </c>
      <c r="B120" t="s">
        <v>71</v>
      </c>
      <c r="C120" t="s">
        <v>47</v>
      </c>
      <c r="D120" t="s">
        <v>156</v>
      </c>
      <c r="E120" t="s">
        <v>119</v>
      </c>
      <c r="F120" t="s">
        <v>149</v>
      </c>
      <c r="H120" t="s">
        <v>121</v>
      </c>
      <c r="I120" t="s">
        <v>122</v>
      </c>
      <c r="J120" t="s">
        <v>53</v>
      </c>
      <c r="K120" t="s">
        <v>54</v>
      </c>
      <c r="L120" t="s">
        <v>55</v>
      </c>
      <c r="M120" t="s">
        <v>76</v>
      </c>
      <c r="N120" t="s">
        <v>124</v>
      </c>
      <c r="O120" t="s">
        <v>143</v>
      </c>
      <c r="Q120" t="s">
        <v>57</v>
      </c>
      <c r="S120">
        <v>1</v>
      </c>
      <c r="U120">
        <v>80000</v>
      </c>
      <c r="Y120" t="s">
        <v>170</v>
      </c>
      <c r="Z120">
        <v>4411</v>
      </c>
      <c r="AA120" t="s">
        <v>62</v>
      </c>
      <c r="AB120" t="s">
        <v>63</v>
      </c>
      <c r="AC120">
        <v>32</v>
      </c>
      <c r="AD120">
        <v>107.24</v>
      </c>
      <c r="AE120">
        <f t="shared" si="7"/>
        <v>3431.68</v>
      </c>
      <c r="AF120" s="4">
        <v>0.39</v>
      </c>
      <c r="AG120">
        <f t="shared" si="8"/>
        <v>2093.32</v>
      </c>
      <c r="AH120" s="4">
        <v>0.18</v>
      </c>
      <c r="AI120">
        <f t="shared" si="9"/>
        <v>2470.12</v>
      </c>
      <c r="AJ120" s="4">
        <v>0.1</v>
      </c>
      <c r="AK120">
        <f t="shared" si="10"/>
        <v>247.01</v>
      </c>
      <c r="AL120">
        <f t="shared" si="11"/>
        <v>2717.13</v>
      </c>
      <c r="AM120">
        <f t="shared" si="12"/>
        <v>714.55</v>
      </c>
      <c r="AN120" s="4">
        <f t="shared" si="13"/>
        <v>0.208221629056322</v>
      </c>
      <c r="AO120" t="s">
        <v>64</v>
      </c>
      <c r="AQ120" t="s">
        <v>65</v>
      </c>
      <c r="AS120" t="s">
        <v>159</v>
      </c>
    </row>
    <row r="121" ht="15.75" customHeight="1" spans="1:45">
      <c r="A121" t="s">
        <v>169</v>
      </c>
      <c r="B121" t="s">
        <v>75</v>
      </c>
      <c r="C121" t="s">
        <v>47</v>
      </c>
      <c r="D121" t="s">
        <v>156</v>
      </c>
      <c r="E121" t="s">
        <v>119</v>
      </c>
      <c r="F121" t="s">
        <v>149</v>
      </c>
      <c r="H121" t="s">
        <v>121</v>
      </c>
      <c r="I121" t="s">
        <v>122</v>
      </c>
      <c r="J121" t="s">
        <v>53</v>
      </c>
      <c r="K121" t="s">
        <v>54</v>
      </c>
      <c r="L121" t="s">
        <v>55</v>
      </c>
      <c r="M121" t="s">
        <v>160</v>
      </c>
      <c r="N121" t="s">
        <v>124</v>
      </c>
      <c r="O121" t="s">
        <v>143</v>
      </c>
      <c r="Q121" t="s">
        <v>57</v>
      </c>
      <c r="S121">
        <v>1</v>
      </c>
      <c r="U121">
        <v>80000</v>
      </c>
      <c r="Y121" t="s">
        <v>170</v>
      </c>
      <c r="Z121">
        <v>4411</v>
      </c>
      <c r="AA121" t="s">
        <v>62</v>
      </c>
      <c r="AB121" t="s">
        <v>63</v>
      </c>
      <c r="AC121">
        <v>32</v>
      </c>
      <c r="AD121">
        <v>130</v>
      </c>
      <c r="AE121">
        <f t="shared" si="7"/>
        <v>4160</v>
      </c>
      <c r="AF121" s="4">
        <v>0.39</v>
      </c>
      <c r="AG121">
        <f t="shared" si="8"/>
        <v>2537.6</v>
      </c>
      <c r="AH121" s="4">
        <v>0.18</v>
      </c>
      <c r="AI121">
        <f t="shared" si="9"/>
        <v>2994.37</v>
      </c>
      <c r="AJ121" s="4">
        <v>0.1</v>
      </c>
      <c r="AK121">
        <f t="shared" si="10"/>
        <v>299.44</v>
      </c>
      <c r="AL121">
        <f t="shared" si="11"/>
        <v>3293.81</v>
      </c>
      <c r="AM121">
        <f t="shared" si="12"/>
        <v>866.19</v>
      </c>
      <c r="AN121" s="4">
        <f t="shared" si="13"/>
        <v>0.20821875</v>
      </c>
      <c r="AO121" t="s">
        <v>64</v>
      </c>
      <c r="AQ121" t="s">
        <v>65</v>
      </c>
      <c r="AS121" t="s">
        <v>159</v>
      </c>
    </row>
    <row r="122" ht="15.75" customHeight="1" spans="1:45">
      <c r="A122" t="s">
        <v>169</v>
      </c>
      <c r="B122" t="s">
        <v>79</v>
      </c>
      <c r="C122" t="s">
        <v>47</v>
      </c>
      <c r="D122" t="s">
        <v>156</v>
      </c>
      <c r="E122" t="s">
        <v>119</v>
      </c>
      <c r="F122" t="s">
        <v>149</v>
      </c>
      <c r="H122" t="s">
        <v>121</v>
      </c>
      <c r="I122" t="s">
        <v>122</v>
      </c>
      <c r="J122" t="s">
        <v>53</v>
      </c>
      <c r="K122" t="s">
        <v>54</v>
      </c>
      <c r="L122" t="s">
        <v>55</v>
      </c>
      <c r="M122" t="s">
        <v>161</v>
      </c>
      <c r="N122" t="s">
        <v>124</v>
      </c>
      <c r="O122" t="s">
        <v>143</v>
      </c>
      <c r="Q122" t="s">
        <v>57</v>
      </c>
      <c r="S122">
        <v>1</v>
      </c>
      <c r="U122">
        <v>80000</v>
      </c>
      <c r="Y122" t="s">
        <v>170</v>
      </c>
      <c r="Z122">
        <v>4411</v>
      </c>
      <c r="AA122" t="s">
        <v>62</v>
      </c>
      <c r="AB122" t="s">
        <v>63</v>
      </c>
      <c r="AC122">
        <v>32</v>
      </c>
      <c r="AD122" s="5">
        <v>135.01</v>
      </c>
      <c r="AE122">
        <f t="shared" si="7"/>
        <v>4320.32</v>
      </c>
      <c r="AF122" s="4">
        <v>0.39</v>
      </c>
      <c r="AG122">
        <f t="shared" si="8"/>
        <v>2635.4</v>
      </c>
      <c r="AH122" s="4">
        <v>0.18</v>
      </c>
      <c r="AI122">
        <f t="shared" si="9"/>
        <v>3109.77</v>
      </c>
      <c r="AJ122" s="4">
        <v>0.1</v>
      </c>
      <c r="AK122">
        <f t="shared" si="10"/>
        <v>310.98</v>
      </c>
      <c r="AL122">
        <f t="shared" si="11"/>
        <v>3420.75</v>
      </c>
      <c r="AM122">
        <f t="shared" si="12"/>
        <v>899.57</v>
      </c>
      <c r="AN122" s="4">
        <f t="shared" si="13"/>
        <v>0.208218372713132</v>
      </c>
      <c r="AO122" t="s">
        <v>64</v>
      </c>
      <c r="AQ122" t="s">
        <v>65</v>
      </c>
      <c r="AS122" t="s">
        <v>159</v>
      </c>
    </row>
    <row r="123" ht="15.75" customHeight="1" spans="1:45">
      <c r="A123" t="s">
        <v>169</v>
      </c>
      <c r="B123" t="s">
        <v>83</v>
      </c>
      <c r="C123" t="s">
        <v>47</v>
      </c>
      <c r="D123" t="s">
        <v>156</v>
      </c>
      <c r="E123" t="s">
        <v>119</v>
      </c>
      <c r="F123" t="s">
        <v>149</v>
      </c>
      <c r="H123" t="s">
        <v>121</v>
      </c>
      <c r="I123" t="s">
        <v>122</v>
      </c>
      <c r="J123" t="s">
        <v>53</v>
      </c>
      <c r="K123" t="s">
        <v>54</v>
      </c>
      <c r="L123" t="s">
        <v>55</v>
      </c>
      <c r="M123" t="s">
        <v>92</v>
      </c>
      <c r="N123" t="s">
        <v>124</v>
      </c>
      <c r="O123" t="s">
        <v>143</v>
      </c>
      <c r="Q123" t="s">
        <v>57</v>
      </c>
      <c r="S123">
        <v>1</v>
      </c>
      <c r="U123">
        <v>80000</v>
      </c>
      <c r="Y123" t="s">
        <v>170</v>
      </c>
      <c r="Z123">
        <v>4411</v>
      </c>
      <c r="AA123" t="s">
        <v>62</v>
      </c>
      <c r="AB123" t="s">
        <v>63</v>
      </c>
      <c r="AC123">
        <v>32</v>
      </c>
      <c r="AD123">
        <v>148.64</v>
      </c>
      <c r="AE123">
        <f t="shared" si="7"/>
        <v>4756.48</v>
      </c>
      <c r="AF123" s="4">
        <v>0.39</v>
      </c>
      <c r="AG123">
        <f t="shared" si="8"/>
        <v>2901.45</v>
      </c>
      <c r="AH123" s="4">
        <v>0.18</v>
      </c>
      <c r="AI123">
        <f t="shared" si="9"/>
        <v>3423.71</v>
      </c>
      <c r="AJ123" s="4">
        <v>0.1</v>
      </c>
      <c r="AK123">
        <f t="shared" si="10"/>
        <v>342.37</v>
      </c>
      <c r="AL123">
        <f t="shared" si="11"/>
        <v>3766.08</v>
      </c>
      <c r="AM123">
        <f t="shared" si="12"/>
        <v>990.4</v>
      </c>
      <c r="AN123" s="4">
        <f t="shared" si="13"/>
        <v>0.208221205597417</v>
      </c>
      <c r="AO123" t="s">
        <v>64</v>
      </c>
      <c r="AQ123" t="s">
        <v>65</v>
      </c>
      <c r="AS123" t="s">
        <v>159</v>
      </c>
    </row>
    <row r="124" ht="15.75" customHeight="1" spans="1:45">
      <c r="A124" t="s">
        <v>171</v>
      </c>
      <c r="B124" t="s">
        <v>46</v>
      </c>
      <c r="C124" t="s">
        <v>47</v>
      </c>
      <c r="D124" t="s">
        <v>172</v>
      </c>
      <c r="E124" t="s">
        <v>173</v>
      </c>
      <c r="H124" t="s">
        <v>121</v>
      </c>
      <c r="I124" t="s">
        <v>174</v>
      </c>
      <c r="J124" t="s">
        <v>53</v>
      </c>
      <c r="K124" t="s">
        <v>54</v>
      </c>
      <c r="L124" t="s">
        <v>55</v>
      </c>
      <c r="M124" t="s">
        <v>68</v>
      </c>
      <c r="N124" t="s">
        <v>124</v>
      </c>
      <c r="O124" t="s">
        <v>143</v>
      </c>
      <c r="Q124" t="s">
        <v>57</v>
      </c>
      <c r="Y124" t="s">
        <v>175</v>
      </c>
      <c r="Z124">
        <v>3921</v>
      </c>
      <c r="AA124" t="s">
        <v>62</v>
      </c>
      <c r="AB124" t="s">
        <v>63</v>
      </c>
      <c r="AC124">
        <v>32</v>
      </c>
      <c r="AD124">
        <v>46.72</v>
      </c>
      <c r="AE124">
        <f t="shared" si="7"/>
        <v>1495.04</v>
      </c>
      <c r="AF124" s="4">
        <v>0.43</v>
      </c>
      <c r="AG124">
        <f t="shared" si="8"/>
        <v>852.17</v>
      </c>
      <c r="AH124" s="4">
        <v>0.18</v>
      </c>
      <c r="AI124">
        <f t="shared" si="9"/>
        <v>1005.56</v>
      </c>
      <c r="AJ124" s="4">
        <v>0.15</v>
      </c>
      <c r="AK124">
        <f t="shared" si="10"/>
        <v>150.83</v>
      </c>
      <c r="AL124">
        <f t="shared" si="11"/>
        <v>1156.39</v>
      </c>
      <c r="AM124">
        <f t="shared" si="12"/>
        <v>338.65</v>
      </c>
      <c r="AN124" s="4">
        <f t="shared" si="13"/>
        <v>0.226515678510274</v>
      </c>
      <c r="AO124" t="s">
        <v>64</v>
      </c>
      <c r="AQ124" t="s">
        <v>65</v>
      </c>
      <c r="AR124" t="s">
        <v>176</v>
      </c>
      <c r="AS124" t="s">
        <v>177</v>
      </c>
    </row>
    <row r="125" ht="15.75" customHeight="1" spans="1:45">
      <c r="A125" t="s">
        <v>171</v>
      </c>
      <c r="B125" t="s">
        <v>67</v>
      </c>
      <c r="C125" t="s">
        <v>47</v>
      </c>
      <c r="D125" t="s">
        <v>172</v>
      </c>
      <c r="E125" t="s">
        <v>173</v>
      </c>
      <c r="H125" t="s">
        <v>121</v>
      </c>
      <c r="I125" t="s">
        <v>174</v>
      </c>
      <c r="J125" t="s">
        <v>53</v>
      </c>
      <c r="K125" t="s">
        <v>54</v>
      </c>
      <c r="L125" t="s">
        <v>55</v>
      </c>
      <c r="M125" t="s">
        <v>76</v>
      </c>
      <c r="N125" t="s">
        <v>124</v>
      </c>
      <c r="O125" t="s">
        <v>143</v>
      </c>
      <c r="Q125" t="s">
        <v>57</v>
      </c>
      <c r="Y125" t="s">
        <v>175</v>
      </c>
      <c r="Z125">
        <v>3921</v>
      </c>
      <c r="AA125" t="s">
        <v>62</v>
      </c>
      <c r="AB125" t="s">
        <v>63</v>
      </c>
      <c r="AC125">
        <v>32</v>
      </c>
      <c r="AD125">
        <v>98.64</v>
      </c>
      <c r="AE125">
        <f t="shared" si="7"/>
        <v>3156.48</v>
      </c>
      <c r="AF125" s="4">
        <v>0.43</v>
      </c>
      <c r="AG125">
        <f t="shared" si="8"/>
        <v>1799.19</v>
      </c>
      <c r="AH125" s="4">
        <v>0.18</v>
      </c>
      <c r="AI125">
        <f t="shared" si="9"/>
        <v>2123.04</v>
      </c>
      <c r="AJ125" s="4">
        <v>0.15</v>
      </c>
      <c r="AK125">
        <f t="shared" si="10"/>
        <v>318.46</v>
      </c>
      <c r="AL125">
        <f t="shared" si="11"/>
        <v>2441.5</v>
      </c>
      <c r="AM125">
        <f t="shared" si="12"/>
        <v>714.98</v>
      </c>
      <c r="AN125" s="4">
        <f t="shared" si="13"/>
        <v>0.226511810624493</v>
      </c>
      <c r="AO125" t="s">
        <v>64</v>
      </c>
      <c r="AQ125" t="s">
        <v>65</v>
      </c>
      <c r="AS125" t="s">
        <v>177</v>
      </c>
    </row>
    <row r="126" ht="15.75" customHeight="1" spans="1:45">
      <c r="A126" t="s">
        <v>171</v>
      </c>
      <c r="B126" t="s">
        <v>71</v>
      </c>
      <c r="C126" t="s">
        <v>47</v>
      </c>
      <c r="D126" t="s">
        <v>172</v>
      </c>
      <c r="E126" t="s">
        <v>173</v>
      </c>
      <c r="H126" t="s">
        <v>121</v>
      </c>
      <c r="I126" t="s">
        <v>174</v>
      </c>
      <c r="J126" t="s">
        <v>53</v>
      </c>
      <c r="K126" t="s">
        <v>54</v>
      </c>
      <c r="L126" t="s">
        <v>55</v>
      </c>
      <c r="M126" t="s">
        <v>139</v>
      </c>
      <c r="N126" t="s">
        <v>124</v>
      </c>
      <c r="O126" t="s">
        <v>143</v>
      </c>
      <c r="Q126" t="s">
        <v>57</v>
      </c>
      <c r="Y126" t="s">
        <v>175</v>
      </c>
      <c r="Z126">
        <v>3921</v>
      </c>
      <c r="AA126" t="s">
        <v>62</v>
      </c>
      <c r="AB126" t="s">
        <v>63</v>
      </c>
      <c r="AC126">
        <v>32</v>
      </c>
      <c r="AD126">
        <v>103.84</v>
      </c>
      <c r="AE126">
        <f t="shared" si="7"/>
        <v>3322.88</v>
      </c>
      <c r="AF126" s="4">
        <v>0.43</v>
      </c>
      <c r="AG126">
        <f t="shared" si="8"/>
        <v>1894.04</v>
      </c>
      <c r="AH126" s="4">
        <v>0.18</v>
      </c>
      <c r="AI126">
        <f t="shared" si="9"/>
        <v>2234.97</v>
      </c>
      <c r="AJ126" s="4">
        <v>0.15</v>
      </c>
      <c r="AK126">
        <f t="shared" si="10"/>
        <v>335.25</v>
      </c>
      <c r="AL126">
        <f t="shared" si="11"/>
        <v>2570.22</v>
      </c>
      <c r="AM126">
        <f t="shared" si="12"/>
        <v>752.66</v>
      </c>
      <c r="AN126" s="4">
        <f t="shared" si="13"/>
        <v>0.226508330123267</v>
      </c>
      <c r="AO126" t="s">
        <v>64</v>
      </c>
      <c r="AQ126" t="s">
        <v>65</v>
      </c>
      <c r="AS126" t="s">
        <v>177</v>
      </c>
    </row>
    <row r="127" ht="15.75" customHeight="1" spans="1:45">
      <c r="A127" t="s">
        <v>178</v>
      </c>
      <c r="B127" t="s">
        <v>46</v>
      </c>
      <c r="C127" t="s">
        <v>47</v>
      </c>
      <c r="D127" t="s">
        <v>172</v>
      </c>
      <c r="E127" t="s">
        <v>179</v>
      </c>
      <c r="H127" t="s">
        <v>121</v>
      </c>
      <c r="I127" t="s">
        <v>174</v>
      </c>
      <c r="J127" t="s">
        <v>53</v>
      </c>
      <c r="K127" t="s">
        <v>54</v>
      </c>
      <c r="L127" t="s">
        <v>55</v>
      </c>
      <c r="M127" t="s">
        <v>68</v>
      </c>
      <c r="N127" t="s">
        <v>124</v>
      </c>
      <c r="O127" t="s">
        <v>143</v>
      </c>
      <c r="Q127" t="s">
        <v>57</v>
      </c>
      <c r="Y127" t="s">
        <v>180</v>
      </c>
      <c r="Z127">
        <v>3921</v>
      </c>
      <c r="AA127" t="s">
        <v>62</v>
      </c>
      <c r="AB127" t="s">
        <v>63</v>
      </c>
      <c r="AC127">
        <v>32</v>
      </c>
      <c r="AD127">
        <v>77.25</v>
      </c>
      <c r="AE127">
        <f t="shared" si="7"/>
        <v>2472</v>
      </c>
      <c r="AF127" s="4">
        <v>0.37</v>
      </c>
      <c r="AG127">
        <f t="shared" si="8"/>
        <v>1557.36</v>
      </c>
      <c r="AH127" s="4">
        <v>0.18</v>
      </c>
      <c r="AI127">
        <f t="shared" si="9"/>
        <v>1837.68</v>
      </c>
      <c r="AJ127" s="4">
        <v>0.15</v>
      </c>
      <c r="AK127">
        <f t="shared" si="10"/>
        <v>275.65</v>
      </c>
      <c r="AL127">
        <f t="shared" si="11"/>
        <v>2113.33</v>
      </c>
      <c r="AM127">
        <f t="shared" si="12"/>
        <v>358.67</v>
      </c>
      <c r="AN127" s="4">
        <f t="shared" si="13"/>
        <v>0.145093042071197</v>
      </c>
      <c r="AO127" t="s">
        <v>64</v>
      </c>
      <c r="AQ127" t="s">
        <v>65</v>
      </c>
      <c r="AS127" t="s">
        <v>177</v>
      </c>
    </row>
    <row r="128" ht="15.75" customHeight="1" spans="1:45">
      <c r="A128" t="s">
        <v>178</v>
      </c>
      <c r="B128" t="s">
        <v>67</v>
      </c>
      <c r="C128" t="s">
        <v>47</v>
      </c>
      <c r="D128" t="s">
        <v>172</v>
      </c>
      <c r="E128" t="s">
        <v>179</v>
      </c>
      <c r="H128" t="s">
        <v>121</v>
      </c>
      <c r="I128" t="s">
        <v>174</v>
      </c>
      <c r="J128" t="s">
        <v>53</v>
      </c>
      <c r="K128" t="s">
        <v>54</v>
      </c>
      <c r="L128" t="s">
        <v>55</v>
      </c>
      <c r="M128" t="s">
        <v>76</v>
      </c>
      <c r="N128" t="s">
        <v>124</v>
      </c>
      <c r="O128" t="s">
        <v>143</v>
      </c>
      <c r="Q128" t="s">
        <v>57</v>
      </c>
      <c r="Y128" t="s">
        <v>180</v>
      </c>
      <c r="Z128">
        <v>3921</v>
      </c>
      <c r="AA128" t="s">
        <v>62</v>
      </c>
      <c r="AB128" t="s">
        <v>63</v>
      </c>
      <c r="AC128">
        <v>32</v>
      </c>
      <c r="AD128">
        <v>90</v>
      </c>
      <c r="AE128">
        <f t="shared" si="7"/>
        <v>2880</v>
      </c>
      <c r="AF128" s="4">
        <v>0.59</v>
      </c>
      <c r="AG128">
        <f t="shared" si="8"/>
        <v>1180.8</v>
      </c>
      <c r="AH128" s="4">
        <v>0.18</v>
      </c>
      <c r="AI128">
        <f t="shared" si="9"/>
        <v>1393.34</v>
      </c>
      <c r="AJ128" s="4">
        <v>0.15</v>
      </c>
      <c r="AK128">
        <f t="shared" si="10"/>
        <v>209</v>
      </c>
      <c r="AL128">
        <f t="shared" si="11"/>
        <v>1602.34</v>
      </c>
      <c r="AM128">
        <f t="shared" si="12"/>
        <v>1277.66</v>
      </c>
      <c r="AN128" s="4">
        <f t="shared" si="13"/>
        <v>0.443631944444444</v>
      </c>
      <c r="AO128" t="s">
        <v>64</v>
      </c>
      <c r="AQ128" t="s">
        <v>65</v>
      </c>
      <c r="AS128" t="s">
        <v>177</v>
      </c>
    </row>
    <row r="129" ht="15.75" customHeight="1" spans="1:45">
      <c r="A129" t="s">
        <v>178</v>
      </c>
      <c r="B129" t="s">
        <v>71</v>
      </c>
      <c r="C129" t="s">
        <v>47</v>
      </c>
      <c r="D129" t="s">
        <v>172</v>
      </c>
      <c r="E129" t="s">
        <v>179</v>
      </c>
      <c r="H129" t="s">
        <v>121</v>
      </c>
      <c r="I129" t="s">
        <v>174</v>
      </c>
      <c r="J129" t="s">
        <v>53</v>
      </c>
      <c r="K129" t="s">
        <v>54</v>
      </c>
      <c r="L129" t="s">
        <v>55</v>
      </c>
      <c r="M129" t="s">
        <v>92</v>
      </c>
      <c r="N129" t="s">
        <v>124</v>
      </c>
      <c r="O129" t="s">
        <v>143</v>
      </c>
      <c r="Q129" t="s">
        <v>57</v>
      </c>
      <c r="Y129" t="s">
        <v>180</v>
      </c>
      <c r="Z129">
        <v>3921</v>
      </c>
      <c r="AA129" t="s">
        <v>62</v>
      </c>
      <c r="AB129" t="s">
        <v>63</v>
      </c>
      <c r="AC129">
        <v>32</v>
      </c>
      <c r="AD129">
        <v>105</v>
      </c>
      <c r="AE129">
        <f t="shared" si="7"/>
        <v>3360</v>
      </c>
      <c r="AF129" s="4">
        <v>0.59</v>
      </c>
      <c r="AG129">
        <f t="shared" si="8"/>
        <v>1377.6</v>
      </c>
      <c r="AH129" s="4">
        <v>0.18</v>
      </c>
      <c r="AI129">
        <f t="shared" si="9"/>
        <v>1625.57</v>
      </c>
      <c r="AJ129" s="4">
        <v>0.15</v>
      </c>
      <c r="AK129">
        <f t="shared" si="10"/>
        <v>243.84</v>
      </c>
      <c r="AL129">
        <f t="shared" si="11"/>
        <v>1869.41</v>
      </c>
      <c r="AM129">
        <f t="shared" si="12"/>
        <v>1490.59</v>
      </c>
      <c r="AN129" s="4">
        <f t="shared" si="13"/>
        <v>0.443627976190476</v>
      </c>
      <c r="AO129" t="s">
        <v>64</v>
      </c>
      <c r="AQ129" t="s">
        <v>65</v>
      </c>
      <c r="AS129" t="s">
        <v>177</v>
      </c>
    </row>
    <row r="130" ht="15.75" customHeight="1" spans="1:45">
      <c r="A130" t="s">
        <v>181</v>
      </c>
      <c r="B130" t="s">
        <v>46</v>
      </c>
      <c r="C130" t="s">
        <v>47</v>
      </c>
      <c r="D130" t="s">
        <v>182</v>
      </c>
      <c r="E130" t="s">
        <v>183</v>
      </c>
      <c r="F130" t="s">
        <v>184</v>
      </c>
      <c r="H130" t="s">
        <v>55</v>
      </c>
      <c r="I130" t="s">
        <v>185</v>
      </c>
      <c r="J130" t="s">
        <v>186</v>
      </c>
      <c r="K130" t="s">
        <v>187</v>
      </c>
      <c r="L130" t="s">
        <v>124</v>
      </c>
      <c r="M130" t="s">
        <v>188</v>
      </c>
      <c r="Q130" t="s">
        <v>57</v>
      </c>
      <c r="R130">
        <v>1001</v>
      </c>
      <c r="Y130" t="s">
        <v>189</v>
      </c>
      <c r="Z130">
        <v>3926</v>
      </c>
      <c r="AA130" t="s">
        <v>190</v>
      </c>
      <c r="AB130" t="s">
        <v>191</v>
      </c>
      <c r="AC130">
        <v>50</v>
      </c>
      <c r="AD130">
        <v>22.31</v>
      </c>
      <c r="AE130">
        <v>1037.5</v>
      </c>
      <c r="AF130" s="4">
        <v>0.6</v>
      </c>
      <c r="AG130">
        <f t="shared" ref="AG130:AG154" si="14">ROUND(AE130-(AE130*AF130),2)</f>
        <v>415</v>
      </c>
      <c r="AH130" s="4">
        <v>0.18</v>
      </c>
      <c r="AI130">
        <f t="shared" ref="AI130:AI193" si="15">ROUND(AG130+(AG130*AH130),2)</f>
        <v>489.7</v>
      </c>
      <c r="AJ130" s="4">
        <v>0.2</v>
      </c>
      <c r="AK130">
        <f t="shared" ref="AK130:AK193" si="16">ROUND(AI130*AJ130,2)</f>
        <v>97.94</v>
      </c>
      <c r="AL130">
        <f t="shared" ref="AL130:AL193" si="17">AI130+AK130</f>
        <v>587.64</v>
      </c>
      <c r="AM130">
        <f t="shared" ref="AM130:AM193" si="18">AE130-AL130</f>
        <v>449.86</v>
      </c>
      <c r="AN130" s="4">
        <f t="shared" ref="AN130:AN193" si="19">AM130/AE130</f>
        <v>0.4336</v>
      </c>
    </row>
    <row r="131" ht="15.75" customHeight="1" spans="1:45">
      <c r="A131" t="s">
        <v>181</v>
      </c>
      <c r="B131" t="s">
        <v>67</v>
      </c>
      <c r="C131" t="s">
        <v>47</v>
      </c>
      <c r="D131" t="s">
        <v>182</v>
      </c>
      <c r="E131" t="s">
        <v>183</v>
      </c>
      <c r="F131" t="s">
        <v>184</v>
      </c>
      <c r="H131" t="s">
        <v>55</v>
      </c>
      <c r="I131" t="s">
        <v>185</v>
      </c>
      <c r="J131" t="s">
        <v>186</v>
      </c>
      <c r="K131" t="s">
        <v>187</v>
      </c>
      <c r="L131" t="s">
        <v>124</v>
      </c>
      <c r="M131" t="s">
        <v>192</v>
      </c>
      <c r="Q131" t="s">
        <v>57</v>
      </c>
      <c r="R131">
        <v>1101</v>
      </c>
      <c r="Y131" t="s">
        <v>193</v>
      </c>
      <c r="Z131">
        <v>3926</v>
      </c>
      <c r="AA131" t="s">
        <v>190</v>
      </c>
      <c r="AB131" t="s">
        <v>191</v>
      </c>
      <c r="AC131">
        <v>50</v>
      </c>
      <c r="AD131">
        <v>22.31</v>
      </c>
      <c r="AE131">
        <v>1037.5</v>
      </c>
      <c r="AF131" s="4">
        <v>0.6</v>
      </c>
      <c r="AG131">
        <f t="shared" si="14"/>
        <v>415</v>
      </c>
      <c r="AH131" s="4">
        <v>0.18</v>
      </c>
      <c r="AI131">
        <f t="shared" si="15"/>
        <v>489.7</v>
      </c>
      <c r="AJ131" s="4">
        <v>0.2</v>
      </c>
      <c r="AK131">
        <f t="shared" si="16"/>
        <v>97.94</v>
      </c>
      <c r="AL131">
        <f t="shared" si="17"/>
        <v>587.64</v>
      </c>
      <c r="AM131">
        <f t="shared" si="18"/>
        <v>449.86</v>
      </c>
      <c r="AN131" s="4">
        <f t="shared" si="19"/>
        <v>0.4336</v>
      </c>
    </row>
    <row r="132" ht="15.75" customHeight="1" spans="1:45">
      <c r="A132" t="s">
        <v>181</v>
      </c>
      <c r="B132" t="s">
        <v>71</v>
      </c>
      <c r="C132" t="s">
        <v>47</v>
      </c>
      <c r="D132" t="s">
        <v>182</v>
      </c>
      <c r="E132" t="s">
        <v>183</v>
      </c>
      <c r="F132" t="s">
        <v>184</v>
      </c>
      <c r="H132" t="s">
        <v>55</v>
      </c>
      <c r="I132" t="s">
        <v>185</v>
      </c>
      <c r="J132" t="s">
        <v>186</v>
      </c>
      <c r="K132" t="s">
        <v>187</v>
      </c>
      <c r="L132" t="s">
        <v>124</v>
      </c>
      <c r="M132" t="s">
        <v>163</v>
      </c>
      <c r="Q132" t="s">
        <v>57</v>
      </c>
      <c r="R132">
        <v>1002</v>
      </c>
      <c r="Y132" t="s">
        <v>194</v>
      </c>
      <c r="Z132">
        <v>3926</v>
      </c>
      <c r="AA132" t="s">
        <v>190</v>
      </c>
      <c r="AB132" t="s">
        <v>191</v>
      </c>
      <c r="AC132">
        <v>50</v>
      </c>
      <c r="AD132">
        <v>22.31</v>
      </c>
      <c r="AE132">
        <v>1037.5</v>
      </c>
      <c r="AF132" s="4">
        <v>0.6</v>
      </c>
      <c r="AG132">
        <f t="shared" si="14"/>
        <v>415</v>
      </c>
      <c r="AH132" s="4">
        <v>0.18</v>
      </c>
      <c r="AI132">
        <f t="shared" si="15"/>
        <v>489.7</v>
      </c>
      <c r="AJ132" s="4">
        <v>0.2</v>
      </c>
      <c r="AK132">
        <f t="shared" si="16"/>
        <v>97.94</v>
      </c>
      <c r="AL132">
        <f t="shared" si="17"/>
        <v>587.64</v>
      </c>
      <c r="AM132">
        <f t="shared" si="18"/>
        <v>449.86</v>
      </c>
      <c r="AN132" s="4">
        <f t="shared" si="19"/>
        <v>0.4336</v>
      </c>
    </row>
    <row r="133" ht="15.75" customHeight="1" spans="1:45">
      <c r="A133" t="s">
        <v>181</v>
      </c>
      <c r="B133" t="s">
        <v>75</v>
      </c>
      <c r="C133" t="s">
        <v>47</v>
      </c>
      <c r="D133" t="s">
        <v>182</v>
      </c>
      <c r="E133" t="s">
        <v>183</v>
      </c>
      <c r="F133" t="s">
        <v>184</v>
      </c>
      <c r="H133" t="s">
        <v>55</v>
      </c>
      <c r="I133" t="s">
        <v>185</v>
      </c>
      <c r="J133" t="s">
        <v>186</v>
      </c>
      <c r="K133" t="s">
        <v>187</v>
      </c>
      <c r="L133" t="s">
        <v>124</v>
      </c>
      <c r="M133" t="s">
        <v>195</v>
      </c>
      <c r="Q133" t="s">
        <v>57</v>
      </c>
      <c r="R133">
        <v>1102</v>
      </c>
      <c r="Y133" t="s">
        <v>196</v>
      </c>
      <c r="Z133">
        <v>3926</v>
      </c>
      <c r="AA133" t="s">
        <v>190</v>
      </c>
      <c r="AB133" t="s">
        <v>191</v>
      </c>
      <c r="AC133">
        <v>50</v>
      </c>
      <c r="AD133">
        <v>22.31</v>
      </c>
      <c r="AE133">
        <v>1037.5</v>
      </c>
      <c r="AF133" s="4">
        <v>0.6</v>
      </c>
      <c r="AG133">
        <f t="shared" si="14"/>
        <v>415</v>
      </c>
      <c r="AH133" s="4">
        <v>0.18</v>
      </c>
      <c r="AI133">
        <f t="shared" si="15"/>
        <v>489.7</v>
      </c>
      <c r="AJ133" s="4">
        <v>0.2</v>
      </c>
      <c r="AK133">
        <f t="shared" si="16"/>
        <v>97.94</v>
      </c>
      <c r="AL133">
        <f t="shared" si="17"/>
        <v>587.64</v>
      </c>
      <c r="AM133">
        <f t="shared" si="18"/>
        <v>449.86</v>
      </c>
      <c r="AN133" s="4">
        <f t="shared" si="19"/>
        <v>0.4336</v>
      </c>
    </row>
    <row r="134" ht="15.75" customHeight="1" spans="1:45">
      <c r="A134" t="s">
        <v>181</v>
      </c>
      <c r="B134" t="s">
        <v>79</v>
      </c>
      <c r="C134" t="s">
        <v>47</v>
      </c>
      <c r="D134" t="s">
        <v>182</v>
      </c>
      <c r="E134" t="s">
        <v>183</v>
      </c>
      <c r="F134" t="s">
        <v>184</v>
      </c>
      <c r="H134" t="s">
        <v>55</v>
      </c>
      <c r="I134" t="s">
        <v>185</v>
      </c>
      <c r="J134" t="s">
        <v>186</v>
      </c>
      <c r="K134" t="s">
        <v>187</v>
      </c>
      <c r="L134" t="s">
        <v>124</v>
      </c>
      <c r="M134" t="s">
        <v>197</v>
      </c>
      <c r="Q134" t="s">
        <v>57</v>
      </c>
      <c r="R134">
        <v>1003</v>
      </c>
      <c r="Y134" t="s">
        <v>198</v>
      </c>
      <c r="Z134">
        <v>3926</v>
      </c>
      <c r="AA134" t="s">
        <v>190</v>
      </c>
      <c r="AB134" t="s">
        <v>191</v>
      </c>
      <c r="AC134">
        <v>50</v>
      </c>
      <c r="AD134">
        <v>22.31</v>
      </c>
      <c r="AE134">
        <v>1037.5</v>
      </c>
      <c r="AF134" s="4">
        <v>0.6</v>
      </c>
      <c r="AG134">
        <f t="shared" si="14"/>
        <v>415</v>
      </c>
      <c r="AH134" s="4">
        <v>0.18</v>
      </c>
      <c r="AI134">
        <f t="shared" si="15"/>
        <v>489.7</v>
      </c>
      <c r="AJ134" s="4">
        <v>0.2</v>
      </c>
      <c r="AK134">
        <f t="shared" si="16"/>
        <v>97.94</v>
      </c>
      <c r="AL134">
        <f t="shared" si="17"/>
        <v>587.64</v>
      </c>
      <c r="AM134">
        <f t="shared" si="18"/>
        <v>449.86</v>
      </c>
      <c r="AN134" s="4">
        <f t="shared" si="19"/>
        <v>0.4336</v>
      </c>
    </row>
    <row r="135" ht="15.75" customHeight="1" spans="1:45">
      <c r="A135" t="s">
        <v>181</v>
      </c>
      <c r="B135" t="s">
        <v>83</v>
      </c>
      <c r="C135" t="s">
        <v>47</v>
      </c>
      <c r="D135" t="s">
        <v>182</v>
      </c>
      <c r="E135" t="s">
        <v>183</v>
      </c>
      <c r="F135" t="s">
        <v>184</v>
      </c>
      <c r="H135" t="s">
        <v>55</v>
      </c>
      <c r="I135" t="s">
        <v>185</v>
      </c>
      <c r="J135" t="s">
        <v>186</v>
      </c>
      <c r="K135" t="s">
        <v>187</v>
      </c>
      <c r="L135" t="s">
        <v>124</v>
      </c>
      <c r="M135" t="s">
        <v>199</v>
      </c>
      <c r="Q135" t="s">
        <v>57</v>
      </c>
      <c r="R135">
        <v>1103</v>
      </c>
      <c r="Y135" t="s">
        <v>200</v>
      </c>
      <c r="Z135">
        <v>3926</v>
      </c>
      <c r="AA135" t="s">
        <v>190</v>
      </c>
      <c r="AB135" t="s">
        <v>191</v>
      </c>
      <c r="AC135">
        <v>50</v>
      </c>
      <c r="AD135">
        <v>22.31</v>
      </c>
      <c r="AE135">
        <v>1037.5</v>
      </c>
      <c r="AF135" s="4">
        <v>0.6</v>
      </c>
      <c r="AG135">
        <f t="shared" si="14"/>
        <v>415</v>
      </c>
      <c r="AH135" s="4">
        <v>0.18</v>
      </c>
      <c r="AI135">
        <f t="shared" si="15"/>
        <v>489.7</v>
      </c>
      <c r="AJ135" s="4">
        <v>0.2</v>
      </c>
      <c r="AK135">
        <f t="shared" si="16"/>
        <v>97.94</v>
      </c>
      <c r="AL135">
        <f t="shared" si="17"/>
        <v>587.64</v>
      </c>
      <c r="AM135">
        <f t="shared" si="18"/>
        <v>449.86</v>
      </c>
      <c r="AN135" s="4">
        <f t="shared" si="19"/>
        <v>0.4336</v>
      </c>
    </row>
    <row r="136" ht="15.75" customHeight="1" spans="1:45">
      <c r="A136" t="s">
        <v>181</v>
      </c>
      <c r="B136" t="s">
        <v>131</v>
      </c>
      <c r="C136" t="s">
        <v>47</v>
      </c>
      <c r="D136" t="s">
        <v>182</v>
      </c>
      <c r="E136" t="s">
        <v>183</v>
      </c>
      <c r="F136" t="s">
        <v>184</v>
      </c>
      <c r="H136" t="s">
        <v>55</v>
      </c>
      <c r="I136" t="s">
        <v>201</v>
      </c>
      <c r="J136" t="s">
        <v>186</v>
      </c>
      <c r="K136" t="s">
        <v>187</v>
      </c>
      <c r="L136" t="s">
        <v>124</v>
      </c>
      <c r="M136" t="s">
        <v>188</v>
      </c>
      <c r="Q136" t="s">
        <v>57</v>
      </c>
      <c r="R136">
        <v>1001</v>
      </c>
      <c r="Y136" t="s">
        <v>189</v>
      </c>
      <c r="Z136">
        <v>3926</v>
      </c>
      <c r="AA136" t="s">
        <v>190</v>
      </c>
      <c r="AB136" t="s">
        <v>191</v>
      </c>
      <c r="AC136">
        <v>50</v>
      </c>
      <c r="AD136" s="5">
        <v>50.7</v>
      </c>
      <c r="AE136">
        <v>2452.5</v>
      </c>
      <c r="AF136" s="4">
        <v>0.6</v>
      </c>
      <c r="AG136">
        <f t="shared" si="14"/>
        <v>981</v>
      </c>
      <c r="AH136" s="4">
        <v>0.18</v>
      </c>
      <c r="AI136">
        <f t="shared" si="15"/>
        <v>1157.58</v>
      </c>
      <c r="AJ136" s="4">
        <v>0.2</v>
      </c>
      <c r="AK136">
        <f t="shared" si="16"/>
        <v>231.52</v>
      </c>
      <c r="AL136">
        <f t="shared" si="17"/>
        <v>1389.1</v>
      </c>
      <c r="AM136">
        <f t="shared" si="18"/>
        <v>1063.4</v>
      </c>
      <c r="AN136" s="4">
        <f t="shared" si="19"/>
        <v>0.433598369011213</v>
      </c>
    </row>
    <row r="137" ht="15.75" customHeight="1" spans="1:45">
      <c r="A137" t="s">
        <v>181</v>
      </c>
      <c r="B137" t="s">
        <v>133</v>
      </c>
      <c r="C137" t="s">
        <v>47</v>
      </c>
      <c r="D137" t="s">
        <v>182</v>
      </c>
      <c r="E137" t="s">
        <v>183</v>
      </c>
      <c r="F137" t="s">
        <v>184</v>
      </c>
      <c r="H137" t="s">
        <v>55</v>
      </c>
      <c r="I137" t="s">
        <v>201</v>
      </c>
      <c r="J137" t="s">
        <v>186</v>
      </c>
      <c r="K137" t="s">
        <v>187</v>
      </c>
      <c r="L137" t="s">
        <v>124</v>
      </c>
      <c r="M137" t="s">
        <v>192</v>
      </c>
      <c r="Q137" t="s">
        <v>57</v>
      </c>
      <c r="R137">
        <v>1101</v>
      </c>
      <c r="Y137" t="s">
        <v>193</v>
      </c>
      <c r="Z137">
        <v>3926</v>
      </c>
      <c r="AA137" t="s">
        <v>190</v>
      </c>
      <c r="AB137" t="s">
        <v>191</v>
      </c>
      <c r="AC137">
        <v>50</v>
      </c>
      <c r="AD137" s="5">
        <v>50.7</v>
      </c>
      <c r="AE137">
        <v>2452.5</v>
      </c>
      <c r="AF137" s="4">
        <v>0.6</v>
      </c>
      <c r="AG137">
        <f t="shared" si="14"/>
        <v>981</v>
      </c>
      <c r="AH137" s="4">
        <v>0.18</v>
      </c>
      <c r="AI137">
        <f t="shared" si="15"/>
        <v>1157.58</v>
      </c>
      <c r="AJ137" s="4">
        <v>0.2</v>
      </c>
      <c r="AK137">
        <f t="shared" si="16"/>
        <v>231.52</v>
      </c>
      <c r="AL137">
        <f t="shared" si="17"/>
        <v>1389.1</v>
      </c>
      <c r="AM137">
        <f t="shared" si="18"/>
        <v>1063.4</v>
      </c>
      <c r="AN137" s="4">
        <f t="shared" si="19"/>
        <v>0.433598369011213</v>
      </c>
    </row>
    <row r="138" ht="15.75" customHeight="1" spans="1:45">
      <c r="A138" t="s">
        <v>181</v>
      </c>
      <c r="B138" t="s">
        <v>135</v>
      </c>
      <c r="C138" t="s">
        <v>47</v>
      </c>
      <c r="D138" t="s">
        <v>182</v>
      </c>
      <c r="E138" t="s">
        <v>183</v>
      </c>
      <c r="F138" t="s">
        <v>184</v>
      </c>
      <c r="H138" t="s">
        <v>55</v>
      </c>
      <c r="I138" t="s">
        <v>201</v>
      </c>
      <c r="J138" t="s">
        <v>186</v>
      </c>
      <c r="K138" t="s">
        <v>187</v>
      </c>
      <c r="L138" t="s">
        <v>124</v>
      </c>
      <c r="M138" t="s">
        <v>163</v>
      </c>
      <c r="Q138" t="s">
        <v>57</v>
      </c>
      <c r="R138">
        <v>1002</v>
      </c>
      <c r="Y138" t="s">
        <v>194</v>
      </c>
      <c r="Z138">
        <v>3926</v>
      </c>
      <c r="AA138" t="s">
        <v>190</v>
      </c>
      <c r="AB138" t="s">
        <v>191</v>
      </c>
      <c r="AC138">
        <v>50</v>
      </c>
      <c r="AD138" s="5">
        <v>50.7</v>
      </c>
      <c r="AE138">
        <v>2452.5</v>
      </c>
      <c r="AF138" s="4">
        <v>0.6</v>
      </c>
      <c r="AG138">
        <f t="shared" si="14"/>
        <v>981</v>
      </c>
      <c r="AH138" s="4">
        <v>0.18</v>
      </c>
      <c r="AI138">
        <f t="shared" si="15"/>
        <v>1157.58</v>
      </c>
      <c r="AJ138" s="4">
        <v>0.2</v>
      </c>
      <c r="AK138">
        <f t="shared" si="16"/>
        <v>231.52</v>
      </c>
      <c r="AL138">
        <f t="shared" si="17"/>
        <v>1389.1</v>
      </c>
      <c r="AM138">
        <f t="shared" si="18"/>
        <v>1063.4</v>
      </c>
      <c r="AN138" s="4">
        <f t="shared" si="19"/>
        <v>0.433598369011213</v>
      </c>
    </row>
    <row r="139" ht="15.75" customHeight="1" spans="1:45">
      <c r="A139" t="s">
        <v>181</v>
      </c>
      <c r="B139" t="s">
        <v>137</v>
      </c>
      <c r="C139" t="s">
        <v>47</v>
      </c>
      <c r="D139" t="s">
        <v>182</v>
      </c>
      <c r="E139" t="s">
        <v>183</v>
      </c>
      <c r="F139" t="s">
        <v>184</v>
      </c>
      <c r="H139" t="s">
        <v>55</v>
      </c>
      <c r="I139" t="s">
        <v>201</v>
      </c>
      <c r="J139" t="s">
        <v>186</v>
      </c>
      <c r="K139" t="s">
        <v>187</v>
      </c>
      <c r="L139" t="s">
        <v>124</v>
      </c>
      <c r="M139" t="s">
        <v>195</v>
      </c>
      <c r="Q139" t="s">
        <v>57</v>
      </c>
      <c r="R139">
        <v>1102</v>
      </c>
      <c r="Y139" t="s">
        <v>196</v>
      </c>
      <c r="Z139">
        <v>3926</v>
      </c>
      <c r="AA139" t="s">
        <v>190</v>
      </c>
      <c r="AB139" t="s">
        <v>191</v>
      </c>
      <c r="AC139">
        <v>50</v>
      </c>
      <c r="AD139" s="5">
        <v>50.7</v>
      </c>
      <c r="AE139">
        <v>2452.5</v>
      </c>
      <c r="AF139" s="4">
        <v>0.6</v>
      </c>
      <c r="AG139">
        <f t="shared" si="14"/>
        <v>981</v>
      </c>
      <c r="AH139" s="4">
        <v>0.18</v>
      </c>
      <c r="AI139">
        <f t="shared" si="15"/>
        <v>1157.58</v>
      </c>
      <c r="AJ139" s="4">
        <v>0.2</v>
      </c>
      <c r="AK139">
        <f t="shared" si="16"/>
        <v>231.52</v>
      </c>
      <c r="AL139">
        <f t="shared" si="17"/>
        <v>1389.1</v>
      </c>
      <c r="AM139">
        <f t="shared" si="18"/>
        <v>1063.4</v>
      </c>
      <c r="AN139" s="4">
        <f t="shared" si="19"/>
        <v>0.433598369011213</v>
      </c>
    </row>
    <row r="140" ht="15.75" customHeight="1" spans="1:45">
      <c r="A140" t="s">
        <v>181</v>
      </c>
      <c r="B140" t="s">
        <v>138</v>
      </c>
      <c r="C140" t="s">
        <v>47</v>
      </c>
      <c r="D140" t="s">
        <v>182</v>
      </c>
      <c r="E140" t="s">
        <v>183</v>
      </c>
      <c r="F140" t="s">
        <v>184</v>
      </c>
      <c r="H140" t="s">
        <v>55</v>
      </c>
      <c r="I140" t="s">
        <v>201</v>
      </c>
      <c r="J140" t="s">
        <v>186</v>
      </c>
      <c r="K140" t="s">
        <v>187</v>
      </c>
      <c r="L140" t="s">
        <v>124</v>
      </c>
      <c r="M140" t="s">
        <v>197</v>
      </c>
      <c r="Q140" t="s">
        <v>57</v>
      </c>
      <c r="R140">
        <v>1003</v>
      </c>
      <c r="Y140" t="s">
        <v>198</v>
      </c>
      <c r="Z140">
        <v>3926</v>
      </c>
      <c r="AA140" t="s">
        <v>190</v>
      </c>
      <c r="AB140" t="s">
        <v>191</v>
      </c>
      <c r="AC140">
        <v>50</v>
      </c>
      <c r="AD140" s="5">
        <v>50.7</v>
      </c>
      <c r="AE140">
        <v>2452.5</v>
      </c>
      <c r="AF140" s="4">
        <v>0.6</v>
      </c>
      <c r="AG140">
        <f t="shared" si="14"/>
        <v>981</v>
      </c>
      <c r="AH140" s="4">
        <v>0.18</v>
      </c>
      <c r="AI140">
        <f t="shared" si="15"/>
        <v>1157.58</v>
      </c>
      <c r="AJ140" s="4">
        <v>0.2</v>
      </c>
      <c r="AK140">
        <f t="shared" si="16"/>
        <v>231.52</v>
      </c>
      <c r="AL140">
        <f t="shared" si="17"/>
        <v>1389.1</v>
      </c>
      <c r="AM140">
        <f t="shared" si="18"/>
        <v>1063.4</v>
      </c>
      <c r="AN140" s="4">
        <f t="shared" si="19"/>
        <v>0.433598369011213</v>
      </c>
    </row>
    <row r="141" ht="15.75" customHeight="1" spans="1:45">
      <c r="A141" t="s">
        <v>181</v>
      </c>
      <c r="B141" t="s">
        <v>140</v>
      </c>
      <c r="C141" t="s">
        <v>47</v>
      </c>
      <c r="D141" t="s">
        <v>182</v>
      </c>
      <c r="E141" t="s">
        <v>183</v>
      </c>
      <c r="F141" t="s">
        <v>184</v>
      </c>
      <c r="H141" t="s">
        <v>55</v>
      </c>
      <c r="I141" t="s">
        <v>201</v>
      </c>
      <c r="J141" t="s">
        <v>186</v>
      </c>
      <c r="K141" t="s">
        <v>187</v>
      </c>
      <c r="L141" t="s">
        <v>124</v>
      </c>
      <c r="M141" t="s">
        <v>199</v>
      </c>
      <c r="Q141" t="s">
        <v>57</v>
      </c>
      <c r="R141">
        <v>1103</v>
      </c>
      <c r="Y141" t="s">
        <v>200</v>
      </c>
      <c r="Z141">
        <v>3926</v>
      </c>
      <c r="AA141" t="s">
        <v>190</v>
      </c>
      <c r="AB141" t="s">
        <v>191</v>
      </c>
      <c r="AC141">
        <v>50</v>
      </c>
      <c r="AD141" s="5">
        <v>50.7</v>
      </c>
      <c r="AE141">
        <v>2452.5</v>
      </c>
      <c r="AF141" s="4">
        <v>0.6</v>
      </c>
      <c r="AG141">
        <f t="shared" si="14"/>
        <v>981</v>
      </c>
      <c r="AH141" s="4">
        <v>0.18</v>
      </c>
      <c r="AI141">
        <f t="shared" si="15"/>
        <v>1157.58</v>
      </c>
      <c r="AJ141" s="4">
        <v>0.2</v>
      </c>
      <c r="AK141">
        <f t="shared" si="16"/>
        <v>231.52</v>
      </c>
      <c r="AL141">
        <f t="shared" si="17"/>
        <v>1389.1</v>
      </c>
      <c r="AM141">
        <f t="shared" si="18"/>
        <v>1063.4</v>
      </c>
      <c r="AN141" s="4">
        <f t="shared" si="19"/>
        <v>0.433598369011213</v>
      </c>
    </row>
    <row r="142" ht="15.75" customHeight="1" spans="1:45">
      <c r="A142" t="s">
        <v>181</v>
      </c>
      <c r="B142" t="s">
        <v>202</v>
      </c>
      <c r="C142" t="s">
        <v>47</v>
      </c>
      <c r="D142" t="s">
        <v>182</v>
      </c>
      <c r="E142" t="s">
        <v>183</v>
      </c>
      <c r="F142" t="s">
        <v>184</v>
      </c>
      <c r="H142" t="s">
        <v>55</v>
      </c>
      <c r="I142" t="s">
        <v>185</v>
      </c>
      <c r="J142" t="s">
        <v>186</v>
      </c>
      <c r="K142" t="s">
        <v>187</v>
      </c>
      <c r="L142" t="s">
        <v>124</v>
      </c>
      <c r="M142" t="s">
        <v>188</v>
      </c>
      <c r="Q142" t="s">
        <v>57</v>
      </c>
      <c r="R142">
        <v>1001</v>
      </c>
      <c r="Y142" t="s">
        <v>189</v>
      </c>
      <c r="Z142">
        <v>3926</v>
      </c>
      <c r="AA142" t="s">
        <v>190</v>
      </c>
      <c r="AB142" t="s">
        <v>191</v>
      </c>
      <c r="AC142">
        <v>50</v>
      </c>
      <c r="AD142">
        <v>22.31</v>
      </c>
      <c r="AE142">
        <v>1037.5</v>
      </c>
      <c r="AF142" s="4">
        <v>0.6</v>
      </c>
      <c r="AG142">
        <f t="shared" si="14"/>
        <v>415</v>
      </c>
      <c r="AH142" s="4">
        <v>0.18</v>
      </c>
      <c r="AI142">
        <f t="shared" si="15"/>
        <v>489.7</v>
      </c>
      <c r="AJ142" s="4">
        <v>0.2</v>
      </c>
      <c r="AK142">
        <f t="shared" si="16"/>
        <v>97.94</v>
      </c>
      <c r="AL142">
        <f t="shared" si="17"/>
        <v>587.64</v>
      </c>
      <c r="AM142">
        <f t="shared" si="18"/>
        <v>449.86</v>
      </c>
      <c r="AN142" s="4">
        <f t="shared" si="19"/>
        <v>0.4336</v>
      </c>
    </row>
    <row r="143" ht="15.75" customHeight="1" spans="1:45">
      <c r="A143" t="s">
        <v>181</v>
      </c>
      <c r="B143" t="s">
        <v>203</v>
      </c>
      <c r="C143" t="s">
        <v>47</v>
      </c>
      <c r="D143" t="s">
        <v>182</v>
      </c>
      <c r="E143" t="s">
        <v>183</v>
      </c>
      <c r="F143" t="s">
        <v>184</v>
      </c>
      <c r="H143" t="s">
        <v>55</v>
      </c>
      <c r="I143" t="s">
        <v>185</v>
      </c>
      <c r="J143" t="s">
        <v>186</v>
      </c>
      <c r="K143" t="s">
        <v>187</v>
      </c>
      <c r="L143" t="s">
        <v>124</v>
      </c>
      <c r="M143" t="s">
        <v>192</v>
      </c>
      <c r="Q143" t="s">
        <v>57</v>
      </c>
      <c r="R143">
        <v>1101</v>
      </c>
      <c r="Y143" t="s">
        <v>193</v>
      </c>
      <c r="Z143">
        <v>3926</v>
      </c>
      <c r="AA143" t="s">
        <v>190</v>
      </c>
      <c r="AB143" t="s">
        <v>191</v>
      </c>
      <c r="AC143">
        <v>50</v>
      </c>
      <c r="AD143">
        <v>22.31</v>
      </c>
      <c r="AE143">
        <v>1037.5</v>
      </c>
      <c r="AF143" s="4">
        <v>0.6</v>
      </c>
      <c r="AG143">
        <f t="shared" si="14"/>
        <v>415</v>
      </c>
      <c r="AH143" s="4">
        <v>0.18</v>
      </c>
      <c r="AI143">
        <f t="shared" si="15"/>
        <v>489.7</v>
      </c>
      <c r="AJ143" s="4">
        <v>0.2</v>
      </c>
      <c r="AK143">
        <f t="shared" si="16"/>
        <v>97.94</v>
      </c>
      <c r="AL143">
        <f t="shared" si="17"/>
        <v>587.64</v>
      </c>
      <c r="AM143">
        <f t="shared" si="18"/>
        <v>449.86</v>
      </c>
      <c r="AN143" s="4">
        <f t="shared" si="19"/>
        <v>0.4336</v>
      </c>
    </row>
    <row r="144" ht="15.75" customHeight="1" spans="1:45">
      <c r="A144" t="s">
        <v>181</v>
      </c>
      <c r="B144" t="s">
        <v>204</v>
      </c>
      <c r="C144" t="s">
        <v>47</v>
      </c>
      <c r="D144" t="s">
        <v>182</v>
      </c>
      <c r="E144" t="s">
        <v>183</v>
      </c>
      <c r="F144" t="s">
        <v>184</v>
      </c>
      <c r="H144" t="s">
        <v>55</v>
      </c>
      <c r="I144" t="s">
        <v>185</v>
      </c>
      <c r="J144" t="s">
        <v>186</v>
      </c>
      <c r="K144" t="s">
        <v>187</v>
      </c>
      <c r="L144" t="s">
        <v>124</v>
      </c>
      <c r="M144" t="s">
        <v>163</v>
      </c>
      <c r="Q144" t="s">
        <v>57</v>
      </c>
      <c r="R144">
        <v>1002</v>
      </c>
      <c r="Y144" t="s">
        <v>194</v>
      </c>
      <c r="Z144">
        <v>3926</v>
      </c>
      <c r="AA144" t="s">
        <v>190</v>
      </c>
      <c r="AB144" t="s">
        <v>191</v>
      </c>
      <c r="AC144">
        <v>50</v>
      </c>
      <c r="AD144">
        <v>22.31</v>
      </c>
      <c r="AE144">
        <v>1037.5</v>
      </c>
      <c r="AF144" s="4">
        <v>0.6</v>
      </c>
      <c r="AG144">
        <f t="shared" si="14"/>
        <v>415</v>
      </c>
      <c r="AH144" s="4">
        <v>0.18</v>
      </c>
      <c r="AI144">
        <f t="shared" si="15"/>
        <v>489.7</v>
      </c>
      <c r="AJ144" s="4">
        <v>0.2</v>
      </c>
      <c r="AK144">
        <f t="shared" si="16"/>
        <v>97.94</v>
      </c>
      <c r="AL144">
        <f t="shared" si="17"/>
        <v>587.64</v>
      </c>
      <c r="AM144">
        <f t="shared" si="18"/>
        <v>449.86</v>
      </c>
      <c r="AN144" s="4">
        <f t="shared" si="19"/>
        <v>0.4336</v>
      </c>
    </row>
    <row r="145" ht="15.75" customHeight="1" spans="1:45">
      <c r="A145" t="s">
        <v>181</v>
      </c>
      <c r="B145" t="s">
        <v>205</v>
      </c>
      <c r="C145" t="s">
        <v>47</v>
      </c>
      <c r="D145" t="s">
        <v>182</v>
      </c>
      <c r="E145" t="s">
        <v>183</v>
      </c>
      <c r="F145" t="s">
        <v>184</v>
      </c>
      <c r="H145" t="s">
        <v>55</v>
      </c>
      <c r="I145" t="s">
        <v>185</v>
      </c>
      <c r="J145" t="s">
        <v>186</v>
      </c>
      <c r="K145" t="s">
        <v>187</v>
      </c>
      <c r="L145" t="s">
        <v>124</v>
      </c>
      <c r="M145" t="s">
        <v>195</v>
      </c>
      <c r="Q145" t="s">
        <v>57</v>
      </c>
      <c r="R145">
        <v>1102</v>
      </c>
      <c r="Y145" t="s">
        <v>196</v>
      </c>
      <c r="Z145">
        <v>3926</v>
      </c>
      <c r="AA145" t="s">
        <v>190</v>
      </c>
      <c r="AB145" t="s">
        <v>191</v>
      </c>
      <c r="AC145">
        <v>50</v>
      </c>
      <c r="AD145">
        <v>22.31</v>
      </c>
      <c r="AE145">
        <v>1037.5</v>
      </c>
      <c r="AF145" s="4">
        <v>0.6</v>
      </c>
      <c r="AG145">
        <f t="shared" si="14"/>
        <v>415</v>
      </c>
      <c r="AH145" s="4">
        <v>0.18</v>
      </c>
      <c r="AI145">
        <f t="shared" si="15"/>
        <v>489.7</v>
      </c>
      <c r="AJ145" s="4">
        <v>0.2</v>
      </c>
      <c r="AK145">
        <f t="shared" si="16"/>
        <v>97.94</v>
      </c>
      <c r="AL145">
        <f t="shared" si="17"/>
        <v>587.64</v>
      </c>
      <c r="AM145">
        <f t="shared" si="18"/>
        <v>449.86</v>
      </c>
      <c r="AN145" s="4">
        <f t="shared" si="19"/>
        <v>0.4336</v>
      </c>
    </row>
    <row r="146" ht="15.75" customHeight="1" spans="1:45">
      <c r="A146" t="s">
        <v>181</v>
      </c>
      <c r="B146" t="s">
        <v>206</v>
      </c>
      <c r="C146" t="s">
        <v>47</v>
      </c>
      <c r="D146" t="s">
        <v>182</v>
      </c>
      <c r="E146" t="s">
        <v>183</v>
      </c>
      <c r="F146" t="s">
        <v>184</v>
      </c>
      <c r="H146" t="s">
        <v>55</v>
      </c>
      <c r="I146" t="s">
        <v>185</v>
      </c>
      <c r="J146" t="s">
        <v>186</v>
      </c>
      <c r="K146" t="s">
        <v>187</v>
      </c>
      <c r="L146" t="s">
        <v>124</v>
      </c>
      <c r="M146" t="s">
        <v>197</v>
      </c>
      <c r="Q146" t="s">
        <v>57</v>
      </c>
      <c r="R146">
        <v>1003</v>
      </c>
      <c r="Y146" t="s">
        <v>198</v>
      </c>
      <c r="Z146">
        <v>3926</v>
      </c>
      <c r="AA146" t="s">
        <v>190</v>
      </c>
      <c r="AB146" t="s">
        <v>191</v>
      </c>
      <c r="AC146">
        <v>50</v>
      </c>
      <c r="AD146">
        <v>22.31</v>
      </c>
      <c r="AE146">
        <v>1037.5</v>
      </c>
      <c r="AF146" s="4">
        <v>0.6</v>
      </c>
      <c r="AG146">
        <f t="shared" si="14"/>
        <v>415</v>
      </c>
      <c r="AH146" s="4">
        <v>0.18</v>
      </c>
      <c r="AI146">
        <f t="shared" si="15"/>
        <v>489.7</v>
      </c>
      <c r="AJ146" s="4">
        <v>0.2</v>
      </c>
      <c r="AK146">
        <f t="shared" si="16"/>
        <v>97.94</v>
      </c>
      <c r="AL146">
        <f t="shared" si="17"/>
        <v>587.64</v>
      </c>
      <c r="AM146">
        <f t="shared" si="18"/>
        <v>449.86</v>
      </c>
      <c r="AN146" s="4">
        <f t="shared" si="19"/>
        <v>0.4336</v>
      </c>
    </row>
    <row r="147" ht="15.75" customHeight="1" spans="1:45">
      <c r="A147" t="s">
        <v>181</v>
      </c>
      <c r="B147" t="s">
        <v>207</v>
      </c>
      <c r="C147" t="s">
        <v>47</v>
      </c>
      <c r="D147" t="s">
        <v>182</v>
      </c>
      <c r="E147" t="s">
        <v>183</v>
      </c>
      <c r="F147" t="s">
        <v>184</v>
      </c>
      <c r="H147" t="s">
        <v>55</v>
      </c>
      <c r="I147" t="s">
        <v>185</v>
      </c>
      <c r="J147" t="s">
        <v>186</v>
      </c>
      <c r="K147" t="s">
        <v>187</v>
      </c>
      <c r="L147" t="s">
        <v>124</v>
      </c>
      <c r="M147" t="s">
        <v>199</v>
      </c>
      <c r="Q147" t="s">
        <v>57</v>
      </c>
      <c r="R147">
        <v>1103</v>
      </c>
      <c r="Y147" t="s">
        <v>200</v>
      </c>
      <c r="Z147">
        <v>3926</v>
      </c>
      <c r="AA147" t="s">
        <v>190</v>
      </c>
      <c r="AB147" t="s">
        <v>191</v>
      </c>
      <c r="AC147">
        <v>50</v>
      </c>
      <c r="AD147">
        <v>22.31</v>
      </c>
      <c r="AE147">
        <v>1037.5</v>
      </c>
      <c r="AF147" s="4">
        <v>0.6</v>
      </c>
      <c r="AG147">
        <f t="shared" si="14"/>
        <v>415</v>
      </c>
      <c r="AH147" s="4">
        <v>0.18</v>
      </c>
      <c r="AI147">
        <f t="shared" si="15"/>
        <v>489.7</v>
      </c>
      <c r="AJ147" s="4">
        <v>0.2</v>
      </c>
      <c r="AK147">
        <f t="shared" si="16"/>
        <v>97.94</v>
      </c>
      <c r="AL147">
        <f t="shared" si="17"/>
        <v>587.64</v>
      </c>
      <c r="AM147">
        <f t="shared" si="18"/>
        <v>449.86</v>
      </c>
      <c r="AN147" s="4">
        <f t="shared" si="19"/>
        <v>0.4336</v>
      </c>
    </row>
    <row r="148" ht="15.75" customHeight="1" spans="1:45">
      <c r="A148" t="s">
        <v>181</v>
      </c>
      <c r="B148" t="s">
        <v>208</v>
      </c>
      <c r="C148" t="s">
        <v>47</v>
      </c>
      <c r="D148" t="s">
        <v>182</v>
      </c>
      <c r="E148" t="s">
        <v>183</v>
      </c>
      <c r="F148" t="s">
        <v>184</v>
      </c>
      <c r="H148" t="s">
        <v>55</v>
      </c>
      <c r="I148" t="s">
        <v>201</v>
      </c>
      <c r="J148" t="s">
        <v>186</v>
      </c>
      <c r="K148" t="s">
        <v>187</v>
      </c>
      <c r="L148" t="s">
        <v>124</v>
      </c>
      <c r="M148" t="s">
        <v>188</v>
      </c>
      <c r="Q148" t="s">
        <v>57</v>
      </c>
      <c r="R148">
        <v>1001</v>
      </c>
      <c r="Y148" t="s">
        <v>189</v>
      </c>
      <c r="Z148">
        <v>3926</v>
      </c>
      <c r="AA148" t="s">
        <v>190</v>
      </c>
      <c r="AB148" t="s">
        <v>191</v>
      </c>
      <c r="AC148">
        <v>50</v>
      </c>
      <c r="AD148" s="5">
        <v>50.7</v>
      </c>
      <c r="AE148">
        <v>2452.5</v>
      </c>
      <c r="AF148" s="4">
        <v>0.6</v>
      </c>
      <c r="AG148">
        <f t="shared" si="14"/>
        <v>981</v>
      </c>
      <c r="AH148" s="4">
        <v>0.18</v>
      </c>
      <c r="AI148">
        <f t="shared" si="15"/>
        <v>1157.58</v>
      </c>
      <c r="AJ148" s="4">
        <v>0.2</v>
      </c>
      <c r="AK148">
        <f t="shared" si="16"/>
        <v>231.52</v>
      </c>
      <c r="AL148">
        <f t="shared" si="17"/>
        <v>1389.1</v>
      </c>
      <c r="AM148">
        <f t="shared" si="18"/>
        <v>1063.4</v>
      </c>
      <c r="AN148" s="4">
        <f t="shared" si="19"/>
        <v>0.433598369011213</v>
      </c>
    </row>
    <row r="149" ht="15.75" customHeight="1" spans="1:45">
      <c r="A149" t="s">
        <v>181</v>
      </c>
      <c r="B149" t="s">
        <v>209</v>
      </c>
      <c r="C149" t="s">
        <v>47</v>
      </c>
      <c r="D149" t="s">
        <v>182</v>
      </c>
      <c r="E149" t="s">
        <v>183</v>
      </c>
      <c r="F149" t="s">
        <v>184</v>
      </c>
      <c r="H149" t="s">
        <v>55</v>
      </c>
      <c r="I149" t="s">
        <v>201</v>
      </c>
      <c r="J149" t="s">
        <v>186</v>
      </c>
      <c r="K149" t="s">
        <v>187</v>
      </c>
      <c r="L149" t="s">
        <v>124</v>
      </c>
      <c r="M149" t="s">
        <v>192</v>
      </c>
      <c r="Q149" t="s">
        <v>57</v>
      </c>
      <c r="R149">
        <v>1101</v>
      </c>
      <c r="Y149" t="s">
        <v>193</v>
      </c>
      <c r="Z149">
        <v>3926</v>
      </c>
      <c r="AA149" t="s">
        <v>190</v>
      </c>
      <c r="AB149" t="s">
        <v>191</v>
      </c>
      <c r="AC149">
        <v>50</v>
      </c>
      <c r="AD149" s="5">
        <v>50.7</v>
      </c>
      <c r="AE149">
        <v>2452.5</v>
      </c>
      <c r="AF149" s="4">
        <v>0.6</v>
      </c>
      <c r="AG149">
        <f t="shared" si="14"/>
        <v>981</v>
      </c>
      <c r="AH149" s="4">
        <v>0.18</v>
      </c>
      <c r="AI149">
        <f t="shared" si="15"/>
        <v>1157.58</v>
      </c>
      <c r="AJ149" s="4">
        <v>0.2</v>
      </c>
      <c r="AK149">
        <f t="shared" si="16"/>
        <v>231.52</v>
      </c>
      <c r="AL149">
        <f t="shared" si="17"/>
        <v>1389.1</v>
      </c>
      <c r="AM149">
        <f t="shared" si="18"/>
        <v>1063.4</v>
      </c>
      <c r="AN149" s="4">
        <f t="shared" si="19"/>
        <v>0.433598369011213</v>
      </c>
    </row>
    <row r="150" ht="15.75" customHeight="1" spans="1:45">
      <c r="A150" t="s">
        <v>181</v>
      </c>
      <c r="B150" t="s">
        <v>210</v>
      </c>
      <c r="C150" t="s">
        <v>47</v>
      </c>
      <c r="D150" t="s">
        <v>182</v>
      </c>
      <c r="E150" t="s">
        <v>183</v>
      </c>
      <c r="F150" t="s">
        <v>184</v>
      </c>
      <c r="H150" t="s">
        <v>55</v>
      </c>
      <c r="I150" t="s">
        <v>201</v>
      </c>
      <c r="J150" t="s">
        <v>186</v>
      </c>
      <c r="K150" t="s">
        <v>187</v>
      </c>
      <c r="L150" t="s">
        <v>124</v>
      </c>
      <c r="M150" t="s">
        <v>163</v>
      </c>
      <c r="Q150" t="s">
        <v>57</v>
      </c>
      <c r="R150">
        <v>1002</v>
      </c>
      <c r="Y150" t="s">
        <v>194</v>
      </c>
      <c r="Z150">
        <v>3926</v>
      </c>
      <c r="AA150" t="s">
        <v>190</v>
      </c>
      <c r="AB150" t="s">
        <v>191</v>
      </c>
      <c r="AC150">
        <v>50</v>
      </c>
      <c r="AD150" s="5">
        <v>50.7</v>
      </c>
      <c r="AE150">
        <v>2452.5</v>
      </c>
      <c r="AF150" s="4">
        <v>0.6</v>
      </c>
      <c r="AG150">
        <f t="shared" si="14"/>
        <v>981</v>
      </c>
      <c r="AH150" s="4">
        <v>0.18</v>
      </c>
      <c r="AI150">
        <f t="shared" si="15"/>
        <v>1157.58</v>
      </c>
      <c r="AJ150" s="4">
        <v>0.2</v>
      </c>
      <c r="AK150">
        <f t="shared" si="16"/>
        <v>231.52</v>
      </c>
      <c r="AL150">
        <f t="shared" si="17"/>
        <v>1389.1</v>
      </c>
      <c r="AM150">
        <f t="shared" si="18"/>
        <v>1063.4</v>
      </c>
      <c r="AN150" s="4">
        <f t="shared" si="19"/>
        <v>0.433598369011213</v>
      </c>
    </row>
    <row r="151" ht="15.75" customHeight="1" spans="1:45">
      <c r="A151" t="s">
        <v>181</v>
      </c>
      <c r="B151" t="s">
        <v>211</v>
      </c>
      <c r="C151" t="s">
        <v>47</v>
      </c>
      <c r="D151" t="s">
        <v>182</v>
      </c>
      <c r="E151" t="s">
        <v>183</v>
      </c>
      <c r="F151" t="s">
        <v>184</v>
      </c>
      <c r="H151" t="s">
        <v>55</v>
      </c>
      <c r="I151" t="s">
        <v>201</v>
      </c>
      <c r="J151" t="s">
        <v>186</v>
      </c>
      <c r="K151" t="s">
        <v>187</v>
      </c>
      <c r="L151" t="s">
        <v>124</v>
      </c>
      <c r="M151" t="s">
        <v>195</v>
      </c>
      <c r="Q151" t="s">
        <v>57</v>
      </c>
      <c r="R151">
        <v>1102</v>
      </c>
      <c r="Y151" t="s">
        <v>196</v>
      </c>
      <c r="Z151">
        <v>3926</v>
      </c>
      <c r="AA151" t="s">
        <v>190</v>
      </c>
      <c r="AB151" t="s">
        <v>191</v>
      </c>
      <c r="AC151">
        <v>50</v>
      </c>
      <c r="AD151" s="5">
        <v>50.7</v>
      </c>
      <c r="AE151">
        <v>2452.5</v>
      </c>
      <c r="AF151" s="4">
        <v>0.6</v>
      </c>
      <c r="AG151">
        <f t="shared" si="14"/>
        <v>981</v>
      </c>
      <c r="AH151" s="4">
        <v>0.18</v>
      </c>
      <c r="AI151">
        <f t="shared" si="15"/>
        <v>1157.58</v>
      </c>
      <c r="AJ151" s="4">
        <v>0.2</v>
      </c>
      <c r="AK151">
        <f t="shared" si="16"/>
        <v>231.52</v>
      </c>
      <c r="AL151">
        <f t="shared" si="17"/>
        <v>1389.1</v>
      </c>
      <c r="AM151">
        <f t="shared" si="18"/>
        <v>1063.4</v>
      </c>
      <c r="AN151" s="4">
        <f t="shared" si="19"/>
        <v>0.433598369011213</v>
      </c>
    </row>
    <row r="152" ht="15.75" customHeight="1" spans="1:45">
      <c r="A152" t="s">
        <v>181</v>
      </c>
      <c r="B152" t="s">
        <v>212</v>
      </c>
      <c r="C152" t="s">
        <v>47</v>
      </c>
      <c r="D152" t="s">
        <v>182</v>
      </c>
      <c r="E152" t="s">
        <v>183</v>
      </c>
      <c r="F152" t="s">
        <v>184</v>
      </c>
      <c r="H152" t="s">
        <v>55</v>
      </c>
      <c r="I152" t="s">
        <v>201</v>
      </c>
      <c r="J152" t="s">
        <v>186</v>
      </c>
      <c r="K152" t="s">
        <v>187</v>
      </c>
      <c r="L152" t="s">
        <v>124</v>
      </c>
      <c r="M152" t="s">
        <v>197</v>
      </c>
      <c r="Q152" t="s">
        <v>57</v>
      </c>
      <c r="R152">
        <v>1003</v>
      </c>
      <c r="Y152" t="s">
        <v>198</v>
      </c>
      <c r="Z152">
        <v>3926</v>
      </c>
      <c r="AA152" t="s">
        <v>190</v>
      </c>
      <c r="AB152" t="s">
        <v>191</v>
      </c>
      <c r="AC152">
        <v>50</v>
      </c>
      <c r="AD152" s="5">
        <v>50.7</v>
      </c>
      <c r="AE152">
        <v>2452.5</v>
      </c>
      <c r="AF152" s="4">
        <v>0.6</v>
      </c>
      <c r="AG152">
        <f t="shared" si="14"/>
        <v>981</v>
      </c>
      <c r="AH152" s="4">
        <v>0.18</v>
      </c>
      <c r="AI152">
        <f t="shared" si="15"/>
        <v>1157.58</v>
      </c>
      <c r="AJ152" s="4">
        <v>0.2</v>
      </c>
      <c r="AK152">
        <f t="shared" si="16"/>
        <v>231.52</v>
      </c>
      <c r="AL152">
        <f t="shared" si="17"/>
        <v>1389.1</v>
      </c>
      <c r="AM152">
        <f t="shared" si="18"/>
        <v>1063.4</v>
      </c>
      <c r="AN152" s="4">
        <f t="shared" si="19"/>
        <v>0.433598369011213</v>
      </c>
    </row>
    <row r="153" ht="15.75" customHeight="1" spans="1:45">
      <c r="A153" t="s">
        <v>181</v>
      </c>
      <c r="B153" t="s">
        <v>213</v>
      </c>
      <c r="C153" t="s">
        <v>47</v>
      </c>
      <c r="D153" t="s">
        <v>182</v>
      </c>
      <c r="E153" t="s">
        <v>183</v>
      </c>
      <c r="F153" t="s">
        <v>184</v>
      </c>
      <c r="H153" t="s">
        <v>55</v>
      </c>
      <c r="I153" t="s">
        <v>201</v>
      </c>
      <c r="J153" t="s">
        <v>186</v>
      </c>
      <c r="K153" t="s">
        <v>187</v>
      </c>
      <c r="L153" t="s">
        <v>124</v>
      </c>
      <c r="M153" t="s">
        <v>199</v>
      </c>
      <c r="Q153" t="s">
        <v>57</v>
      </c>
      <c r="R153">
        <v>1103</v>
      </c>
      <c r="Y153" t="s">
        <v>200</v>
      </c>
      <c r="Z153">
        <v>3926</v>
      </c>
      <c r="AA153" t="s">
        <v>190</v>
      </c>
      <c r="AB153" t="s">
        <v>191</v>
      </c>
      <c r="AC153">
        <v>50</v>
      </c>
      <c r="AD153" s="5">
        <v>50.7</v>
      </c>
      <c r="AE153">
        <v>2452.5</v>
      </c>
      <c r="AF153" s="4">
        <v>0.6</v>
      </c>
      <c r="AG153">
        <f t="shared" si="14"/>
        <v>981</v>
      </c>
      <c r="AH153" s="4">
        <v>0.18</v>
      </c>
      <c r="AI153">
        <f t="shared" si="15"/>
        <v>1157.58</v>
      </c>
      <c r="AJ153" s="4">
        <v>0.2</v>
      </c>
      <c r="AK153">
        <f t="shared" si="16"/>
        <v>231.52</v>
      </c>
      <c r="AL153">
        <f t="shared" si="17"/>
        <v>1389.1</v>
      </c>
      <c r="AM153">
        <f t="shared" si="18"/>
        <v>1063.4</v>
      </c>
      <c r="AN153" s="4">
        <f t="shared" si="19"/>
        <v>0.433598369011213</v>
      </c>
    </row>
    <row r="154" ht="15.75" customHeight="1" spans="1:45">
      <c r="A154" s="6" t="s">
        <v>214</v>
      </c>
      <c r="B154" s="6" t="s">
        <v>46</v>
      </c>
      <c r="C154" s="6" t="s">
        <v>47</v>
      </c>
      <c r="D154" s="6" t="s">
        <v>58</v>
      </c>
      <c r="E154" s="6" t="s">
        <v>215</v>
      </c>
      <c r="F154" s="6" t="s">
        <v>216</v>
      </c>
      <c r="G154" s="6"/>
      <c r="H154" s="6" t="s">
        <v>217</v>
      </c>
      <c r="I154" s="6" t="s">
        <v>218</v>
      </c>
      <c r="J154" s="6"/>
      <c r="K154" s="6"/>
      <c r="L154" s="6"/>
      <c r="M154" s="6"/>
      <c r="N154" s="6"/>
      <c r="O154" s="6"/>
      <c r="P154" s="6"/>
      <c r="Q154" s="6" t="s">
        <v>57</v>
      </c>
      <c r="R154" s="6"/>
      <c r="S154" s="6"/>
      <c r="T154" s="6"/>
      <c r="U154" s="6"/>
      <c r="V154" s="6"/>
      <c r="W154" s="6" t="s">
        <v>219</v>
      </c>
      <c r="X154" s="6" t="s">
        <v>70</v>
      </c>
      <c r="Y154" s="6" t="s">
        <v>220</v>
      </c>
      <c r="Z154" s="6">
        <v>32141000</v>
      </c>
      <c r="AA154" s="6"/>
      <c r="AB154" s="6"/>
      <c r="AC154" s="6"/>
      <c r="AD154" s="6"/>
      <c r="AE154" s="6">
        <v>700</v>
      </c>
      <c r="AF154" s="7">
        <v>0.45</v>
      </c>
      <c r="AG154" s="6">
        <f t="shared" si="14"/>
        <v>385</v>
      </c>
      <c r="AH154" s="7">
        <v>0.18</v>
      </c>
      <c r="AI154" s="6">
        <f t="shared" si="15"/>
        <v>454.3</v>
      </c>
      <c r="AJ154" s="7">
        <v>0.2</v>
      </c>
      <c r="AK154" s="6">
        <f t="shared" si="16"/>
        <v>90.86</v>
      </c>
      <c r="AL154" s="6">
        <f t="shared" si="17"/>
        <v>545.16</v>
      </c>
      <c r="AM154" s="6">
        <f t="shared" si="18"/>
        <v>154.84</v>
      </c>
      <c r="AN154" s="7">
        <f t="shared" si="19"/>
        <v>0.2212</v>
      </c>
      <c r="AO154" s="6" t="s">
        <v>221</v>
      </c>
      <c r="AP154" s="6"/>
      <c r="AQ154" s="6" t="s">
        <v>217</v>
      </c>
      <c r="AR154" s="6"/>
      <c r="AS154" s="6" t="s">
        <v>222</v>
      </c>
    </row>
    <row r="155" ht="15.75" customHeight="1" spans="1:45">
      <c r="A155" t="s">
        <v>223</v>
      </c>
      <c r="B155" t="s">
        <v>46</v>
      </c>
      <c r="C155" t="s">
        <v>47</v>
      </c>
      <c r="D155" t="s">
        <v>58</v>
      </c>
      <c r="E155" t="s">
        <v>215</v>
      </c>
      <c r="F155" t="s">
        <v>224</v>
      </c>
      <c r="H155" t="s">
        <v>217</v>
      </c>
      <c r="I155" t="s">
        <v>225</v>
      </c>
      <c r="Q155" t="s">
        <v>57</v>
      </c>
      <c r="W155" t="s">
        <v>121</v>
      </c>
      <c r="X155" t="s">
        <v>70</v>
      </c>
      <c r="Y155" t="s">
        <v>226</v>
      </c>
      <c r="Z155">
        <v>35069999</v>
      </c>
      <c r="AE155">
        <v>0</v>
      </c>
      <c r="AF155" s="4">
        <v>0</v>
      </c>
      <c r="AG155">
        <v>34.16</v>
      </c>
      <c r="AH155" s="4">
        <v>0.18</v>
      </c>
      <c r="AI155">
        <f t="shared" si="15"/>
        <v>40.31</v>
      </c>
      <c r="AJ155" s="4">
        <v>0.2</v>
      </c>
      <c r="AK155">
        <f t="shared" si="16"/>
        <v>8.06</v>
      </c>
      <c r="AL155">
        <f t="shared" si="17"/>
        <v>48.37</v>
      </c>
      <c r="AM155">
        <f t="shared" si="18"/>
        <v>-48.37</v>
      </c>
      <c r="AN155" s="4" t="e">
        <f t="shared" si="19"/>
        <v>#DIV/0!</v>
      </c>
      <c r="AO155" t="s">
        <v>221</v>
      </c>
      <c r="AQ155" t="s">
        <v>217</v>
      </c>
      <c r="AS155" t="s">
        <v>227</v>
      </c>
    </row>
    <row r="156" ht="15.75" customHeight="1" spans="1:45">
      <c r="A156" t="s">
        <v>223</v>
      </c>
      <c r="B156" t="s">
        <v>67</v>
      </c>
      <c r="C156" t="s">
        <v>47</v>
      </c>
      <c r="D156" t="s">
        <v>58</v>
      </c>
      <c r="E156" t="s">
        <v>215</v>
      </c>
      <c r="F156" t="s">
        <v>224</v>
      </c>
      <c r="H156" t="s">
        <v>217</v>
      </c>
      <c r="I156" t="s">
        <v>228</v>
      </c>
      <c r="Q156" t="s">
        <v>57</v>
      </c>
      <c r="X156" t="s">
        <v>229</v>
      </c>
      <c r="Y156" t="s">
        <v>230</v>
      </c>
      <c r="Z156">
        <v>35069999</v>
      </c>
      <c r="AE156">
        <v>0</v>
      </c>
      <c r="AF156" s="4">
        <v>0</v>
      </c>
      <c r="AG156">
        <v>64.27</v>
      </c>
      <c r="AH156" s="4">
        <v>0.18</v>
      </c>
      <c r="AI156">
        <f t="shared" si="15"/>
        <v>75.84</v>
      </c>
      <c r="AJ156" s="4">
        <v>0.2</v>
      </c>
      <c r="AK156">
        <f t="shared" si="16"/>
        <v>15.17</v>
      </c>
      <c r="AL156">
        <f t="shared" si="17"/>
        <v>91.01</v>
      </c>
      <c r="AM156">
        <f t="shared" si="18"/>
        <v>-91.01</v>
      </c>
      <c r="AN156" s="4" t="e">
        <f t="shared" si="19"/>
        <v>#DIV/0!</v>
      </c>
      <c r="AO156" t="s">
        <v>221</v>
      </c>
      <c r="AQ156" t="s">
        <v>217</v>
      </c>
      <c r="AS156" t="s">
        <v>227</v>
      </c>
    </row>
    <row r="157" ht="15.75" customHeight="1" spans="1:45">
      <c r="A157" t="s">
        <v>223</v>
      </c>
      <c r="B157" t="s">
        <v>71</v>
      </c>
      <c r="C157" t="s">
        <v>47</v>
      </c>
      <c r="D157" t="s">
        <v>58</v>
      </c>
      <c r="E157" t="s">
        <v>215</v>
      </c>
      <c r="F157" t="s">
        <v>224</v>
      </c>
      <c r="H157" t="s">
        <v>217</v>
      </c>
      <c r="I157" t="s">
        <v>231</v>
      </c>
      <c r="Q157" t="s">
        <v>57</v>
      </c>
      <c r="X157" t="s">
        <v>232</v>
      </c>
      <c r="Y157" t="s">
        <v>233</v>
      </c>
      <c r="Z157">
        <v>35069999</v>
      </c>
      <c r="AE157">
        <v>0</v>
      </c>
      <c r="AF157" s="4">
        <v>0</v>
      </c>
      <c r="AG157">
        <v>113.9</v>
      </c>
      <c r="AH157" s="4">
        <v>0.18</v>
      </c>
      <c r="AI157">
        <f t="shared" si="15"/>
        <v>134.4</v>
      </c>
      <c r="AJ157" s="4">
        <v>0.2</v>
      </c>
      <c r="AK157">
        <f t="shared" si="16"/>
        <v>26.88</v>
      </c>
      <c r="AL157">
        <f t="shared" si="17"/>
        <v>161.28</v>
      </c>
      <c r="AM157">
        <f t="shared" si="18"/>
        <v>-161.28</v>
      </c>
      <c r="AN157" s="4" t="e">
        <f t="shared" si="19"/>
        <v>#DIV/0!</v>
      </c>
      <c r="AO157" t="s">
        <v>221</v>
      </c>
      <c r="AQ157" t="s">
        <v>217</v>
      </c>
      <c r="AS157" t="s">
        <v>227</v>
      </c>
    </row>
    <row r="158" ht="15.75" customHeight="1" spans="1:45">
      <c r="A158" t="s">
        <v>223</v>
      </c>
      <c r="B158" t="s">
        <v>75</v>
      </c>
      <c r="C158" t="s">
        <v>47</v>
      </c>
      <c r="D158" t="s">
        <v>58</v>
      </c>
      <c r="E158" t="s">
        <v>215</v>
      </c>
      <c r="F158" t="s">
        <v>224</v>
      </c>
      <c r="H158" t="s">
        <v>217</v>
      </c>
      <c r="I158" t="s">
        <v>234</v>
      </c>
      <c r="Q158" t="s">
        <v>57</v>
      </c>
      <c r="Y158" t="s">
        <v>235</v>
      </c>
      <c r="Z158">
        <v>35069999</v>
      </c>
      <c r="AE158">
        <v>0</v>
      </c>
      <c r="AF158" s="4">
        <v>0</v>
      </c>
      <c r="AG158">
        <v>210.71</v>
      </c>
      <c r="AH158" s="4">
        <v>0.18</v>
      </c>
      <c r="AI158">
        <f t="shared" si="15"/>
        <v>248.64</v>
      </c>
      <c r="AJ158" s="4">
        <v>0.2</v>
      </c>
      <c r="AK158">
        <f t="shared" si="16"/>
        <v>49.73</v>
      </c>
      <c r="AL158">
        <f t="shared" si="17"/>
        <v>298.37</v>
      </c>
      <c r="AM158">
        <f t="shared" si="18"/>
        <v>-298.37</v>
      </c>
      <c r="AN158" s="4" t="e">
        <f t="shared" si="19"/>
        <v>#DIV/0!</v>
      </c>
      <c r="AO158" t="s">
        <v>221</v>
      </c>
      <c r="AQ158" t="s">
        <v>217</v>
      </c>
      <c r="AS158" t="s">
        <v>227</v>
      </c>
    </row>
    <row r="159" ht="15.75" customHeight="1" spans="1:45">
      <c r="A159" t="s">
        <v>223</v>
      </c>
      <c r="B159" t="s">
        <v>79</v>
      </c>
      <c r="C159" t="s">
        <v>47</v>
      </c>
      <c r="D159" t="s">
        <v>58</v>
      </c>
      <c r="E159" t="s">
        <v>215</v>
      </c>
      <c r="F159" t="s">
        <v>224</v>
      </c>
      <c r="H159" t="s">
        <v>217</v>
      </c>
      <c r="I159" t="s">
        <v>236</v>
      </c>
      <c r="Q159" t="s">
        <v>57</v>
      </c>
      <c r="Y159" t="s">
        <v>237</v>
      </c>
      <c r="Z159">
        <v>35069999</v>
      </c>
      <c r="AE159">
        <v>0</v>
      </c>
      <c r="AF159" s="4">
        <v>0</v>
      </c>
      <c r="AG159">
        <v>400.27</v>
      </c>
      <c r="AH159" s="4">
        <v>0.18</v>
      </c>
      <c r="AI159">
        <f t="shared" si="15"/>
        <v>472.32</v>
      </c>
      <c r="AJ159" s="4">
        <v>0.2</v>
      </c>
      <c r="AK159">
        <f t="shared" si="16"/>
        <v>94.46</v>
      </c>
      <c r="AL159">
        <f t="shared" si="17"/>
        <v>566.78</v>
      </c>
      <c r="AM159">
        <f t="shared" si="18"/>
        <v>-566.78</v>
      </c>
      <c r="AN159" s="4" t="e">
        <f t="shared" si="19"/>
        <v>#DIV/0!</v>
      </c>
      <c r="AO159" t="s">
        <v>221</v>
      </c>
      <c r="AQ159" t="s">
        <v>217</v>
      </c>
      <c r="AS159" t="s">
        <v>227</v>
      </c>
    </row>
    <row r="160" ht="15.75" customHeight="1" spans="1:45">
      <c r="A160" t="s">
        <v>223</v>
      </c>
      <c r="B160" t="s">
        <v>83</v>
      </c>
      <c r="C160" t="s">
        <v>47</v>
      </c>
      <c r="D160" t="s">
        <v>58</v>
      </c>
      <c r="E160" t="s">
        <v>215</v>
      </c>
      <c r="F160" t="s">
        <v>224</v>
      </c>
      <c r="H160" t="s">
        <v>217</v>
      </c>
      <c r="I160" t="s">
        <v>238</v>
      </c>
      <c r="Q160" t="s">
        <v>57</v>
      </c>
      <c r="Y160" t="s">
        <v>239</v>
      </c>
      <c r="Z160">
        <v>35069999</v>
      </c>
      <c r="AE160">
        <v>0</v>
      </c>
      <c r="AF160" s="4">
        <v>0</v>
      </c>
      <c r="AG160">
        <v>956.75</v>
      </c>
      <c r="AH160" s="4">
        <v>0.18</v>
      </c>
      <c r="AI160">
        <f t="shared" si="15"/>
        <v>1128.97</v>
      </c>
      <c r="AJ160" s="4">
        <v>0.2</v>
      </c>
      <c r="AK160">
        <f t="shared" si="16"/>
        <v>225.79</v>
      </c>
      <c r="AL160">
        <f t="shared" si="17"/>
        <v>1354.76</v>
      </c>
      <c r="AM160">
        <f t="shared" si="18"/>
        <v>-1354.76</v>
      </c>
      <c r="AN160" s="4" t="e">
        <f t="shared" si="19"/>
        <v>#DIV/0!</v>
      </c>
      <c r="AO160" t="s">
        <v>221</v>
      </c>
      <c r="AQ160" t="s">
        <v>217</v>
      </c>
      <c r="AS160" t="s">
        <v>227</v>
      </c>
    </row>
    <row r="161" ht="15.75" customHeight="1" spans="1:45">
      <c r="A161" t="s">
        <v>223</v>
      </c>
      <c r="B161" t="s">
        <v>131</v>
      </c>
      <c r="C161" t="s">
        <v>47</v>
      </c>
      <c r="D161" t="s">
        <v>58</v>
      </c>
      <c r="E161" t="s">
        <v>215</v>
      </c>
      <c r="F161" t="s">
        <v>224</v>
      </c>
      <c r="H161" t="s">
        <v>217</v>
      </c>
      <c r="I161" t="s">
        <v>240</v>
      </c>
      <c r="Q161" t="s">
        <v>57</v>
      </c>
      <c r="Y161" t="s">
        <v>241</v>
      </c>
      <c r="Z161">
        <v>35069999</v>
      </c>
      <c r="AE161">
        <v>0</v>
      </c>
      <c r="AF161" s="4">
        <v>0</v>
      </c>
      <c r="AG161">
        <v>1828.88</v>
      </c>
      <c r="AH161" s="4">
        <v>0.18</v>
      </c>
      <c r="AI161">
        <f t="shared" si="15"/>
        <v>2158.08</v>
      </c>
      <c r="AJ161" s="4">
        <v>0.2</v>
      </c>
      <c r="AK161">
        <f t="shared" si="16"/>
        <v>431.62</v>
      </c>
      <c r="AL161">
        <f t="shared" si="17"/>
        <v>2589.7</v>
      </c>
      <c r="AM161">
        <f t="shared" si="18"/>
        <v>-2589.7</v>
      </c>
      <c r="AN161" s="4" t="e">
        <f t="shared" si="19"/>
        <v>#DIV/0!</v>
      </c>
      <c r="AO161" t="s">
        <v>221</v>
      </c>
      <c r="AQ161" t="s">
        <v>217</v>
      </c>
      <c r="AS161" t="s">
        <v>227</v>
      </c>
    </row>
    <row r="162" ht="15.75" customHeight="1" spans="1:45">
      <c r="A162" t="s">
        <v>223</v>
      </c>
      <c r="B162" t="s">
        <v>133</v>
      </c>
      <c r="C162" t="s">
        <v>47</v>
      </c>
      <c r="D162" t="s">
        <v>58</v>
      </c>
      <c r="E162" t="s">
        <v>215</v>
      </c>
      <c r="F162" t="s">
        <v>224</v>
      </c>
      <c r="H162" t="s">
        <v>217</v>
      </c>
      <c r="I162" t="s">
        <v>242</v>
      </c>
      <c r="Q162" t="s">
        <v>57</v>
      </c>
      <c r="Y162" t="s">
        <v>243</v>
      </c>
      <c r="Z162">
        <v>35069999</v>
      </c>
      <c r="AE162">
        <v>0</v>
      </c>
      <c r="AF162" s="4">
        <v>0</v>
      </c>
      <c r="AG162">
        <v>3453.56</v>
      </c>
      <c r="AH162" s="4">
        <v>0.18</v>
      </c>
      <c r="AI162">
        <f t="shared" si="15"/>
        <v>4075.2</v>
      </c>
      <c r="AJ162" s="4">
        <v>0.2</v>
      </c>
      <c r="AK162">
        <f t="shared" si="16"/>
        <v>815.04</v>
      </c>
      <c r="AL162">
        <f t="shared" si="17"/>
        <v>4890.24</v>
      </c>
      <c r="AM162">
        <f t="shared" si="18"/>
        <v>-4890.24</v>
      </c>
      <c r="AN162" s="4" t="e">
        <f t="shared" si="19"/>
        <v>#DIV/0!</v>
      </c>
      <c r="AO162" t="s">
        <v>221</v>
      </c>
      <c r="AQ162" t="s">
        <v>217</v>
      </c>
      <c r="AS162" t="s">
        <v>227</v>
      </c>
    </row>
    <row r="163" ht="15.75" customHeight="1" spans="1:45">
      <c r="A163" t="s">
        <v>223</v>
      </c>
      <c r="B163" t="s">
        <v>135</v>
      </c>
      <c r="C163" t="s">
        <v>47</v>
      </c>
      <c r="D163" t="s">
        <v>58</v>
      </c>
      <c r="E163" t="s">
        <v>215</v>
      </c>
      <c r="F163" t="s">
        <v>224</v>
      </c>
      <c r="H163" t="s">
        <v>217</v>
      </c>
      <c r="I163" t="s">
        <v>244</v>
      </c>
      <c r="Q163" t="s">
        <v>57</v>
      </c>
      <c r="Y163" t="s">
        <v>245</v>
      </c>
      <c r="Z163">
        <v>35069999</v>
      </c>
      <c r="AE163">
        <v>0</v>
      </c>
      <c r="AF163" s="4">
        <v>0</v>
      </c>
      <c r="AG163">
        <v>4993.63</v>
      </c>
      <c r="AH163" s="4">
        <v>0.18</v>
      </c>
      <c r="AI163">
        <f t="shared" si="15"/>
        <v>5892.48</v>
      </c>
      <c r="AJ163" s="4">
        <v>0.2</v>
      </c>
      <c r="AK163">
        <f t="shared" si="16"/>
        <v>1178.5</v>
      </c>
      <c r="AL163">
        <f t="shared" si="17"/>
        <v>7070.98</v>
      </c>
      <c r="AM163">
        <f t="shared" si="18"/>
        <v>-7070.98</v>
      </c>
      <c r="AN163" s="4" t="e">
        <f t="shared" si="19"/>
        <v>#DIV/0!</v>
      </c>
      <c r="AO163" t="s">
        <v>221</v>
      </c>
      <c r="AQ163" t="s">
        <v>217</v>
      </c>
      <c r="AS163" t="s">
        <v>227</v>
      </c>
    </row>
    <row r="164" ht="15.75" customHeight="1" spans="1:45">
      <c r="A164" t="s">
        <v>223</v>
      </c>
      <c r="B164" t="s">
        <v>137</v>
      </c>
      <c r="C164" t="s">
        <v>47</v>
      </c>
      <c r="D164" t="s">
        <v>58</v>
      </c>
      <c r="E164" t="s">
        <v>215</v>
      </c>
      <c r="F164" t="s">
        <v>224</v>
      </c>
      <c r="H164" t="s">
        <v>217</v>
      </c>
      <c r="I164" t="s">
        <v>246</v>
      </c>
      <c r="Q164" t="s">
        <v>57</v>
      </c>
      <c r="Y164" t="s">
        <v>247</v>
      </c>
      <c r="Z164">
        <v>35069999</v>
      </c>
      <c r="AE164">
        <v>0</v>
      </c>
      <c r="AF164" s="4">
        <v>0</v>
      </c>
      <c r="AG164">
        <v>8096.54</v>
      </c>
      <c r="AH164" s="4">
        <v>0.18</v>
      </c>
      <c r="AI164">
        <f t="shared" si="15"/>
        <v>9553.92</v>
      </c>
      <c r="AJ164" s="4">
        <v>0.2</v>
      </c>
      <c r="AK164">
        <f t="shared" si="16"/>
        <v>1910.78</v>
      </c>
      <c r="AL164">
        <f t="shared" si="17"/>
        <v>11464.7</v>
      </c>
      <c r="AM164">
        <f t="shared" si="18"/>
        <v>-11464.7</v>
      </c>
      <c r="AN164" s="4" t="e">
        <f t="shared" si="19"/>
        <v>#DIV/0!</v>
      </c>
      <c r="AO164" t="s">
        <v>221</v>
      </c>
      <c r="AQ164" t="s">
        <v>217</v>
      </c>
      <c r="AS164" t="s">
        <v>227</v>
      </c>
    </row>
    <row r="165" ht="15.75" customHeight="1" spans="1:45">
      <c r="A165" t="s">
        <v>223</v>
      </c>
      <c r="B165" t="s">
        <v>138</v>
      </c>
      <c r="C165" t="s">
        <v>47</v>
      </c>
      <c r="D165" t="s">
        <v>58</v>
      </c>
      <c r="E165" t="s">
        <v>215</v>
      </c>
      <c r="F165" t="s">
        <v>224</v>
      </c>
      <c r="H165" t="s">
        <v>217</v>
      </c>
      <c r="I165" t="s">
        <v>248</v>
      </c>
      <c r="Q165" t="s">
        <v>57</v>
      </c>
      <c r="Y165" t="s">
        <v>249</v>
      </c>
      <c r="Z165">
        <v>35069999</v>
      </c>
      <c r="AE165">
        <v>0</v>
      </c>
      <c r="AF165" s="4">
        <v>0</v>
      </c>
      <c r="AG165">
        <v>9320.95</v>
      </c>
      <c r="AH165" s="4">
        <v>0.18</v>
      </c>
      <c r="AI165">
        <f t="shared" si="15"/>
        <v>10998.72</v>
      </c>
      <c r="AJ165" s="4">
        <v>0.2</v>
      </c>
      <c r="AK165">
        <f t="shared" si="16"/>
        <v>2199.74</v>
      </c>
      <c r="AL165">
        <f t="shared" si="17"/>
        <v>13198.46</v>
      </c>
      <c r="AM165">
        <f t="shared" si="18"/>
        <v>-13198.46</v>
      </c>
      <c r="AN165" s="4" t="e">
        <f t="shared" si="19"/>
        <v>#DIV/0!</v>
      </c>
      <c r="AO165" t="s">
        <v>221</v>
      </c>
      <c r="AQ165" t="s">
        <v>217</v>
      </c>
      <c r="AS165" t="s">
        <v>227</v>
      </c>
    </row>
    <row r="166" ht="15.75" customHeight="1" spans="1:45">
      <c r="A166" t="s">
        <v>250</v>
      </c>
      <c r="B166" t="s">
        <v>46</v>
      </c>
      <c r="C166" t="s">
        <v>47</v>
      </c>
      <c r="D166" t="s">
        <v>58</v>
      </c>
      <c r="E166" t="s">
        <v>215</v>
      </c>
      <c r="F166" t="s">
        <v>251</v>
      </c>
      <c r="H166" t="s">
        <v>217</v>
      </c>
      <c r="I166" t="s">
        <v>234</v>
      </c>
      <c r="Q166" t="s">
        <v>57</v>
      </c>
      <c r="Y166" t="s">
        <v>252</v>
      </c>
      <c r="Z166">
        <v>35069190</v>
      </c>
      <c r="AE166">
        <v>0</v>
      </c>
      <c r="AF166" s="4">
        <v>0</v>
      </c>
      <c r="AG166">
        <v>263.59</v>
      </c>
      <c r="AH166" s="4">
        <v>0.18</v>
      </c>
      <c r="AI166">
        <f t="shared" si="15"/>
        <v>311.04</v>
      </c>
      <c r="AJ166" s="4">
        <v>0.2</v>
      </c>
      <c r="AK166">
        <f t="shared" si="16"/>
        <v>62.21</v>
      </c>
      <c r="AL166">
        <f t="shared" si="17"/>
        <v>373.25</v>
      </c>
      <c r="AM166">
        <f t="shared" si="18"/>
        <v>-373.25</v>
      </c>
      <c r="AN166" s="4" t="e">
        <f t="shared" si="19"/>
        <v>#DIV/0!</v>
      </c>
      <c r="AO166" t="s">
        <v>221</v>
      </c>
      <c r="AQ166" t="s">
        <v>217</v>
      </c>
      <c r="AS166" t="s">
        <v>253</v>
      </c>
    </row>
    <row r="167" ht="15.75" customHeight="1" spans="1:45">
      <c r="A167" t="s">
        <v>250</v>
      </c>
      <c r="B167" t="s">
        <v>67</v>
      </c>
      <c r="C167" t="s">
        <v>47</v>
      </c>
      <c r="D167" t="s">
        <v>58</v>
      </c>
      <c r="E167" t="s">
        <v>215</v>
      </c>
      <c r="F167" t="s">
        <v>251</v>
      </c>
      <c r="H167" t="s">
        <v>217</v>
      </c>
      <c r="I167" t="s">
        <v>236</v>
      </c>
      <c r="Q167" t="s">
        <v>57</v>
      </c>
      <c r="Y167" t="s">
        <v>254</v>
      </c>
      <c r="Z167">
        <v>35069190</v>
      </c>
      <c r="AE167">
        <v>0</v>
      </c>
      <c r="AF167" s="4">
        <v>0</v>
      </c>
      <c r="AG167">
        <v>504.41</v>
      </c>
      <c r="AH167" s="4">
        <v>0.18</v>
      </c>
      <c r="AI167">
        <f t="shared" si="15"/>
        <v>595.2</v>
      </c>
      <c r="AJ167" s="4">
        <v>0.2</v>
      </c>
      <c r="AK167">
        <f t="shared" si="16"/>
        <v>119.04</v>
      </c>
      <c r="AL167">
        <f t="shared" si="17"/>
        <v>714.24</v>
      </c>
      <c r="AM167">
        <f t="shared" si="18"/>
        <v>-714.24</v>
      </c>
      <c r="AN167" s="4" t="e">
        <f t="shared" si="19"/>
        <v>#DIV/0!</v>
      </c>
      <c r="AO167" t="s">
        <v>221</v>
      </c>
      <c r="AQ167" t="s">
        <v>217</v>
      </c>
      <c r="AS167" t="s">
        <v>253</v>
      </c>
    </row>
    <row r="168" ht="15.75" customHeight="1" spans="1:45">
      <c r="A168" t="s">
        <v>250</v>
      </c>
      <c r="B168" t="s">
        <v>71</v>
      </c>
      <c r="C168" t="s">
        <v>47</v>
      </c>
      <c r="D168" t="s">
        <v>58</v>
      </c>
      <c r="E168" t="s">
        <v>215</v>
      </c>
      <c r="F168" t="s">
        <v>251</v>
      </c>
      <c r="H168" t="s">
        <v>217</v>
      </c>
      <c r="I168" t="s">
        <v>238</v>
      </c>
      <c r="Q168" t="s">
        <v>57</v>
      </c>
      <c r="Y168" t="s">
        <v>255</v>
      </c>
      <c r="Z168">
        <v>35069190</v>
      </c>
      <c r="AE168">
        <v>0</v>
      </c>
      <c r="AF168" s="4">
        <v>0</v>
      </c>
      <c r="AG168">
        <v>1198.37</v>
      </c>
      <c r="AH168" s="4">
        <v>0.18</v>
      </c>
      <c r="AI168">
        <f t="shared" si="15"/>
        <v>1414.08</v>
      </c>
      <c r="AJ168" s="4">
        <v>0.2</v>
      </c>
      <c r="AK168">
        <f t="shared" si="16"/>
        <v>282.82</v>
      </c>
      <c r="AL168">
        <f t="shared" si="17"/>
        <v>1696.9</v>
      </c>
      <c r="AM168">
        <f t="shared" si="18"/>
        <v>-1696.9</v>
      </c>
      <c r="AN168" s="4" t="e">
        <f t="shared" si="19"/>
        <v>#DIV/0!</v>
      </c>
      <c r="AO168" t="s">
        <v>221</v>
      </c>
      <c r="AQ168" t="s">
        <v>217</v>
      </c>
      <c r="AS168" t="s">
        <v>253</v>
      </c>
    </row>
    <row r="169" ht="15.75" customHeight="1" spans="1:45">
      <c r="A169" t="s">
        <v>250</v>
      </c>
      <c r="B169" t="s">
        <v>75</v>
      </c>
      <c r="C169" t="s">
        <v>47</v>
      </c>
      <c r="D169" t="s">
        <v>58</v>
      </c>
      <c r="E169" t="s">
        <v>215</v>
      </c>
      <c r="F169" t="s">
        <v>251</v>
      </c>
      <c r="H169" t="s">
        <v>217</v>
      </c>
      <c r="I169" t="s">
        <v>240</v>
      </c>
      <c r="Q169" t="s">
        <v>57</v>
      </c>
      <c r="Y169" t="s">
        <v>256</v>
      </c>
      <c r="Z169">
        <v>35069190</v>
      </c>
      <c r="AE169">
        <v>0</v>
      </c>
      <c r="AF169" s="4">
        <v>0</v>
      </c>
      <c r="AG169">
        <v>2310.51</v>
      </c>
      <c r="AH169" s="4">
        <v>0.18</v>
      </c>
      <c r="AI169">
        <f t="shared" si="15"/>
        <v>2726.4</v>
      </c>
      <c r="AJ169" s="4">
        <v>0.2</v>
      </c>
      <c r="AK169">
        <f t="shared" si="16"/>
        <v>545.28</v>
      </c>
      <c r="AL169">
        <f t="shared" si="17"/>
        <v>3271.68</v>
      </c>
      <c r="AM169">
        <f t="shared" si="18"/>
        <v>-3271.68</v>
      </c>
      <c r="AN169" s="4" t="e">
        <f t="shared" si="19"/>
        <v>#DIV/0!</v>
      </c>
      <c r="AO169" t="s">
        <v>221</v>
      </c>
      <c r="AQ169" t="s">
        <v>217</v>
      </c>
      <c r="AS169" t="s">
        <v>253</v>
      </c>
    </row>
    <row r="170" ht="15.75" customHeight="1" spans="1:45">
      <c r="A170" t="s">
        <v>250</v>
      </c>
      <c r="B170" t="s">
        <v>79</v>
      </c>
      <c r="C170" t="s">
        <v>47</v>
      </c>
      <c r="D170" t="s">
        <v>58</v>
      </c>
      <c r="E170" t="s">
        <v>215</v>
      </c>
      <c r="F170" t="s">
        <v>251</v>
      </c>
      <c r="H170" t="s">
        <v>217</v>
      </c>
      <c r="I170" t="s">
        <v>242</v>
      </c>
      <c r="Q170" t="s">
        <v>57</v>
      </c>
      <c r="Y170" t="s">
        <v>257</v>
      </c>
      <c r="Z170">
        <v>35069190</v>
      </c>
      <c r="AE170">
        <v>0</v>
      </c>
      <c r="AF170" s="4">
        <v>0</v>
      </c>
      <c r="AG170">
        <v>4424.14</v>
      </c>
      <c r="AH170" s="4">
        <v>0.18</v>
      </c>
      <c r="AI170">
        <f t="shared" si="15"/>
        <v>5220.49</v>
      </c>
      <c r="AJ170" s="4">
        <v>0.2</v>
      </c>
      <c r="AK170">
        <f t="shared" si="16"/>
        <v>1044.1</v>
      </c>
      <c r="AL170">
        <f t="shared" si="17"/>
        <v>6264.59</v>
      </c>
      <c r="AM170">
        <f t="shared" si="18"/>
        <v>-6264.59</v>
      </c>
      <c r="AN170" s="4" t="e">
        <f t="shared" si="19"/>
        <v>#DIV/0!</v>
      </c>
      <c r="AO170" t="s">
        <v>221</v>
      </c>
      <c r="AQ170" t="s">
        <v>217</v>
      </c>
      <c r="AS170" t="s">
        <v>253</v>
      </c>
    </row>
    <row r="171" ht="15.75" customHeight="1" spans="1:45">
      <c r="A171" t="s">
        <v>250</v>
      </c>
      <c r="B171" t="s">
        <v>83</v>
      </c>
      <c r="C171" t="s">
        <v>47</v>
      </c>
      <c r="D171" t="s">
        <v>58</v>
      </c>
      <c r="E171" t="s">
        <v>215</v>
      </c>
      <c r="F171" t="s">
        <v>251</v>
      </c>
      <c r="H171" t="s">
        <v>217</v>
      </c>
      <c r="I171" t="s">
        <v>244</v>
      </c>
      <c r="Q171" t="s">
        <v>57</v>
      </c>
      <c r="Y171" t="s">
        <v>258</v>
      </c>
      <c r="Z171">
        <v>35069190</v>
      </c>
      <c r="AE171">
        <v>0</v>
      </c>
      <c r="AF171" s="4">
        <v>0</v>
      </c>
      <c r="AG171">
        <v>6507.66</v>
      </c>
      <c r="AH171" s="4">
        <v>0.18</v>
      </c>
      <c r="AI171">
        <f t="shared" si="15"/>
        <v>7679.04</v>
      </c>
      <c r="AJ171" s="4">
        <v>0.2</v>
      </c>
      <c r="AK171">
        <f t="shared" si="16"/>
        <v>1535.81</v>
      </c>
      <c r="AL171">
        <f t="shared" si="17"/>
        <v>9214.85</v>
      </c>
      <c r="AM171">
        <f t="shared" si="18"/>
        <v>-9214.85</v>
      </c>
      <c r="AN171" s="4" t="e">
        <f t="shared" si="19"/>
        <v>#DIV/0!</v>
      </c>
      <c r="AO171" t="s">
        <v>221</v>
      </c>
      <c r="AQ171" t="s">
        <v>217</v>
      </c>
      <c r="AS171" t="s">
        <v>253</v>
      </c>
    </row>
    <row r="172" ht="15.75" customHeight="1" spans="1:45">
      <c r="A172" t="s">
        <v>250</v>
      </c>
      <c r="B172" t="s">
        <v>131</v>
      </c>
      <c r="C172" t="s">
        <v>47</v>
      </c>
      <c r="D172" t="s">
        <v>58</v>
      </c>
      <c r="E172" t="s">
        <v>215</v>
      </c>
      <c r="F172" t="s">
        <v>251</v>
      </c>
      <c r="H172" t="s">
        <v>217</v>
      </c>
      <c r="I172" t="s">
        <v>246</v>
      </c>
      <c r="Q172" t="s">
        <v>57</v>
      </c>
      <c r="Y172" t="s">
        <v>259</v>
      </c>
      <c r="Z172">
        <v>35069190</v>
      </c>
      <c r="AE172">
        <v>0</v>
      </c>
      <c r="AF172" s="4">
        <v>0</v>
      </c>
      <c r="AG172">
        <v>10587.66</v>
      </c>
      <c r="AH172" s="4">
        <v>0.18</v>
      </c>
      <c r="AI172">
        <f t="shared" si="15"/>
        <v>12493.44</v>
      </c>
      <c r="AJ172" s="4">
        <v>0.2</v>
      </c>
      <c r="AK172">
        <f t="shared" si="16"/>
        <v>2498.69</v>
      </c>
      <c r="AL172">
        <f t="shared" si="17"/>
        <v>14992.13</v>
      </c>
      <c r="AM172">
        <f t="shared" si="18"/>
        <v>-14992.13</v>
      </c>
      <c r="AN172" s="4" t="e">
        <f t="shared" si="19"/>
        <v>#DIV/0!</v>
      </c>
      <c r="AO172" t="s">
        <v>221</v>
      </c>
      <c r="AQ172" t="s">
        <v>217</v>
      </c>
      <c r="AS172" t="s">
        <v>253</v>
      </c>
    </row>
    <row r="173" ht="15.75" customHeight="1" spans="1:45">
      <c r="A173" t="s">
        <v>250</v>
      </c>
      <c r="B173" t="s">
        <v>133</v>
      </c>
      <c r="C173" t="s">
        <v>47</v>
      </c>
      <c r="D173" t="s">
        <v>58</v>
      </c>
      <c r="E173" t="s">
        <v>215</v>
      </c>
      <c r="F173" t="s">
        <v>251</v>
      </c>
      <c r="H173" t="s">
        <v>217</v>
      </c>
      <c r="I173" t="s">
        <v>248</v>
      </c>
      <c r="Q173" t="s">
        <v>57</v>
      </c>
      <c r="Y173" t="s">
        <v>260</v>
      </c>
      <c r="Z173">
        <v>35069190</v>
      </c>
      <c r="AE173">
        <v>0</v>
      </c>
      <c r="AF173" s="4">
        <v>0</v>
      </c>
      <c r="AG173">
        <v>12534.51</v>
      </c>
      <c r="AH173" s="4">
        <v>0.18</v>
      </c>
      <c r="AI173">
        <f t="shared" si="15"/>
        <v>14790.72</v>
      </c>
      <c r="AJ173" s="4">
        <v>0.2</v>
      </c>
      <c r="AK173">
        <f t="shared" si="16"/>
        <v>2958.14</v>
      </c>
      <c r="AL173">
        <f t="shared" si="17"/>
        <v>17748.86</v>
      </c>
      <c r="AM173">
        <f t="shared" si="18"/>
        <v>-17748.86</v>
      </c>
      <c r="AN173" s="4" t="e">
        <f t="shared" si="19"/>
        <v>#DIV/0!</v>
      </c>
      <c r="AO173" t="s">
        <v>221</v>
      </c>
      <c r="AQ173" t="s">
        <v>217</v>
      </c>
      <c r="AS173" t="s">
        <v>253</v>
      </c>
    </row>
    <row r="174" ht="15.75" customHeight="1" spans="1:45">
      <c r="A174" t="s">
        <v>261</v>
      </c>
      <c r="B174" t="s">
        <v>46</v>
      </c>
      <c r="C174" t="s">
        <v>47</v>
      </c>
      <c r="D174" t="s">
        <v>58</v>
      </c>
      <c r="E174" t="s">
        <v>215</v>
      </c>
      <c r="F174" t="s">
        <v>262</v>
      </c>
      <c r="H174" t="s">
        <v>217</v>
      </c>
      <c r="I174" t="s">
        <v>234</v>
      </c>
      <c r="Q174" t="s">
        <v>57</v>
      </c>
      <c r="Y174" t="s">
        <v>263</v>
      </c>
      <c r="Z174">
        <v>35069110</v>
      </c>
      <c r="AE174">
        <v>0</v>
      </c>
      <c r="AF174" s="4">
        <v>0</v>
      </c>
      <c r="AG174">
        <v>302.64</v>
      </c>
      <c r="AH174" s="4">
        <v>0.18</v>
      </c>
      <c r="AI174">
        <f t="shared" si="15"/>
        <v>357.12</v>
      </c>
      <c r="AJ174" s="4">
        <v>0.2</v>
      </c>
      <c r="AK174">
        <f t="shared" si="16"/>
        <v>71.42</v>
      </c>
      <c r="AL174">
        <f t="shared" si="17"/>
        <v>428.54</v>
      </c>
      <c r="AM174">
        <f t="shared" si="18"/>
        <v>-428.54</v>
      </c>
      <c r="AN174" s="4" t="e">
        <f t="shared" si="19"/>
        <v>#DIV/0!</v>
      </c>
      <c r="AO174" t="s">
        <v>221</v>
      </c>
      <c r="AQ174" t="s">
        <v>217</v>
      </c>
      <c r="AS174" t="s">
        <v>264</v>
      </c>
    </row>
    <row r="175" ht="15.75" customHeight="1" spans="1:45">
      <c r="A175" t="s">
        <v>261</v>
      </c>
      <c r="B175" t="s">
        <v>67</v>
      </c>
      <c r="C175" t="s">
        <v>47</v>
      </c>
      <c r="D175" t="s">
        <v>58</v>
      </c>
      <c r="E175" t="s">
        <v>215</v>
      </c>
      <c r="F175" t="s">
        <v>262</v>
      </c>
      <c r="H175" t="s">
        <v>217</v>
      </c>
      <c r="I175" t="s">
        <v>236</v>
      </c>
      <c r="Q175" t="s">
        <v>57</v>
      </c>
      <c r="Y175" t="s">
        <v>265</v>
      </c>
      <c r="Z175">
        <v>35069110</v>
      </c>
      <c r="AE175">
        <v>0</v>
      </c>
      <c r="AF175" s="4">
        <v>0</v>
      </c>
      <c r="AG175">
        <v>580.07</v>
      </c>
      <c r="AH175" s="4">
        <v>0.18</v>
      </c>
      <c r="AI175">
        <f t="shared" si="15"/>
        <v>684.48</v>
      </c>
      <c r="AJ175" s="4">
        <v>0.2</v>
      </c>
      <c r="AK175">
        <f t="shared" si="16"/>
        <v>136.9</v>
      </c>
      <c r="AL175">
        <f t="shared" si="17"/>
        <v>821.38</v>
      </c>
      <c r="AM175">
        <f t="shared" si="18"/>
        <v>-821.38</v>
      </c>
      <c r="AN175" s="4" t="e">
        <f t="shared" si="19"/>
        <v>#DIV/0!</v>
      </c>
      <c r="AO175" t="s">
        <v>221</v>
      </c>
      <c r="AQ175" t="s">
        <v>217</v>
      </c>
      <c r="AS175" t="s">
        <v>264</v>
      </c>
    </row>
    <row r="176" ht="15.75" customHeight="1" spans="1:45">
      <c r="A176" t="s">
        <v>261</v>
      </c>
      <c r="B176" t="s">
        <v>71</v>
      </c>
      <c r="C176" t="s">
        <v>47</v>
      </c>
      <c r="D176" t="s">
        <v>58</v>
      </c>
      <c r="E176" t="s">
        <v>215</v>
      </c>
      <c r="F176" t="s">
        <v>262</v>
      </c>
      <c r="H176" t="s">
        <v>217</v>
      </c>
      <c r="I176" t="s">
        <v>238</v>
      </c>
      <c r="Q176" t="s">
        <v>57</v>
      </c>
      <c r="Y176" t="s">
        <v>266</v>
      </c>
      <c r="Z176">
        <v>35069110</v>
      </c>
      <c r="AE176">
        <v>0</v>
      </c>
      <c r="AF176" s="4">
        <v>0</v>
      </c>
      <c r="AG176">
        <v>1392</v>
      </c>
      <c r="AH176" s="4">
        <v>0.18</v>
      </c>
      <c r="AI176">
        <f t="shared" si="15"/>
        <v>1642.56</v>
      </c>
      <c r="AJ176" s="4">
        <v>0.2</v>
      </c>
      <c r="AK176">
        <f t="shared" si="16"/>
        <v>328.51</v>
      </c>
      <c r="AL176">
        <f t="shared" si="17"/>
        <v>1971.07</v>
      </c>
      <c r="AM176">
        <f t="shared" si="18"/>
        <v>-1971.07</v>
      </c>
      <c r="AN176" s="4" t="e">
        <f t="shared" si="19"/>
        <v>#DIV/0!</v>
      </c>
      <c r="AO176" t="s">
        <v>221</v>
      </c>
      <c r="AQ176" t="s">
        <v>217</v>
      </c>
      <c r="AS176" t="s">
        <v>264</v>
      </c>
    </row>
    <row r="177" ht="15.75" customHeight="1" spans="1:45">
      <c r="A177" t="s">
        <v>261</v>
      </c>
      <c r="B177" t="s">
        <v>75</v>
      </c>
      <c r="C177" t="s">
        <v>47</v>
      </c>
      <c r="D177" t="s">
        <v>58</v>
      </c>
      <c r="E177" t="s">
        <v>215</v>
      </c>
      <c r="F177" t="s">
        <v>262</v>
      </c>
      <c r="H177" t="s">
        <v>217</v>
      </c>
      <c r="I177" t="s">
        <v>240</v>
      </c>
      <c r="Q177" t="s">
        <v>57</v>
      </c>
      <c r="Y177" t="s">
        <v>267</v>
      </c>
      <c r="Z177">
        <v>35069110</v>
      </c>
      <c r="AE177">
        <v>0</v>
      </c>
      <c r="AF177" s="4">
        <v>0</v>
      </c>
      <c r="AG177">
        <v>2666.03</v>
      </c>
      <c r="AH177" s="4">
        <v>0.18</v>
      </c>
      <c r="AI177">
        <f t="shared" si="15"/>
        <v>3145.92</v>
      </c>
      <c r="AJ177" s="4">
        <v>0.2</v>
      </c>
      <c r="AK177">
        <f t="shared" si="16"/>
        <v>629.18</v>
      </c>
      <c r="AL177">
        <f t="shared" si="17"/>
        <v>3775.1</v>
      </c>
      <c r="AM177">
        <f t="shared" si="18"/>
        <v>-3775.1</v>
      </c>
      <c r="AN177" s="4" t="e">
        <f t="shared" si="19"/>
        <v>#DIV/0!</v>
      </c>
      <c r="AO177" t="s">
        <v>221</v>
      </c>
      <c r="AQ177" t="s">
        <v>217</v>
      </c>
      <c r="AS177" t="s">
        <v>264</v>
      </c>
    </row>
    <row r="178" ht="15.75" customHeight="1" spans="1:45">
      <c r="A178" t="s">
        <v>261</v>
      </c>
      <c r="B178" t="s">
        <v>79</v>
      </c>
      <c r="C178" t="s">
        <v>47</v>
      </c>
      <c r="D178" t="s">
        <v>58</v>
      </c>
      <c r="E178" t="s">
        <v>215</v>
      </c>
      <c r="F178" t="s">
        <v>262</v>
      </c>
      <c r="H178" t="s">
        <v>217</v>
      </c>
      <c r="I178" t="s">
        <v>242</v>
      </c>
      <c r="Q178" t="s">
        <v>57</v>
      </c>
      <c r="Y178" t="s">
        <v>268</v>
      </c>
      <c r="Z178">
        <v>35069110</v>
      </c>
      <c r="AE178">
        <v>0</v>
      </c>
      <c r="AF178" s="4">
        <v>0</v>
      </c>
      <c r="AG178">
        <v>5144.14</v>
      </c>
      <c r="AH178" s="4">
        <v>0.18</v>
      </c>
      <c r="AI178">
        <f t="shared" si="15"/>
        <v>6070.09</v>
      </c>
      <c r="AJ178" s="4">
        <v>0.2</v>
      </c>
      <c r="AK178">
        <f t="shared" si="16"/>
        <v>1214.02</v>
      </c>
      <c r="AL178">
        <f t="shared" si="17"/>
        <v>7284.11</v>
      </c>
      <c r="AM178">
        <f t="shared" si="18"/>
        <v>-7284.11</v>
      </c>
      <c r="AN178" s="4" t="e">
        <f t="shared" si="19"/>
        <v>#DIV/0!</v>
      </c>
      <c r="AO178" t="s">
        <v>221</v>
      </c>
      <c r="AQ178" t="s">
        <v>217</v>
      </c>
      <c r="AS178" t="s">
        <v>264</v>
      </c>
    </row>
    <row r="179" ht="15.75" customHeight="1" spans="1:45">
      <c r="A179" t="s">
        <v>261</v>
      </c>
      <c r="B179" t="s">
        <v>83</v>
      </c>
      <c r="C179" t="s">
        <v>47</v>
      </c>
      <c r="D179" t="s">
        <v>58</v>
      </c>
      <c r="E179" t="s">
        <v>215</v>
      </c>
      <c r="F179" t="s">
        <v>262</v>
      </c>
      <c r="H179" t="s">
        <v>217</v>
      </c>
      <c r="I179" t="s">
        <v>244</v>
      </c>
      <c r="Q179" t="s">
        <v>57</v>
      </c>
      <c r="Y179" t="s">
        <v>269</v>
      </c>
      <c r="Z179">
        <v>35069110</v>
      </c>
      <c r="AE179">
        <v>0</v>
      </c>
      <c r="AF179" s="4">
        <v>0</v>
      </c>
      <c r="AG179">
        <v>7561.22</v>
      </c>
      <c r="AH179" s="4">
        <v>0.18</v>
      </c>
      <c r="AI179">
        <f t="shared" si="15"/>
        <v>8922.24</v>
      </c>
      <c r="AJ179" s="4">
        <v>0.2</v>
      </c>
      <c r="AK179">
        <f t="shared" si="16"/>
        <v>1784.45</v>
      </c>
      <c r="AL179">
        <f t="shared" si="17"/>
        <v>10706.69</v>
      </c>
      <c r="AM179">
        <f t="shared" si="18"/>
        <v>-10706.69</v>
      </c>
      <c r="AN179" s="4" t="e">
        <f t="shared" si="19"/>
        <v>#DIV/0!</v>
      </c>
      <c r="AO179" t="s">
        <v>221</v>
      </c>
      <c r="AQ179" t="s">
        <v>217</v>
      </c>
      <c r="AS179" t="s">
        <v>264</v>
      </c>
    </row>
    <row r="180" ht="15.75" customHeight="1" spans="1:45">
      <c r="A180" t="s">
        <v>261</v>
      </c>
      <c r="B180" t="s">
        <v>131</v>
      </c>
      <c r="C180" t="s">
        <v>47</v>
      </c>
      <c r="D180" t="s">
        <v>58</v>
      </c>
      <c r="E180" t="s">
        <v>215</v>
      </c>
      <c r="F180" t="s">
        <v>262</v>
      </c>
      <c r="H180" t="s">
        <v>217</v>
      </c>
      <c r="I180" t="s">
        <v>246</v>
      </c>
      <c r="Q180" t="s">
        <v>57</v>
      </c>
      <c r="Y180" t="s">
        <v>270</v>
      </c>
      <c r="Z180">
        <v>35069110</v>
      </c>
      <c r="AE180">
        <v>0</v>
      </c>
      <c r="AF180" s="4">
        <v>0</v>
      </c>
      <c r="AG180">
        <v>12461.29</v>
      </c>
      <c r="AH180" s="4">
        <v>0.18</v>
      </c>
      <c r="AI180">
        <f t="shared" si="15"/>
        <v>14704.32</v>
      </c>
      <c r="AJ180" s="4">
        <v>0.2</v>
      </c>
      <c r="AK180">
        <f t="shared" si="16"/>
        <v>2940.86</v>
      </c>
      <c r="AL180">
        <f t="shared" si="17"/>
        <v>17645.18</v>
      </c>
      <c r="AM180">
        <f t="shared" si="18"/>
        <v>-17645.18</v>
      </c>
      <c r="AN180" s="4" t="e">
        <f t="shared" si="19"/>
        <v>#DIV/0!</v>
      </c>
      <c r="AO180" t="s">
        <v>221</v>
      </c>
      <c r="AQ180" t="s">
        <v>217</v>
      </c>
      <c r="AS180" t="s">
        <v>264</v>
      </c>
    </row>
    <row r="181" ht="15.75" customHeight="1" spans="1:45">
      <c r="A181" t="s">
        <v>261</v>
      </c>
      <c r="B181" t="s">
        <v>133</v>
      </c>
      <c r="C181" t="s">
        <v>47</v>
      </c>
      <c r="D181" t="s">
        <v>58</v>
      </c>
      <c r="E181" t="s">
        <v>215</v>
      </c>
      <c r="F181" t="s">
        <v>262</v>
      </c>
      <c r="H181" t="s">
        <v>217</v>
      </c>
      <c r="I181" t="s">
        <v>248</v>
      </c>
      <c r="Q181" t="s">
        <v>57</v>
      </c>
      <c r="Y181" t="s">
        <v>271</v>
      </c>
      <c r="Z181">
        <v>35069110</v>
      </c>
      <c r="AE181">
        <v>0</v>
      </c>
      <c r="AF181" s="4">
        <v>0</v>
      </c>
      <c r="AG181">
        <v>14953.22</v>
      </c>
      <c r="AH181" s="4">
        <v>0.18</v>
      </c>
      <c r="AI181">
        <f t="shared" si="15"/>
        <v>17644.8</v>
      </c>
      <c r="AJ181" s="4">
        <v>0.2</v>
      </c>
      <c r="AK181">
        <f t="shared" si="16"/>
        <v>3528.96</v>
      </c>
      <c r="AL181">
        <f t="shared" si="17"/>
        <v>21173.76</v>
      </c>
      <c r="AM181">
        <f t="shared" si="18"/>
        <v>-21173.76</v>
      </c>
      <c r="AN181" s="4" t="e">
        <f t="shared" si="19"/>
        <v>#DIV/0!</v>
      </c>
      <c r="AO181" t="s">
        <v>221</v>
      </c>
      <c r="AQ181" t="s">
        <v>217</v>
      </c>
      <c r="AS181" t="s">
        <v>264</v>
      </c>
    </row>
    <row r="182" ht="15.75" customHeight="1" spans="1:45">
      <c r="A182" s="8" t="s">
        <v>272</v>
      </c>
      <c r="B182" s="8" t="s">
        <v>46</v>
      </c>
      <c r="C182" s="8" t="s">
        <v>47</v>
      </c>
      <c r="D182" s="8" t="s">
        <v>58</v>
      </c>
      <c r="E182" s="8" t="s">
        <v>215</v>
      </c>
      <c r="F182" s="8" t="s">
        <v>273</v>
      </c>
      <c r="G182" s="8"/>
      <c r="H182" s="8" t="s">
        <v>217</v>
      </c>
      <c r="I182" s="8" t="s">
        <v>234</v>
      </c>
      <c r="J182" s="8"/>
      <c r="K182" s="8"/>
      <c r="L182" s="8"/>
      <c r="M182" s="8"/>
      <c r="N182" s="8"/>
      <c r="O182" s="8"/>
      <c r="P182" s="8"/>
      <c r="Q182" s="8" t="s">
        <v>57</v>
      </c>
      <c r="R182" s="8"/>
      <c r="S182" s="8"/>
      <c r="T182" s="8"/>
      <c r="U182" s="8"/>
      <c r="V182" s="8"/>
      <c r="W182" s="8"/>
      <c r="X182" s="8"/>
      <c r="Y182" s="8" t="s">
        <v>274</v>
      </c>
      <c r="Z182" s="8">
        <v>35069999</v>
      </c>
      <c r="AA182" s="8"/>
      <c r="AB182" s="8"/>
      <c r="AC182" s="8"/>
      <c r="AD182" s="8"/>
      <c r="AE182" s="8">
        <v>0</v>
      </c>
      <c r="AF182" s="9">
        <v>0</v>
      </c>
      <c r="AG182" s="8">
        <f t="shared" ref="AG182:AG188" si="20">ROUND(AE182-(AE182*AF182),2)</f>
        <v>0</v>
      </c>
      <c r="AH182" s="9">
        <v>0.18</v>
      </c>
      <c r="AI182" s="8">
        <f t="shared" si="15"/>
        <v>0</v>
      </c>
      <c r="AJ182" s="9">
        <v>0.2</v>
      </c>
      <c r="AK182" s="8">
        <f t="shared" si="16"/>
        <v>0</v>
      </c>
      <c r="AL182" s="8">
        <f t="shared" si="17"/>
        <v>0</v>
      </c>
      <c r="AM182" s="8">
        <f t="shared" si="18"/>
        <v>0</v>
      </c>
      <c r="AN182" s="9" t="e">
        <f t="shared" si="19"/>
        <v>#DIV/0!</v>
      </c>
      <c r="AO182" s="8" t="s">
        <v>221</v>
      </c>
      <c r="AP182" s="8"/>
      <c r="AQ182" s="8" t="s">
        <v>217</v>
      </c>
      <c r="AR182" s="8"/>
      <c r="AS182" s="8" t="s">
        <v>275</v>
      </c>
    </row>
    <row r="183" ht="15.75" customHeight="1" spans="1:45">
      <c r="A183" s="8" t="s">
        <v>272</v>
      </c>
      <c r="B183" s="8" t="s">
        <v>67</v>
      </c>
      <c r="C183" s="8" t="s">
        <v>47</v>
      </c>
      <c r="D183" s="8" t="s">
        <v>58</v>
      </c>
      <c r="E183" s="8" t="s">
        <v>215</v>
      </c>
      <c r="F183" s="8" t="s">
        <v>273</v>
      </c>
      <c r="G183" s="8"/>
      <c r="H183" s="8" t="s">
        <v>217</v>
      </c>
      <c r="I183" s="8" t="s">
        <v>236</v>
      </c>
      <c r="J183" s="8"/>
      <c r="K183" s="8"/>
      <c r="L183" s="8"/>
      <c r="M183" s="8"/>
      <c r="N183" s="8"/>
      <c r="O183" s="8"/>
      <c r="P183" s="8"/>
      <c r="Q183" s="8" t="s">
        <v>57</v>
      </c>
      <c r="R183" s="8"/>
      <c r="S183" s="8"/>
      <c r="T183" s="8"/>
      <c r="U183" s="8"/>
      <c r="V183" s="8"/>
      <c r="W183" s="8"/>
      <c r="X183" s="8"/>
      <c r="Y183" s="8" t="s">
        <v>274</v>
      </c>
      <c r="Z183" s="8">
        <v>35069999</v>
      </c>
      <c r="AA183" s="8"/>
      <c r="AB183" s="8"/>
      <c r="AC183" s="8"/>
      <c r="AD183" s="8"/>
      <c r="AE183" s="8">
        <v>0</v>
      </c>
      <c r="AF183" s="9">
        <v>0</v>
      </c>
      <c r="AG183" s="8">
        <f t="shared" si="20"/>
        <v>0</v>
      </c>
      <c r="AH183" s="9">
        <v>0.18</v>
      </c>
      <c r="AI183" s="8">
        <f t="shared" si="15"/>
        <v>0</v>
      </c>
      <c r="AJ183" s="9">
        <v>0.2</v>
      </c>
      <c r="AK183" s="8">
        <f t="shared" si="16"/>
        <v>0</v>
      </c>
      <c r="AL183" s="8">
        <f t="shared" si="17"/>
        <v>0</v>
      </c>
      <c r="AM183" s="8">
        <f t="shared" si="18"/>
        <v>0</v>
      </c>
      <c r="AN183" s="9" t="e">
        <f t="shared" si="19"/>
        <v>#DIV/0!</v>
      </c>
      <c r="AO183" s="8" t="s">
        <v>221</v>
      </c>
      <c r="AP183" s="8"/>
      <c r="AQ183" s="8" t="s">
        <v>217</v>
      </c>
      <c r="AR183" s="8"/>
      <c r="AS183" s="8" t="s">
        <v>275</v>
      </c>
    </row>
    <row r="184" ht="15.75" customHeight="1" spans="1:45">
      <c r="A184" s="8" t="s">
        <v>272</v>
      </c>
      <c r="B184" s="8" t="s">
        <v>71</v>
      </c>
      <c r="C184" s="8" t="s">
        <v>47</v>
      </c>
      <c r="D184" s="8" t="s">
        <v>58</v>
      </c>
      <c r="E184" s="8" t="s">
        <v>215</v>
      </c>
      <c r="F184" s="8" t="s">
        <v>273</v>
      </c>
      <c r="G184" s="8"/>
      <c r="H184" s="8" t="s">
        <v>217</v>
      </c>
      <c r="I184" s="8" t="s">
        <v>238</v>
      </c>
      <c r="J184" s="8"/>
      <c r="K184" s="8"/>
      <c r="L184" s="8"/>
      <c r="M184" s="8"/>
      <c r="N184" s="8"/>
      <c r="O184" s="8"/>
      <c r="P184" s="8"/>
      <c r="Q184" s="8" t="s">
        <v>57</v>
      </c>
      <c r="R184" s="8"/>
      <c r="S184" s="8"/>
      <c r="T184" s="8"/>
      <c r="U184" s="8"/>
      <c r="V184" s="8"/>
      <c r="W184" s="8"/>
      <c r="X184" s="8"/>
      <c r="Y184" s="8" t="s">
        <v>274</v>
      </c>
      <c r="Z184" s="8">
        <v>35069999</v>
      </c>
      <c r="AA184" s="8"/>
      <c r="AB184" s="8"/>
      <c r="AC184" s="8"/>
      <c r="AD184" s="8"/>
      <c r="AE184" s="8">
        <v>0</v>
      </c>
      <c r="AF184" s="9">
        <v>0</v>
      </c>
      <c r="AG184" s="8">
        <f t="shared" si="20"/>
        <v>0</v>
      </c>
      <c r="AH184" s="9">
        <v>0.18</v>
      </c>
      <c r="AI184" s="8">
        <f t="shared" si="15"/>
        <v>0</v>
      </c>
      <c r="AJ184" s="9">
        <v>0.2</v>
      </c>
      <c r="AK184" s="8">
        <f t="shared" si="16"/>
        <v>0</v>
      </c>
      <c r="AL184" s="8">
        <f t="shared" si="17"/>
        <v>0</v>
      </c>
      <c r="AM184" s="8">
        <f t="shared" si="18"/>
        <v>0</v>
      </c>
      <c r="AN184" s="9" t="e">
        <f t="shared" si="19"/>
        <v>#DIV/0!</v>
      </c>
      <c r="AO184" s="8" t="s">
        <v>221</v>
      </c>
      <c r="AP184" s="8"/>
      <c r="AQ184" s="8" t="s">
        <v>217</v>
      </c>
      <c r="AR184" s="8"/>
      <c r="AS184" s="8" t="s">
        <v>275</v>
      </c>
    </row>
    <row r="185" ht="15.75" customHeight="1" spans="1:45">
      <c r="A185" s="8" t="s">
        <v>272</v>
      </c>
      <c r="B185" s="8" t="s">
        <v>75</v>
      </c>
      <c r="C185" s="8" t="s">
        <v>47</v>
      </c>
      <c r="D185" s="8" t="s">
        <v>58</v>
      </c>
      <c r="E185" s="8" t="s">
        <v>215</v>
      </c>
      <c r="F185" s="8" t="s">
        <v>273</v>
      </c>
      <c r="G185" s="8"/>
      <c r="H185" s="8" t="s">
        <v>217</v>
      </c>
      <c r="I185" s="8" t="s">
        <v>240</v>
      </c>
      <c r="J185" s="8"/>
      <c r="K185" s="8"/>
      <c r="L185" s="8"/>
      <c r="M185" s="8"/>
      <c r="N185" s="8"/>
      <c r="O185" s="8"/>
      <c r="P185" s="8"/>
      <c r="Q185" s="8" t="s">
        <v>57</v>
      </c>
      <c r="R185" s="8"/>
      <c r="S185" s="8"/>
      <c r="T185" s="8"/>
      <c r="U185" s="8"/>
      <c r="V185" s="8"/>
      <c r="W185" s="8"/>
      <c r="X185" s="8"/>
      <c r="Y185" s="8" t="s">
        <v>274</v>
      </c>
      <c r="Z185" s="8">
        <v>35069999</v>
      </c>
      <c r="AA185" s="8"/>
      <c r="AB185" s="8"/>
      <c r="AC185" s="8"/>
      <c r="AD185" s="8"/>
      <c r="AE185" s="8">
        <v>0</v>
      </c>
      <c r="AF185" s="9">
        <v>0</v>
      </c>
      <c r="AG185" s="8">
        <f t="shared" si="20"/>
        <v>0</v>
      </c>
      <c r="AH185" s="9">
        <v>0.18</v>
      </c>
      <c r="AI185" s="8">
        <f t="shared" si="15"/>
        <v>0</v>
      </c>
      <c r="AJ185" s="9">
        <v>0.2</v>
      </c>
      <c r="AK185" s="8">
        <f t="shared" si="16"/>
        <v>0</v>
      </c>
      <c r="AL185" s="8">
        <f t="shared" si="17"/>
        <v>0</v>
      </c>
      <c r="AM185" s="8">
        <f t="shared" si="18"/>
        <v>0</v>
      </c>
      <c r="AN185" s="9" t="e">
        <f t="shared" si="19"/>
        <v>#DIV/0!</v>
      </c>
      <c r="AO185" s="8" t="s">
        <v>221</v>
      </c>
      <c r="AP185" s="8"/>
      <c r="AQ185" s="8" t="s">
        <v>217</v>
      </c>
      <c r="AR185" s="8"/>
      <c r="AS185" s="8" t="s">
        <v>275</v>
      </c>
    </row>
    <row r="186" ht="15.75" customHeight="1" spans="1:45">
      <c r="A186" s="8" t="s">
        <v>272</v>
      </c>
      <c r="B186" s="8" t="s">
        <v>79</v>
      </c>
      <c r="C186" s="8" t="s">
        <v>47</v>
      </c>
      <c r="D186" s="8" t="s">
        <v>58</v>
      </c>
      <c r="E186" s="8" t="s">
        <v>215</v>
      </c>
      <c r="F186" s="8" t="s">
        <v>273</v>
      </c>
      <c r="G186" s="8"/>
      <c r="H186" s="8" t="s">
        <v>217</v>
      </c>
      <c r="I186" s="8" t="s">
        <v>242</v>
      </c>
      <c r="J186" s="8"/>
      <c r="K186" s="8"/>
      <c r="L186" s="8"/>
      <c r="M186" s="8"/>
      <c r="N186" s="8"/>
      <c r="O186" s="8"/>
      <c r="P186" s="8"/>
      <c r="Q186" s="8" t="s">
        <v>57</v>
      </c>
      <c r="R186" s="8"/>
      <c r="S186" s="8"/>
      <c r="T186" s="8"/>
      <c r="U186" s="8"/>
      <c r="V186" s="8"/>
      <c r="W186" s="8"/>
      <c r="X186" s="8"/>
      <c r="Y186" s="8" t="s">
        <v>274</v>
      </c>
      <c r="Z186" s="8">
        <v>35069999</v>
      </c>
      <c r="AA186" s="8"/>
      <c r="AB186" s="8"/>
      <c r="AC186" s="8"/>
      <c r="AD186" s="8"/>
      <c r="AE186" s="8">
        <v>0</v>
      </c>
      <c r="AF186" s="9">
        <v>0</v>
      </c>
      <c r="AG186" s="8">
        <f t="shared" si="20"/>
        <v>0</v>
      </c>
      <c r="AH186" s="9">
        <v>0.18</v>
      </c>
      <c r="AI186" s="8">
        <f t="shared" si="15"/>
        <v>0</v>
      </c>
      <c r="AJ186" s="9">
        <v>0.2</v>
      </c>
      <c r="AK186" s="8">
        <f t="shared" si="16"/>
        <v>0</v>
      </c>
      <c r="AL186" s="8">
        <f t="shared" si="17"/>
        <v>0</v>
      </c>
      <c r="AM186" s="8">
        <f t="shared" si="18"/>
        <v>0</v>
      </c>
      <c r="AN186" s="9" t="e">
        <f t="shared" si="19"/>
        <v>#DIV/0!</v>
      </c>
      <c r="AO186" s="8" t="s">
        <v>221</v>
      </c>
      <c r="AP186" s="8"/>
      <c r="AQ186" s="8" t="s">
        <v>217</v>
      </c>
      <c r="AR186" s="8"/>
      <c r="AS186" s="8" t="s">
        <v>275</v>
      </c>
    </row>
    <row r="187" ht="15.75" customHeight="1" spans="1:45">
      <c r="A187" s="8" t="s">
        <v>272</v>
      </c>
      <c r="B187" s="8" t="s">
        <v>83</v>
      </c>
      <c r="C187" s="8" t="s">
        <v>47</v>
      </c>
      <c r="D187" s="8" t="s">
        <v>58</v>
      </c>
      <c r="E187" s="8" t="s">
        <v>215</v>
      </c>
      <c r="F187" s="8" t="s">
        <v>273</v>
      </c>
      <c r="G187" s="8"/>
      <c r="H187" s="8" t="s">
        <v>217</v>
      </c>
      <c r="I187" s="8" t="s">
        <v>246</v>
      </c>
      <c r="J187" s="8"/>
      <c r="K187" s="8"/>
      <c r="L187" s="8"/>
      <c r="M187" s="8"/>
      <c r="N187" s="8"/>
      <c r="O187" s="8"/>
      <c r="P187" s="8"/>
      <c r="Q187" s="8" t="s">
        <v>57</v>
      </c>
      <c r="R187" s="8"/>
      <c r="S187" s="8"/>
      <c r="T187" s="8"/>
      <c r="U187" s="8"/>
      <c r="V187" s="8"/>
      <c r="W187" s="8"/>
      <c r="X187" s="8"/>
      <c r="Y187" s="8" t="s">
        <v>274</v>
      </c>
      <c r="Z187" s="8">
        <v>35069999</v>
      </c>
      <c r="AA187" s="8"/>
      <c r="AB187" s="8"/>
      <c r="AC187" s="8"/>
      <c r="AD187" s="8"/>
      <c r="AE187" s="8">
        <v>0</v>
      </c>
      <c r="AF187" s="9">
        <v>0</v>
      </c>
      <c r="AG187" s="8">
        <f t="shared" si="20"/>
        <v>0</v>
      </c>
      <c r="AH187" s="9">
        <v>0.18</v>
      </c>
      <c r="AI187" s="8">
        <f t="shared" si="15"/>
        <v>0</v>
      </c>
      <c r="AJ187" s="9">
        <v>0.2</v>
      </c>
      <c r="AK187" s="8">
        <f t="shared" si="16"/>
        <v>0</v>
      </c>
      <c r="AL187" s="8">
        <f t="shared" si="17"/>
        <v>0</v>
      </c>
      <c r="AM187" s="8">
        <f t="shared" si="18"/>
        <v>0</v>
      </c>
      <c r="AN187" s="9" t="e">
        <f t="shared" si="19"/>
        <v>#DIV/0!</v>
      </c>
      <c r="AO187" s="8" t="s">
        <v>221</v>
      </c>
      <c r="AP187" s="8"/>
      <c r="AQ187" s="8" t="s">
        <v>217</v>
      </c>
      <c r="AR187" s="8"/>
      <c r="AS187" s="8" t="s">
        <v>275</v>
      </c>
    </row>
    <row r="188" ht="15.75" customHeight="1" spans="1:45">
      <c r="A188" s="8" t="s">
        <v>272</v>
      </c>
      <c r="B188" s="8" t="s">
        <v>131</v>
      </c>
      <c r="C188" s="8" t="s">
        <v>47</v>
      </c>
      <c r="D188" s="8" t="s">
        <v>58</v>
      </c>
      <c r="E188" s="8" t="s">
        <v>215</v>
      </c>
      <c r="F188" s="8" t="s">
        <v>273</v>
      </c>
      <c r="G188" s="8"/>
      <c r="H188" s="8" t="s">
        <v>217</v>
      </c>
      <c r="I188" s="8" t="s">
        <v>248</v>
      </c>
      <c r="J188" s="8"/>
      <c r="K188" s="8"/>
      <c r="L188" s="8"/>
      <c r="M188" s="8"/>
      <c r="N188" s="8"/>
      <c r="O188" s="8"/>
      <c r="P188" s="8"/>
      <c r="Q188" s="8" t="s">
        <v>57</v>
      </c>
      <c r="R188" s="8"/>
      <c r="S188" s="8"/>
      <c r="T188" s="8"/>
      <c r="U188" s="8"/>
      <c r="V188" s="8"/>
      <c r="W188" s="8"/>
      <c r="X188" s="8"/>
      <c r="Y188" s="8" t="s">
        <v>274</v>
      </c>
      <c r="Z188" s="8">
        <v>35069999</v>
      </c>
      <c r="AA188" s="8"/>
      <c r="AB188" s="8"/>
      <c r="AC188" s="8"/>
      <c r="AD188" s="8"/>
      <c r="AE188" s="8">
        <v>0</v>
      </c>
      <c r="AF188" s="9">
        <v>0</v>
      </c>
      <c r="AG188" s="8">
        <f t="shared" si="20"/>
        <v>0</v>
      </c>
      <c r="AH188" s="9">
        <v>0.18</v>
      </c>
      <c r="AI188" s="8">
        <f t="shared" si="15"/>
        <v>0</v>
      </c>
      <c r="AJ188" s="9">
        <v>0.2</v>
      </c>
      <c r="AK188" s="8">
        <f t="shared" si="16"/>
        <v>0</v>
      </c>
      <c r="AL188" s="8">
        <f t="shared" si="17"/>
        <v>0</v>
      </c>
      <c r="AM188" s="8">
        <f t="shared" si="18"/>
        <v>0</v>
      </c>
      <c r="AN188" s="9" t="e">
        <f t="shared" si="19"/>
        <v>#DIV/0!</v>
      </c>
      <c r="AO188" s="8" t="s">
        <v>221</v>
      </c>
      <c r="AP188" s="8"/>
      <c r="AQ188" s="8" t="s">
        <v>217</v>
      </c>
      <c r="AR188" s="8"/>
      <c r="AS188" s="8" t="s">
        <v>275</v>
      </c>
    </row>
    <row r="189" ht="15.75" customHeight="1" spans="1:45">
      <c r="A189" t="s">
        <v>276</v>
      </c>
      <c r="B189" t="s">
        <v>46</v>
      </c>
      <c r="C189" t="s">
        <v>47</v>
      </c>
      <c r="D189" t="s">
        <v>58</v>
      </c>
      <c r="E189" t="s">
        <v>215</v>
      </c>
      <c r="F189" t="s">
        <v>277</v>
      </c>
      <c r="H189" t="s">
        <v>217</v>
      </c>
      <c r="I189" t="s">
        <v>225</v>
      </c>
      <c r="Q189" t="s">
        <v>57</v>
      </c>
      <c r="Y189" t="s">
        <v>278</v>
      </c>
      <c r="Z189">
        <v>3506</v>
      </c>
      <c r="AE189">
        <v>0</v>
      </c>
      <c r="AF189" s="4">
        <v>0</v>
      </c>
      <c r="AG189">
        <v>16.27</v>
      </c>
      <c r="AH189" s="4">
        <v>0.18</v>
      </c>
      <c r="AI189">
        <f t="shared" si="15"/>
        <v>19.2</v>
      </c>
      <c r="AJ189" s="4">
        <v>0.2</v>
      </c>
      <c r="AK189">
        <f t="shared" si="16"/>
        <v>3.84</v>
      </c>
      <c r="AL189">
        <f t="shared" si="17"/>
        <v>23.04</v>
      </c>
      <c r="AM189">
        <f t="shared" si="18"/>
        <v>-23.04</v>
      </c>
      <c r="AN189" s="4" t="e">
        <f t="shared" si="19"/>
        <v>#DIV/0!</v>
      </c>
      <c r="AO189" t="s">
        <v>221</v>
      </c>
      <c r="AQ189" t="s">
        <v>217</v>
      </c>
      <c r="AS189" t="s">
        <v>279</v>
      </c>
    </row>
    <row r="190" ht="15.75" customHeight="1" spans="1:45">
      <c r="A190" t="s">
        <v>276</v>
      </c>
      <c r="B190" t="s">
        <v>67</v>
      </c>
      <c r="C190" t="s">
        <v>47</v>
      </c>
      <c r="D190" t="s">
        <v>58</v>
      </c>
      <c r="E190" t="s">
        <v>215</v>
      </c>
      <c r="F190" t="s">
        <v>277</v>
      </c>
      <c r="H190" t="s">
        <v>217</v>
      </c>
      <c r="I190" t="s">
        <v>228</v>
      </c>
      <c r="Q190" t="s">
        <v>57</v>
      </c>
      <c r="Y190" t="s">
        <v>280</v>
      </c>
      <c r="Z190">
        <v>3506</v>
      </c>
      <c r="AE190">
        <v>0</v>
      </c>
      <c r="AF190" s="4">
        <v>0</v>
      </c>
      <c r="AG190">
        <v>30.1</v>
      </c>
      <c r="AH190" s="4">
        <v>0.18</v>
      </c>
      <c r="AI190">
        <f t="shared" si="15"/>
        <v>35.52</v>
      </c>
      <c r="AJ190" s="4">
        <v>0.2</v>
      </c>
      <c r="AK190">
        <f t="shared" si="16"/>
        <v>7.1</v>
      </c>
      <c r="AL190">
        <f t="shared" si="17"/>
        <v>42.62</v>
      </c>
      <c r="AM190">
        <f t="shared" si="18"/>
        <v>-42.62</v>
      </c>
      <c r="AN190" s="4" t="e">
        <f t="shared" si="19"/>
        <v>#DIV/0!</v>
      </c>
      <c r="AO190" t="s">
        <v>221</v>
      </c>
      <c r="AQ190" t="s">
        <v>217</v>
      </c>
      <c r="AS190" t="s">
        <v>279</v>
      </c>
    </row>
    <row r="191" ht="15.75" customHeight="1" spans="1:45">
      <c r="A191" t="s">
        <v>276</v>
      </c>
      <c r="B191" t="s">
        <v>71</v>
      </c>
      <c r="C191" t="s">
        <v>47</v>
      </c>
      <c r="D191" t="s">
        <v>58</v>
      </c>
      <c r="E191" t="s">
        <v>215</v>
      </c>
      <c r="F191" t="s">
        <v>277</v>
      </c>
      <c r="H191" t="s">
        <v>217</v>
      </c>
      <c r="I191" t="s">
        <v>231</v>
      </c>
      <c r="Q191" t="s">
        <v>57</v>
      </c>
      <c r="Y191" t="s">
        <v>281</v>
      </c>
      <c r="Z191">
        <v>3506</v>
      </c>
      <c r="AE191">
        <v>0</v>
      </c>
      <c r="AF191" s="4">
        <v>0</v>
      </c>
      <c r="AG191">
        <v>53.69</v>
      </c>
      <c r="AH191" s="4">
        <v>0.18</v>
      </c>
      <c r="AI191">
        <f t="shared" si="15"/>
        <v>63.35</v>
      </c>
      <c r="AJ191" s="4">
        <v>0.2</v>
      </c>
      <c r="AK191">
        <f t="shared" si="16"/>
        <v>12.67</v>
      </c>
      <c r="AL191">
        <f t="shared" si="17"/>
        <v>76.02</v>
      </c>
      <c r="AM191">
        <f t="shared" si="18"/>
        <v>-76.02</v>
      </c>
      <c r="AN191" s="4" t="e">
        <f t="shared" si="19"/>
        <v>#DIV/0!</v>
      </c>
      <c r="AO191" t="s">
        <v>221</v>
      </c>
      <c r="AQ191" t="s">
        <v>217</v>
      </c>
      <c r="AS191" t="s">
        <v>279</v>
      </c>
    </row>
    <row r="192" ht="15.75" customHeight="1" spans="1:45">
      <c r="A192" t="s">
        <v>276</v>
      </c>
      <c r="B192" t="s">
        <v>75</v>
      </c>
      <c r="C192" t="s">
        <v>47</v>
      </c>
      <c r="D192" t="s">
        <v>58</v>
      </c>
      <c r="E192" t="s">
        <v>215</v>
      </c>
      <c r="F192" t="s">
        <v>277</v>
      </c>
      <c r="H192" t="s">
        <v>217</v>
      </c>
      <c r="I192" t="s">
        <v>234</v>
      </c>
      <c r="Q192" t="s">
        <v>57</v>
      </c>
      <c r="Y192" t="s">
        <v>282</v>
      </c>
      <c r="Z192">
        <v>3506</v>
      </c>
      <c r="AE192">
        <v>0</v>
      </c>
      <c r="AF192" s="4">
        <v>0</v>
      </c>
      <c r="AG192">
        <v>89.49</v>
      </c>
      <c r="AH192" s="4">
        <v>0.18</v>
      </c>
      <c r="AI192">
        <f t="shared" si="15"/>
        <v>105.6</v>
      </c>
      <c r="AJ192" s="4">
        <v>0.2</v>
      </c>
      <c r="AK192">
        <f t="shared" si="16"/>
        <v>21.12</v>
      </c>
      <c r="AL192">
        <f t="shared" si="17"/>
        <v>126.72</v>
      </c>
      <c r="AM192">
        <f t="shared" si="18"/>
        <v>-126.72</v>
      </c>
      <c r="AN192" s="4" t="e">
        <f t="shared" si="19"/>
        <v>#DIV/0!</v>
      </c>
      <c r="AO192" t="s">
        <v>221</v>
      </c>
      <c r="AQ192" t="s">
        <v>217</v>
      </c>
      <c r="AS192" t="s">
        <v>279</v>
      </c>
    </row>
    <row r="193" ht="15.75" customHeight="1" spans="1:45">
      <c r="A193" t="s">
        <v>276</v>
      </c>
      <c r="B193" t="s">
        <v>79</v>
      </c>
      <c r="C193" t="s">
        <v>47</v>
      </c>
      <c r="D193" t="s">
        <v>58</v>
      </c>
      <c r="E193" t="s">
        <v>215</v>
      </c>
      <c r="F193" t="s">
        <v>277</v>
      </c>
      <c r="H193" t="s">
        <v>217</v>
      </c>
      <c r="I193" t="s">
        <v>236</v>
      </c>
      <c r="Q193" t="s">
        <v>57</v>
      </c>
      <c r="Y193" t="s">
        <v>283</v>
      </c>
      <c r="Z193">
        <v>3506</v>
      </c>
      <c r="AE193">
        <v>0</v>
      </c>
      <c r="AF193" s="4">
        <v>0</v>
      </c>
      <c r="AG193">
        <v>98.44</v>
      </c>
      <c r="AH193" s="4">
        <v>0.18</v>
      </c>
      <c r="AI193">
        <f t="shared" si="15"/>
        <v>116.16</v>
      </c>
      <c r="AJ193" s="4">
        <v>0.2</v>
      </c>
      <c r="AK193">
        <f t="shared" si="16"/>
        <v>23.23</v>
      </c>
      <c r="AL193">
        <f t="shared" si="17"/>
        <v>139.39</v>
      </c>
      <c r="AM193">
        <f t="shared" si="18"/>
        <v>-139.39</v>
      </c>
      <c r="AN193" s="4" t="e">
        <f t="shared" si="19"/>
        <v>#DIV/0!</v>
      </c>
      <c r="AO193" t="s">
        <v>221</v>
      </c>
      <c r="AQ193" t="s">
        <v>217</v>
      </c>
      <c r="AS193" t="s">
        <v>279</v>
      </c>
    </row>
    <row r="194" ht="15.75" customHeight="1" spans="1:45">
      <c r="A194" t="s">
        <v>276</v>
      </c>
      <c r="B194" t="s">
        <v>83</v>
      </c>
      <c r="C194" t="s">
        <v>47</v>
      </c>
      <c r="D194" t="s">
        <v>58</v>
      </c>
      <c r="E194" t="s">
        <v>215</v>
      </c>
      <c r="F194" t="s">
        <v>277</v>
      </c>
      <c r="H194" t="s">
        <v>217</v>
      </c>
      <c r="I194" t="s">
        <v>238</v>
      </c>
      <c r="Q194" t="s">
        <v>57</v>
      </c>
      <c r="Y194" t="s">
        <v>284</v>
      </c>
      <c r="Z194">
        <v>3506</v>
      </c>
      <c r="AE194">
        <v>0</v>
      </c>
      <c r="AF194" s="4">
        <v>0</v>
      </c>
      <c r="AG194">
        <v>193.63</v>
      </c>
      <c r="AH194" s="4">
        <v>0.18</v>
      </c>
      <c r="AI194">
        <f t="shared" ref="AI194:AI257" si="21">ROUND(AG194+(AG194*AH194),2)</f>
        <v>228.48</v>
      </c>
      <c r="AJ194" s="4">
        <v>0.2</v>
      </c>
      <c r="AK194">
        <f t="shared" ref="AK194:AK257" si="22">ROUND(AI194*AJ194,2)</f>
        <v>45.7</v>
      </c>
      <c r="AL194">
        <f t="shared" ref="AL194:AL257" si="23">AI194+AK194</f>
        <v>274.18</v>
      </c>
      <c r="AM194">
        <f t="shared" ref="AM194:AM257" si="24">AE194-AL194</f>
        <v>-274.18</v>
      </c>
      <c r="AN194" s="4" t="e">
        <f t="shared" ref="AN194:AN257" si="25">AM194/AE194</f>
        <v>#DIV/0!</v>
      </c>
      <c r="AO194" t="s">
        <v>221</v>
      </c>
      <c r="AQ194" t="s">
        <v>217</v>
      </c>
      <c r="AS194" t="s">
        <v>279</v>
      </c>
    </row>
    <row r="195" ht="15.75" customHeight="1" spans="1:45">
      <c r="A195" t="s">
        <v>276</v>
      </c>
      <c r="B195" t="s">
        <v>131</v>
      </c>
      <c r="C195" t="s">
        <v>47</v>
      </c>
      <c r="D195" t="s">
        <v>58</v>
      </c>
      <c r="E195" t="s">
        <v>215</v>
      </c>
      <c r="F195" t="s">
        <v>277</v>
      </c>
      <c r="H195" t="s">
        <v>217</v>
      </c>
      <c r="I195" t="s">
        <v>240</v>
      </c>
      <c r="Q195" t="s">
        <v>57</v>
      </c>
      <c r="Y195" t="s">
        <v>285</v>
      </c>
      <c r="Z195">
        <v>3506</v>
      </c>
      <c r="AE195">
        <v>0</v>
      </c>
      <c r="AF195" s="4">
        <v>0</v>
      </c>
      <c r="AG195">
        <v>475.12</v>
      </c>
      <c r="AH195" s="4">
        <v>0.18</v>
      </c>
      <c r="AI195">
        <f t="shared" si="21"/>
        <v>560.64</v>
      </c>
      <c r="AJ195" s="4">
        <v>0.2</v>
      </c>
      <c r="AK195">
        <f t="shared" si="22"/>
        <v>112.13</v>
      </c>
      <c r="AL195">
        <f t="shared" si="23"/>
        <v>672.77</v>
      </c>
      <c r="AM195">
        <f t="shared" si="24"/>
        <v>-672.77</v>
      </c>
      <c r="AN195" s="4" t="e">
        <f t="shared" si="25"/>
        <v>#DIV/0!</v>
      </c>
      <c r="AO195" t="s">
        <v>221</v>
      </c>
      <c r="AQ195" t="s">
        <v>217</v>
      </c>
      <c r="AS195" t="s">
        <v>279</v>
      </c>
    </row>
    <row r="196" ht="15.75" customHeight="1" spans="1:45">
      <c r="A196" t="s">
        <v>276</v>
      </c>
      <c r="B196" t="s">
        <v>133</v>
      </c>
      <c r="C196" t="s">
        <v>47</v>
      </c>
      <c r="D196" t="s">
        <v>58</v>
      </c>
      <c r="E196" t="s">
        <v>215</v>
      </c>
      <c r="F196" t="s">
        <v>277</v>
      </c>
      <c r="H196" t="s">
        <v>217</v>
      </c>
      <c r="I196" t="s">
        <v>242</v>
      </c>
      <c r="Q196" t="s">
        <v>57</v>
      </c>
      <c r="Y196" t="s">
        <v>286</v>
      </c>
      <c r="Z196">
        <v>3506</v>
      </c>
      <c r="AE196">
        <v>0</v>
      </c>
      <c r="AF196" s="4">
        <v>0</v>
      </c>
      <c r="AG196">
        <v>1824.81</v>
      </c>
      <c r="AH196" s="4">
        <v>0.18</v>
      </c>
      <c r="AI196">
        <f t="shared" si="21"/>
        <v>2153.28</v>
      </c>
      <c r="AJ196" s="4">
        <v>0.2</v>
      </c>
      <c r="AK196">
        <f t="shared" si="22"/>
        <v>430.66</v>
      </c>
      <c r="AL196">
        <f t="shared" si="23"/>
        <v>2583.94</v>
      </c>
      <c r="AM196">
        <f t="shared" si="24"/>
        <v>-2583.94</v>
      </c>
      <c r="AN196" s="4" t="e">
        <f t="shared" si="25"/>
        <v>#DIV/0!</v>
      </c>
      <c r="AO196" t="s">
        <v>221</v>
      </c>
      <c r="AQ196" t="s">
        <v>217</v>
      </c>
      <c r="AS196" t="s">
        <v>279</v>
      </c>
    </row>
    <row r="197" ht="15.75" customHeight="1" spans="1:45">
      <c r="A197" t="s">
        <v>276</v>
      </c>
      <c r="B197" t="s">
        <v>135</v>
      </c>
      <c r="C197" t="s">
        <v>47</v>
      </c>
      <c r="D197" t="s">
        <v>58</v>
      </c>
      <c r="E197" t="s">
        <v>215</v>
      </c>
      <c r="F197" t="s">
        <v>277</v>
      </c>
      <c r="H197" t="s">
        <v>217</v>
      </c>
      <c r="I197" t="s">
        <v>246</v>
      </c>
      <c r="Q197" t="s">
        <v>57</v>
      </c>
      <c r="Y197" t="s">
        <v>287</v>
      </c>
      <c r="Z197">
        <v>3506</v>
      </c>
      <c r="AE197">
        <v>0</v>
      </c>
      <c r="AF197" s="4">
        <v>0</v>
      </c>
      <c r="AG197">
        <v>4421.69</v>
      </c>
      <c r="AH197" s="4">
        <v>0.18</v>
      </c>
      <c r="AI197">
        <f t="shared" si="21"/>
        <v>5217.59</v>
      </c>
      <c r="AJ197" s="4">
        <v>0.2</v>
      </c>
      <c r="AK197">
        <f t="shared" si="22"/>
        <v>1043.52</v>
      </c>
      <c r="AL197">
        <f t="shared" si="23"/>
        <v>6261.11</v>
      </c>
      <c r="AM197">
        <f t="shared" si="24"/>
        <v>-6261.11</v>
      </c>
      <c r="AN197" s="4" t="e">
        <f t="shared" si="25"/>
        <v>#DIV/0!</v>
      </c>
      <c r="AO197" t="s">
        <v>221</v>
      </c>
      <c r="AQ197" t="s">
        <v>217</v>
      </c>
      <c r="AS197" t="s">
        <v>279</v>
      </c>
    </row>
    <row r="198" ht="15.75" customHeight="1" spans="1:45">
      <c r="A198" s="8" t="s">
        <v>288</v>
      </c>
      <c r="B198" s="8" t="s">
        <v>46</v>
      </c>
      <c r="C198" s="8" t="s">
        <v>47</v>
      </c>
      <c r="D198" s="8" t="s">
        <v>58</v>
      </c>
      <c r="E198" s="8" t="s">
        <v>215</v>
      </c>
      <c r="F198" s="8" t="s">
        <v>289</v>
      </c>
      <c r="G198" s="8"/>
      <c r="H198" s="8" t="s">
        <v>217</v>
      </c>
      <c r="I198" s="8" t="s">
        <v>234</v>
      </c>
      <c r="J198" s="8"/>
      <c r="K198" s="8"/>
      <c r="L198" s="8"/>
      <c r="M198" s="8"/>
      <c r="N198" s="8"/>
      <c r="O198" s="8"/>
      <c r="P198" s="8"/>
      <c r="Q198" s="8" t="s">
        <v>57</v>
      </c>
      <c r="R198" s="8"/>
      <c r="S198" s="8"/>
      <c r="T198" s="8"/>
      <c r="U198" s="8"/>
      <c r="V198" s="8"/>
      <c r="W198" s="8"/>
      <c r="X198" s="8"/>
      <c r="Y198" s="8" t="s">
        <v>290</v>
      </c>
      <c r="Z198" s="8">
        <v>35069190</v>
      </c>
      <c r="AA198" s="8"/>
      <c r="AB198" s="8"/>
      <c r="AC198" s="8"/>
      <c r="AD198" s="8"/>
      <c r="AE198" s="8">
        <v>0</v>
      </c>
      <c r="AF198" s="9">
        <v>0</v>
      </c>
      <c r="AG198" s="8">
        <f t="shared" ref="AG198:AG204" si="26">ROUND(AE198-(AE198*AF198),2)</f>
        <v>0</v>
      </c>
      <c r="AH198" s="9">
        <v>0.18</v>
      </c>
      <c r="AI198" s="8">
        <f t="shared" si="21"/>
        <v>0</v>
      </c>
      <c r="AJ198" s="9">
        <v>0.2</v>
      </c>
      <c r="AK198" s="8">
        <f t="shared" si="22"/>
        <v>0</v>
      </c>
      <c r="AL198" s="8">
        <f t="shared" si="23"/>
        <v>0</v>
      </c>
      <c r="AM198" s="8">
        <f t="shared" si="24"/>
        <v>0</v>
      </c>
      <c r="AN198" s="9" t="e">
        <f t="shared" si="25"/>
        <v>#DIV/0!</v>
      </c>
      <c r="AO198" s="8" t="s">
        <v>221</v>
      </c>
      <c r="AP198" s="8"/>
      <c r="AQ198" s="8" t="s">
        <v>217</v>
      </c>
      <c r="AR198" s="8"/>
      <c r="AS198" s="8" t="s">
        <v>291</v>
      </c>
    </row>
    <row r="199" ht="15.75" customHeight="1" spans="1:45">
      <c r="A199" s="8" t="s">
        <v>288</v>
      </c>
      <c r="B199" s="8" t="s">
        <v>67</v>
      </c>
      <c r="C199" s="8" t="s">
        <v>47</v>
      </c>
      <c r="D199" s="8" t="s">
        <v>58</v>
      </c>
      <c r="E199" s="8" t="s">
        <v>215</v>
      </c>
      <c r="F199" s="8" t="s">
        <v>289</v>
      </c>
      <c r="G199" s="8"/>
      <c r="H199" s="8" t="s">
        <v>217</v>
      </c>
      <c r="I199" s="8" t="s">
        <v>236</v>
      </c>
      <c r="J199" s="8"/>
      <c r="K199" s="8"/>
      <c r="L199" s="8"/>
      <c r="M199" s="8"/>
      <c r="N199" s="8"/>
      <c r="O199" s="8"/>
      <c r="P199" s="8"/>
      <c r="Q199" s="8" t="s">
        <v>57</v>
      </c>
      <c r="R199" s="8"/>
      <c r="S199" s="8"/>
      <c r="T199" s="8"/>
      <c r="U199" s="8"/>
      <c r="V199" s="8"/>
      <c r="W199" s="8"/>
      <c r="X199" s="8"/>
      <c r="Y199" s="8" t="s">
        <v>292</v>
      </c>
      <c r="Z199" s="8">
        <v>35069190</v>
      </c>
      <c r="AA199" s="8"/>
      <c r="AB199" s="8"/>
      <c r="AC199" s="8"/>
      <c r="AD199" s="8"/>
      <c r="AE199" s="8">
        <v>0</v>
      </c>
      <c r="AF199" s="9">
        <v>0</v>
      </c>
      <c r="AG199" s="8">
        <f t="shared" si="26"/>
        <v>0</v>
      </c>
      <c r="AH199" s="9">
        <v>0.18</v>
      </c>
      <c r="AI199" s="8">
        <f t="shared" si="21"/>
        <v>0</v>
      </c>
      <c r="AJ199" s="9">
        <v>0.2</v>
      </c>
      <c r="AK199" s="8">
        <f t="shared" si="22"/>
        <v>0</v>
      </c>
      <c r="AL199" s="8">
        <f t="shared" si="23"/>
        <v>0</v>
      </c>
      <c r="AM199" s="8">
        <f t="shared" si="24"/>
        <v>0</v>
      </c>
      <c r="AN199" s="9" t="e">
        <f t="shared" si="25"/>
        <v>#DIV/0!</v>
      </c>
      <c r="AO199" s="8" t="s">
        <v>221</v>
      </c>
      <c r="AP199" s="8"/>
      <c r="AQ199" s="8" t="s">
        <v>217</v>
      </c>
      <c r="AR199" s="8"/>
      <c r="AS199" s="8" t="s">
        <v>291</v>
      </c>
    </row>
    <row r="200" ht="15.75" customHeight="1" spans="1:45">
      <c r="A200" s="8" t="s">
        <v>288</v>
      </c>
      <c r="B200" s="8" t="s">
        <v>71</v>
      </c>
      <c r="C200" s="8" t="s">
        <v>47</v>
      </c>
      <c r="D200" s="8" t="s">
        <v>58</v>
      </c>
      <c r="E200" s="8" t="s">
        <v>215</v>
      </c>
      <c r="F200" s="8" t="s">
        <v>289</v>
      </c>
      <c r="G200" s="8"/>
      <c r="H200" s="8" t="s">
        <v>217</v>
      </c>
      <c r="I200" s="8" t="s">
        <v>238</v>
      </c>
      <c r="J200" s="8"/>
      <c r="K200" s="8"/>
      <c r="L200" s="8"/>
      <c r="M200" s="8"/>
      <c r="N200" s="8"/>
      <c r="O200" s="8"/>
      <c r="P200" s="8"/>
      <c r="Q200" s="8" t="s">
        <v>57</v>
      </c>
      <c r="R200" s="8"/>
      <c r="S200" s="8"/>
      <c r="T200" s="8"/>
      <c r="U200" s="8"/>
      <c r="V200" s="8"/>
      <c r="W200" s="8"/>
      <c r="X200" s="8"/>
      <c r="Y200" s="8" t="s">
        <v>293</v>
      </c>
      <c r="Z200" s="8">
        <v>35069190</v>
      </c>
      <c r="AA200" s="8"/>
      <c r="AB200" s="8"/>
      <c r="AC200" s="8"/>
      <c r="AD200" s="8"/>
      <c r="AE200" s="8">
        <v>0</v>
      </c>
      <c r="AF200" s="9">
        <v>0</v>
      </c>
      <c r="AG200" s="8">
        <f t="shared" si="26"/>
        <v>0</v>
      </c>
      <c r="AH200" s="9">
        <v>0.18</v>
      </c>
      <c r="AI200" s="8">
        <f t="shared" si="21"/>
        <v>0</v>
      </c>
      <c r="AJ200" s="9">
        <v>0.2</v>
      </c>
      <c r="AK200" s="8">
        <f t="shared" si="22"/>
        <v>0</v>
      </c>
      <c r="AL200" s="8">
        <f t="shared" si="23"/>
        <v>0</v>
      </c>
      <c r="AM200" s="8">
        <f t="shared" si="24"/>
        <v>0</v>
      </c>
      <c r="AN200" s="9" t="e">
        <f t="shared" si="25"/>
        <v>#DIV/0!</v>
      </c>
      <c r="AO200" s="8" t="s">
        <v>221</v>
      </c>
      <c r="AP200" s="8"/>
      <c r="AQ200" s="8" t="s">
        <v>217</v>
      </c>
      <c r="AR200" s="8"/>
      <c r="AS200" s="8" t="s">
        <v>291</v>
      </c>
    </row>
    <row r="201" ht="15.75" customHeight="1" spans="1:45">
      <c r="A201" s="8" t="s">
        <v>288</v>
      </c>
      <c r="B201" s="8" t="s">
        <v>75</v>
      </c>
      <c r="C201" s="8" t="s">
        <v>47</v>
      </c>
      <c r="D201" s="8" t="s">
        <v>58</v>
      </c>
      <c r="E201" s="8" t="s">
        <v>215</v>
      </c>
      <c r="F201" s="8" t="s">
        <v>289</v>
      </c>
      <c r="G201" s="8"/>
      <c r="H201" s="8" t="s">
        <v>217</v>
      </c>
      <c r="I201" s="8" t="s">
        <v>240</v>
      </c>
      <c r="J201" s="8"/>
      <c r="K201" s="8"/>
      <c r="L201" s="8"/>
      <c r="M201" s="8"/>
      <c r="N201" s="8"/>
      <c r="O201" s="8"/>
      <c r="P201" s="8"/>
      <c r="Q201" s="8" t="s">
        <v>57</v>
      </c>
      <c r="R201" s="8"/>
      <c r="S201" s="8"/>
      <c r="T201" s="8"/>
      <c r="U201" s="8"/>
      <c r="V201" s="8"/>
      <c r="W201" s="8"/>
      <c r="X201" s="8"/>
      <c r="Y201" s="8" t="s">
        <v>294</v>
      </c>
      <c r="Z201" s="8">
        <v>35069190</v>
      </c>
      <c r="AA201" s="8"/>
      <c r="AB201" s="8"/>
      <c r="AC201" s="8"/>
      <c r="AD201" s="8"/>
      <c r="AE201" s="8">
        <v>0</v>
      </c>
      <c r="AF201" s="9">
        <v>0</v>
      </c>
      <c r="AG201" s="8">
        <f t="shared" si="26"/>
        <v>0</v>
      </c>
      <c r="AH201" s="9">
        <v>0.18</v>
      </c>
      <c r="AI201" s="8">
        <f t="shared" si="21"/>
        <v>0</v>
      </c>
      <c r="AJ201" s="9">
        <v>0.2</v>
      </c>
      <c r="AK201" s="8">
        <f t="shared" si="22"/>
        <v>0</v>
      </c>
      <c r="AL201" s="8">
        <f t="shared" si="23"/>
        <v>0</v>
      </c>
      <c r="AM201" s="8">
        <f t="shared" si="24"/>
        <v>0</v>
      </c>
      <c r="AN201" s="9" t="e">
        <f t="shared" si="25"/>
        <v>#DIV/0!</v>
      </c>
      <c r="AO201" s="8" t="s">
        <v>221</v>
      </c>
      <c r="AP201" s="8"/>
      <c r="AQ201" s="8" t="s">
        <v>217</v>
      </c>
      <c r="AR201" s="8"/>
      <c r="AS201" s="8" t="s">
        <v>291</v>
      </c>
    </row>
    <row r="202" ht="15.75" customHeight="1" spans="1:45">
      <c r="A202" s="8" t="s">
        <v>288</v>
      </c>
      <c r="B202" s="8" t="s">
        <v>79</v>
      </c>
      <c r="C202" s="8" t="s">
        <v>47</v>
      </c>
      <c r="D202" s="8" t="s">
        <v>58</v>
      </c>
      <c r="E202" s="8" t="s">
        <v>215</v>
      </c>
      <c r="F202" s="8" t="s">
        <v>289</v>
      </c>
      <c r="G202" s="8"/>
      <c r="H202" s="8" t="s">
        <v>217</v>
      </c>
      <c r="I202" s="8" t="s">
        <v>242</v>
      </c>
      <c r="J202" s="8"/>
      <c r="K202" s="8"/>
      <c r="L202" s="8"/>
      <c r="M202" s="8"/>
      <c r="N202" s="8"/>
      <c r="O202" s="8"/>
      <c r="P202" s="8"/>
      <c r="Q202" s="8" t="s">
        <v>57</v>
      </c>
      <c r="R202" s="8"/>
      <c r="S202" s="8"/>
      <c r="T202" s="8"/>
      <c r="U202" s="8"/>
      <c r="V202" s="8"/>
      <c r="W202" s="8"/>
      <c r="X202" s="8"/>
      <c r="Y202" s="8" t="s">
        <v>295</v>
      </c>
      <c r="Z202" s="8">
        <v>35069190</v>
      </c>
      <c r="AA202" s="8"/>
      <c r="AB202" s="8"/>
      <c r="AC202" s="8"/>
      <c r="AD202" s="8"/>
      <c r="AE202" s="8">
        <v>0</v>
      </c>
      <c r="AF202" s="9">
        <v>0</v>
      </c>
      <c r="AG202" s="8">
        <f t="shared" si="26"/>
        <v>0</v>
      </c>
      <c r="AH202" s="9">
        <v>0.18</v>
      </c>
      <c r="AI202" s="8">
        <f t="shared" si="21"/>
        <v>0</v>
      </c>
      <c r="AJ202" s="9">
        <v>0.2</v>
      </c>
      <c r="AK202" s="8">
        <f t="shared" si="22"/>
        <v>0</v>
      </c>
      <c r="AL202" s="8">
        <f t="shared" si="23"/>
        <v>0</v>
      </c>
      <c r="AM202" s="8">
        <f t="shared" si="24"/>
        <v>0</v>
      </c>
      <c r="AN202" s="9" t="e">
        <f t="shared" si="25"/>
        <v>#DIV/0!</v>
      </c>
      <c r="AO202" s="8" t="s">
        <v>221</v>
      </c>
      <c r="AP202" s="8"/>
      <c r="AQ202" s="8" t="s">
        <v>217</v>
      </c>
      <c r="AR202" s="8"/>
      <c r="AS202" s="8" t="s">
        <v>291</v>
      </c>
    </row>
    <row r="203" ht="15.75" customHeight="1" spans="1:45">
      <c r="A203" s="8" t="s">
        <v>288</v>
      </c>
      <c r="B203" s="8" t="s">
        <v>83</v>
      </c>
      <c r="C203" s="8" t="s">
        <v>47</v>
      </c>
      <c r="D203" s="8" t="s">
        <v>58</v>
      </c>
      <c r="E203" s="8" t="s">
        <v>215</v>
      </c>
      <c r="F203" s="8" t="s">
        <v>289</v>
      </c>
      <c r="G203" s="8"/>
      <c r="H203" s="8" t="s">
        <v>217</v>
      </c>
      <c r="I203" s="8" t="s">
        <v>246</v>
      </c>
      <c r="J203" s="8"/>
      <c r="K203" s="8"/>
      <c r="L203" s="8"/>
      <c r="M203" s="8"/>
      <c r="N203" s="8"/>
      <c r="O203" s="8"/>
      <c r="P203" s="8"/>
      <c r="Q203" s="8" t="s">
        <v>57</v>
      </c>
      <c r="R203" s="8"/>
      <c r="S203" s="8"/>
      <c r="T203" s="8"/>
      <c r="U203" s="8"/>
      <c r="V203" s="8"/>
      <c r="W203" s="8"/>
      <c r="X203" s="8"/>
      <c r="Y203" s="8" t="s">
        <v>296</v>
      </c>
      <c r="Z203" s="8">
        <v>35069190</v>
      </c>
      <c r="AA203" s="8"/>
      <c r="AB203" s="8"/>
      <c r="AC203" s="8"/>
      <c r="AD203" s="8"/>
      <c r="AE203" s="8">
        <v>0</v>
      </c>
      <c r="AF203" s="9">
        <v>0</v>
      </c>
      <c r="AG203" s="8">
        <f t="shared" si="26"/>
        <v>0</v>
      </c>
      <c r="AH203" s="9">
        <v>0.18</v>
      </c>
      <c r="AI203" s="8">
        <f t="shared" si="21"/>
        <v>0</v>
      </c>
      <c r="AJ203" s="9">
        <v>0.2</v>
      </c>
      <c r="AK203" s="8">
        <f t="shared" si="22"/>
        <v>0</v>
      </c>
      <c r="AL203" s="8">
        <f t="shared" si="23"/>
        <v>0</v>
      </c>
      <c r="AM203" s="8">
        <f t="shared" si="24"/>
        <v>0</v>
      </c>
      <c r="AN203" s="9" t="e">
        <f t="shared" si="25"/>
        <v>#DIV/0!</v>
      </c>
      <c r="AO203" s="8" t="s">
        <v>221</v>
      </c>
      <c r="AP203" s="8"/>
      <c r="AQ203" s="8" t="s">
        <v>217</v>
      </c>
      <c r="AR203" s="8"/>
      <c r="AS203" s="8" t="s">
        <v>291</v>
      </c>
    </row>
    <row r="204" ht="15.75" customHeight="1" spans="1:45">
      <c r="A204" s="8" t="s">
        <v>288</v>
      </c>
      <c r="B204" s="8" t="s">
        <v>131</v>
      </c>
      <c r="C204" s="8" t="s">
        <v>47</v>
      </c>
      <c r="D204" s="8" t="s">
        <v>58</v>
      </c>
      <c r="E204" s="8" t="s">
        <v>215</v>
      </c>
      <c r="F204" s="8" t="s">
        <v>289</v>
      </c>
      <c r="G204" s="8"/>
      <c r="H204" s="8" t="s">
        <v>217</v>
      </c>
      <c r="I204" s="8" t="s">
        <v>248</v>
      </c>
      <c r="J204" s="8"/>
      <c r="K204" s="8"/>
      <c r="L204" s="8"/>
      <c r="M204" s="8"/>
      <c r="N204" s="8"/>
      <c r="O204" s="8"/>
      <c r="P204" s="8"/>
      <c r="Q204" s="8" t="s">
        <v>57</v>
      </c>
      <c r="R204" s="8"/>
      <c r="S204" s="8"/>
      <c r="T204" s="8"/>
      <c r="U204" s="8"/>
      <c r="V204" s="8"/>
      <c r="W204" s="8"/>
      <c r="X204" s="8"/>
      <c r="Y204" s="8" t="s">
        <v>297</v>
      </c>
      <c r="Z204" s="8">
        <v>35069190</v>
      </c>
      <c r="AA204" s="8"/>
      <c r="AB204" s="8"/>
      <c r="AC204" s="8"/>
      <c r="AD204" s="8"/>
      <c r="AE204" s="8">
        <v>0</v>
      </c>
      <c r="AF204" s="9">
        <v>0</v>
      </c>
      <c r="AG204" s="8">
        <f t="shared" si="26"/>
        <v>0</v>
      </c>
      <c r="AH204" s="9">
        <v>0.18</v>
      </c>
      <c r="AI204" s="8">
        <f t="shared" si="21"/>
        <v>0</v>
      </c>
      <c r="AJ204" s="9">
        <v>0.2</v>
      </c>
      <c r="AK204" s="8">
        <f t="shared" si="22"/>
        <v>0</v>
      </c>
      <c r="AL204" s="8">
        <f t="shared" si="23"/>
        <v>0</v>
      </c>
      <c r="AM204" s="8">
        <f t="shared" si="24"/>
        <v>0</v>
      </c>
      <c r="AN204" s="9" t="e">
        <f t="shared" si="25"/>
        <v>#DIV/0!</v>
      </c>
      <c r="AO204" s="8" t="s">
        <v>221</v>
      </c>
      <c r="AP204" s="8"/>
      <c r="AQ204" s="8" t="s">
        <v>217</v>
      </c>
      <c r="AR204" s="8"/>
      <c r="AS204" s="8" t="s">
        <v>291</v>
      </c>
    </row>
    <row r="205" ht="15.75" customHeight="1" spans="1:45">
      <c r="A205" t="s">
        <v>298</v>
      </c>
      <c r="B205" t="s">
        <v>46</v>
      </c>
      <c r="C205" t="s">
        <v>47</v>
      </c>
      <c r="D205" t="s">
        <v>58</v>
      </c>
      <c r="E205" t="s">
        <v>215</v>
      </c>
      <c r="F205" t="s">
        <v>299</v>
      </c>
      <c r="H205" t="s">
        <v>217</v>
      </c>
      <c r="I205" t="s">
        <v>300</v>
      </c>
      <c r="Q205" t="s">
        <v>57</v>
      </c>
      <c r="Y205" t="s">
        <v>301</v>
      </c>
      <c r="Z205">
        <v>35069190</v>
      </c>
      <c r="AE205">
        <v>0</v>
      </c>
      <c r="AF205" s="4">
        <v>0</v>
      </c>
      <c r="AG205">
        <v>52.88</v>
      </c>
      <c r="AH205" s="4">
        <v>0.18</v>
      </c>
      <c r="AI205">
        <f t="shared" si="21"/>
        <v>62.4</v>
      </c>
      <c r="AJ205" s="4">
        <v>0.2</v>
      </c>
      <c r="AK205">
        <f t="shared" si="22"/>
        <v>12.48</v>
      </c>
      <c r="AL205">
        <f t="shared" si="23"/>
        <v>74.88</v>
      </c>
      <c r="AM205">
        <f t="shared" si="24"/>
        <v>-74.88</v>
      </c>
      <c r="AN205" s="4" t="e">
        <f t="shared" si="25"/>
        <v>#DIV/0!</v>
      </c>
      <c r="AO205" t="s">
        <v>221</v>
      </c>
      <c r="AQ205" t="s">
        <v>217</v>
      </c>
      <c r="AS205" t="s">
        <v>302</v>
      </c>
    </row>
    <row r="206" ht="15.75" customHeight="1" spans="1:45">
      <c r="A206" t="s">
        <v>298</v>
      </c>
      <c r="B206" t="s">
        <v>67</v>
      </c>
      <c r="C206" t="s">
        <v>47</v>
      </c>
      <c r="D206" t="s">
        <v>58</v>
      </c>
      <c r="E206" t="s">
        <v>215</v>
      </c>
      <c r="F206" t="s">
        <v>299</v>
      </c>
      <c r="H206" t="s">
        <v>217</v>
      </c>
      <c r="I206" t="s">
        <v>303</v>
      </c>
      <c r="Q206" t="s">
        <v>57</v>
      </c>
      <c r="Y206" t="s">
        <v>304</v>
      </c>
      <c r="Z206">
        <v>35069190</v>
      </c>
      <c r="AE206">
        <v>0</v>
      </c>
      <c r="AF206" s="4">
        <v>0</v>
      </c>
      <c r="AG206">
        <v>96</v>
      </c>
      <c r="AH206" s="4">
        <v>0.18</v>
      </c>
      <c r="AI206">
        <f t="shared" si="21"/>
        <v>113.28</v>
      </c>
      <c r="AJ206" s="4">
        <v>0.2</v>
      </c>
      <c r="AK206">
        <f t="shared" si="22"/>
        <v>22.66</v>
      </c>
      <c r="AL206">
        <f t="shared" si="23"/>
        <v>135.94</v>
      </c>
      <c r="AM206">
        <f t="shared" si="24"/>
        <v>-135.94</v>
      </c>
      <c r="AN206" s="4" t="e">
        <f t="shared" si="25"/>
        <v>#DIV/0!</v>
      </c>
      <c r="AO206" t="s">
        <v>221</v>
      </c>
      <c r="AQ206" t="s">
        <v>217</v>
      </c>
      <c r="AS206" t="s">
        <v>302</v>
      </c>
    </row>
    <row r="207" ht="15.75" customHeight="1" spans="1:45">
      <c r="A207" t="s">
        <v>298</v>
      </c>
      <c r="B207" t="s">
        <v>71</v>
      </c>
      <c r="C207" t="s">
        <v>47</v>
      </c>
      <c r="D207" t="s">
        <v>58</v>
      </c>
      <c r="E207" t="s">
        <v>215</v>
      </c>
      <c r="F207" t="s">
        <v>299</v>
      </c>
      <c r="H207" t="s">
        <v>217</v>
      </c>
      <c r="I207" t="s">
        <v>231</v>
      </c>
      <c r="Q207" t="s">
        <v>57</v>
      </c>
      <c r="Y207" t="s">
        <v>305</v>
      </c>
      <c r="Z207">
        <v>35069190</v>
      </c>
      <c r="AE207">
        <v>0</v>
      </c>
      <c r="AF207" s="4">
        <v>0</v>
      </c>
      <c r="AG207">
        <v>204.2</v>
      </c>
      <c r="AH207" s="4">
        <v>0.18</v>
      </c>
      <c r="AI207">
        <f t="shared" si="21"/>
        <v>240.96</v>
      </c>
      <c r="AJ207" s="4">
        <v>0.2</v>
      </c>
      <c r="AK207">
        <f t="shared" si="22"/>
        <v>48.19</v>
      </c>
      <c r="AL207">
        <f t="shared" si="23"/>
        <v>289.15</v>
      </c>
      <c r="AM207">
        <f t="shared" si="24"/>
        <v>-289.15</v>
      </c>
      <c r="AN207" s="4" t="e">
        <f t="shared" si="25"/>
        <v>#DIV/0!</v>
      </c>
      <c r="AO207" t="s">
        <v>221</v>
      </c>
      <c r="AQ207" t="s">
        <v>217</v>
      </c>
      <c r="AS207" t="s">
        <v>302</v>
      </c>
    </row>
    <row r="208" ht="15.75" customHeight="1" spans="1:45">
      <c r="A208" t="s">
        <v>298</v>
      </c>
      <c r="B208" t="s">
        <v>75</v>
      </c>
      <c r="C208" t="s">
        <v>47</v>
      </c>
      <c r="D208" t="s">
        <v>58</v>
      </c>
      <c r="E208" t="s">
        <v>215</v>
      </c>
      <c r="F208" t="s">
        <v>299</v>
      </c>
      <c r="H208" t="s">
        <v>217</v>
      </c>
      <c r="I208" t="s">
        <v>234</v>
      </c>
      <c r="Q208" t="s">
        <v>57</v>
      </c>
      <c r="Y208" t="s">
        <v>306</v>
      </c>
      <c r="Z208">
        <v>35069190</v>
      </c>
      <c r="AE208">
        <v>0</v>
      </c>
      <c r="AF208" s="4">
        <v>0</v>
      </c>
      <c r="AG208">
        <v>397.02</v>
      </c>
      <c r="AH208" s="4">
        <v>0.18</v>
      </c>
      <c r="AI208">
        <f t="shared" si="21"/>
        <v>468.48</v>
      </c>
      <c r="AJ208" s="4">
        <v>0.2</v>
      </c>
      <c r="AK208">
        <f t="shared" si="22"/>
        <v>93.7</v>
      </c>
      <c r="AL208">
        <f t="shared" si="23"/>
        <v>562.18</v>
      </c>
      <c r="AM208">
        <f t="shared" si="24"/>
        <v>-562.18</v>
      </c>
      <c r="AN208" s="4" t="e">
        <f t="shared" si="25"/>
        <v>#DIV/0!</v>
      </c>
      <c r="AO208" t="s">
        <v>221</v>
      </c>
      <c r="AQ208" t="s">
        <v>217</v>
      </c>
      <c r="AS208" t="s">
        <v>302</v>
      </c>
    </row>
    <row r="209" ht="15.75" customHeight="1" spans="1:45">
      <c r="A209" t="s">
        <v>298</v>
      </c>
      <c r="B209" t="s">
        <v>79</v>
      </c>
      <c r="C209" t="s">
        <v>47</v>
      </c>
      <c r="D209" t="s">
        <v>58</v>
      </c>
      <c r="E209" t="s">
        <v>215</v>
      </c>
      <c r="F209" t="s">
        <v>299</v>
      </c>
      <c r="H209" t="s">
        <v>217</v>
      </c>
      <c r="I209" t="s">
        <v>236</v>
      </c>
      <c r="Q209" t="s">
        <v>57</v>
      </c>
      <c r="Y209" t="s">
        <v>307</v>
      </c>
      <c r="Z209">
        <v>35069190</v>
      </c>
      <c r="AE209">
        <v>0</v>
      </c>
      <c r="AF209" s="4">
        <v>0</v>
      </c>
      <c r="AG209">
        <v>768</v>
      </c>
      <c r="AH209" s="4">
        <v>0.18</v>
      </c>
      <c r="AI209">
        <f t="shared" si="21"/>
        <v>906.24</v>
      </c>
      <c r="AJ209" s="4">
        <v>0.2</v>
      </c>
      <c r="AK209">
        <f t="shared" si="22"/>
        <v>181.25</v>
      </c>
      <c r="AL209">
        <f t="shared" si="23"/>
        <v>1087.49</v>
      </c>
      <c r="AM209">
        <f t="shared" si="24"/>
        <v>-1087.49</v>
      </c>
      <c r="AN209" s="4" t="e">
        <f t="shared" si="25"/>
        <v>#DIV/0!</v>
      </c>
      <c r="AO209" t="s">
        <v>221</v>
      </c>
      <c r="AQ209" t="s">
        <v>217</v>
      </c>
      <c r="AS209" t="s">
        <v>302</v>
      </c>
    </row>
    <row r="210" ht="15.75" customHeight="1" spans="1:45">
      <c r="A210" t="s">
        <v>298</v>
      </c>
      <c r="B210" t="s">
        <v>83</v>
      </c>
      <c r="C210" t="s">
        <v>47</v>
      </c>
      <c r="D210" t="s">
        <v>58</v>
      </c>
      <c r="E210" t="s">
        <v>215</v>
      </c>
      <c r="F210" t="s">
        <v>299</v>
      </c>
      <c r="H210" t="s">
        <v>217</v>
      </c>
      <c r="I210" t="s">
        <v>238</v>
      </c>
      <c r="Q210" t="s">
        <v>57</v>
      </c>
      <c r="Y210" t="s">
        <v>308</v>
      </c>
      <c r="Z210">
        <v>35069190</v>
      </c>
      <c r="AE210">
        <v>0</v>
      </c>
      <c r="AF210" s="4">
        <v>0</v>
      </c>
      <c r="AG210">
        <v>1854.1</v>
      </c>
      <c r="AH210" s="4">
        <v>0.18</v>
      </c>
      <c r="AI210">
        <f t="shared" si="21"/>
        <v>2187.84</v>
      </c>
      <c r="AJ210" s="4">
        <v>0.2</v>
      </c>
      <c r="AK210">
        <f t="shared" si="22"/>
        <v>437.57</v>
      </c>
      <c r="AL210">
        <f t="shared" si="23"/>
        <v>2625.41</v>
      </c>
      <c r="AM210">
        <f t="shared" si="24"/>
        <v>-2625.41</v>
      </c>
      <c r="AN210" s="4" t="e">
        <f t="shared" si="25"/>
        <v>#DIV/0!</v>
      </c>
      <c r="AO210" t="s">
        <v>221</v>
      </c>
      <c r="AQ210" t="s">
        <v>217</v>
      </c>
      <c r="AS210" t="s">
        <v>302</v>
      </c>
    </row>
    <row r="211" ht="15.75" customHeight="1" spans="1:45">
      <c r="A211" t="s">
        <v>309</v>
      </c>
      <c r="B211" t="s">
        <v>46</v>
      </c>
      <c r="C211" t="s">
        <v>47</v>
      </c>
      <c r="D211" t="s">
        <v>58</v>
      </c>
      <c r="E211" t="s">
        <v>215</v>
      </c>
      <c r="F211" t="s">
        <v>310</v>
      </c>
      <c r="H211" t="s">
        <v>217</v>
      </c>
      <c r="I211" t="s">
        <v>231</v>
      </c>
      <c r="Q211" t="s">
        <v>57</v>
      </c>
      <c r="Y211" t="s">
        <v>311</v>
      </c>
      <c r="Z211">
        <v>35069110</v>
      </c>
      <c r="AE211">
        <v>0</v>
      </c>
      <c r="AF211" s="4">
        <v>0</v>
      </c>
      <c r="AG211">
        <v>169.22</v>
      </c>
      <c r="AH211" s="4">
        <v>0.18</v>
      </c>
      <c r="AI211">
        <f t="shared" si="21"/>
        <v>199.68</v>
      </c>
      <c r="AJ211" s="4">
        <v>0.2</v>
      </c>
      <c r="AK211">
        <f t="shared" si="22"/>
        <v>39.94</v>
      </c>
      <c r="AL211">
        <f t="shared" si="23"/>
        <v>239.62</v>
      </c>
      <c r="AM211">
        <f t="shared" si="24"/>
        <v>-239.62</v>
      </c>
      <c r="AN211" s="4" t="e">
        <f t="shared" si="25"/>
        <v>#DIV/0!</v>
      </c>
      <c r="AO211" t="s">
        <v>221</v>
      </c>
      <c r="AQ211" t="s">
        <v>217</v>
      </c>
      <c r="AS211" t="s">
        <v>312</v>
      </c>
    </row>
    <row r="212" ht="15.75" customHeight="1" spans="1:45">
      <c r="A212" t="s">
        <v>309</v>
      </c>
      <c r="B212" t="s">
        <v>67</v>
      </c>
      <c r="C212" t="s">
        <v>47</v>
      </c>
      <c r="D212" t="s">
        <v>58</v>
      </c>
      <c r="E212" t="s">
        <v>215</v>
      </c>
      <c r="F212" t="s">
        <v>310</v>
      </c>
      <c r="H212" t="s">
        <v>217</v>
      </c>
      <c r="I212" t="s">
        <v>234</v>
      </c>
      <c r="Q212" t="s">
        <v>57</v>
      </c>
      <c r="Y212" t="s">
        <v>313</v>
      </c>
      <c r="Z212">
        <v>35069110</v>
      </c>
      <c r="AE212">
        <v>0</v>
      </c>
      <c r="AF212" s="4">
        <v>0</v>
      </c>
      <c r="AG212">
        <v>300.2</v>
      </c>
      <c r="AH212" s="4">
        <v>0.18</v>
      </c>
      <c r="AI212">
        <f t="shared" si="21"/>
        <v>354.24</v>
      </c>
      <c r="AJ212" s="4">
        <v>0.2</v>
      </c>
      <c r="AK212">
        <f t="shared" si="22"/>
        <v>70.85</v>
      </c>
      <c r="AL212">
        <f t="shared" si="23"/>
        <v>425.09</v>
      </c>
      <c r="AM212">
        <f t="shared" si="24"/>
        <v>-425.09</v>
      </c>
      <c r="AN212" s="4" t="e">
        <f t="shared" si="25"/>
        <v>#DIV/0!</v>
      </c>
      <c r="AO212" t="s">
        <v>221</v>
      </c>
      <c r="AQ212" t="s">
        <v>217</v>
      </c>
      <c r="AS212" t="s">
        <v>312</v>
      </c>
    </row>
    <row r="213" ht="15.75" customHeight="1" spans="1:45">
      <c r="A213" t="s">
        <v>309</v>
      </c>
      <c r="B213" t="s">
        <v>71</v>
      </c>
      <c r="C213" t="s">
        <v>47</v>
      </c>
      <c r="D213" t="s">
        <v>58</v>
      </c>
      <c r="E213" t="s">
        <v>215</v>
      </c>
      <c r="F213" t="s">
        <v>310</v>
      </c>
      <c r="H213" t="s">
        <v>217</v>
      </c>
      <c r="I213" t="s">
        <v>238</v>
      </c>
      <c r="Q213" t="s">
        <v>57</v>
      </c>
      <c r="Y213" t="s">
        <v>314</v>
      </c>
      <c r="Z213">
        <v>35069110</v>
      </c>
      <c r="AE213">
        <v>0</v>
      </c>
      <c r="AF213" s="4">
        <v>0</v>
      </c>
      <c r="AG213">
        <v>1439.19</v>
      </c>
      <c r="AH213" s="4">
        <v>0.18</v>
      </c>
      <c r="AI213">
        <f t="shared" si="21"/>
        <v>1698.24</v>
      </c>
      <c r="AJ213" s="4">
        <v>0.2</v>
      </c>
      <c r="AK213">
        <f t="shared" si="22"/>
        <v>339.65</v>
      </c>
      <c r="AL213">
        <f t="shared" si="23"/>
        <v>2037.89</v>
      </c>
      <c r="AM213">
        <f t="shared" si="24"/>
        <v>-2037.89</v>
      </c>
      <c r="AN213" s="4" t="e">
        <f t="shared" si="25"/>
        <v>#DIV/0!</v>
      </c>
      <c r="AO213" t="s">
        <v>221</v>
      </c>
      <c r="AQ213" t="s">
        <v>217</v>
      </c>
      <c r="AS213" t="s">
        <v>312</v>
      </c>
    </row>
    <row r="214" ht="15.75" customHeight="1" spans="1:45">
      <c r="A214" t="s">
        <v>309</v>
      </c>
      <c r="B214" t="s">
        <v>75</v>
      </c>
      <c r="C214" t="s">
        <v>47</v>
      </c>
      <c r="D214" t="s">
        <v>58</v>
      </c>
      <c r="E214" t="s">
        <v>215</v>
      </c>
      <c r="F214" t="s">
        <v>310</v>
      </c>
      <c r="H214" t="s">
        <v>217</v>
      </c>
      <c r="I214" t="s">
        <v>240</v>
      </c>
      <c r="Q214" t="s">
        <v>57</v>
      </c>
      <c r="Y214" t="s">
        <v>315</v>
      </c>
      <c r="Z214">
        <v>35069110</v>
      </c>
      <c r="AE214">
        <v>0</v>
      </c>
      <c r="AF214" s="4">
        <v>0</v>
      </c>
      <c r="AG214">
        <v>2748.2</v>
      </c>
      <c r="AH214" s="4">
        <v>0.18</v>
      </c>
      <c r="AI214">
        <f t="shared" si="21"/>
        <v>3242.88</v>
      </c>
      <c r="AJ214" s="4">
        <v>0.2</v>
      </c>
      <c r="AK214">
        <f t="shared" si="22"/>
        <v>648.58</v>
      </c>
      <c r="AL214">
        <f t="shared" si="23"/>
        <v>3891.46</v>
      </c>
      <c r="AM214">
        <f t="shared" si="24"/>
        <v>-3891.46</v>
      </c>
      <c r="AN214" s="4" t="e">
        <f t="shared" si="25"/>
        <v>#DIV/0!</v>
      </c>
      <c r="AO214" t="s">
        <v>221</v>
      </c>
      <c r="AQ214" t="s">
        <v>217</v>
      </c>
      <c r="AS214" t="s">
        <v>312</v>
      </c>
    </row>
    <row r="215" ht="15.75" customHeight="1" spans="1:45">
      <c r="A215" t="s">
        <v>309</v>
      </c>
      <c r="B215" t="s">
        <v>79</v>
      </c>
      <c r="C215" t="s">
        <v>47</v>
      </c>
      <c r="D215" t="s">
        <v>58</v>
      </c>
      <c r="E215" t="s">
        <v>215</v>
      </c>
      <c r="F215" t="s">
        <v>310</v>
      </c>
      <c r="H215" t="s">
        <v>217</v>
      </c>
      <c r="I215" t="s">
        <v>242</v>
      </c>
      <c r="Q215" t="s">
        <v>57</v>
      </c>
      <c r="Y215" t="s">
        <v>316</v>
      </c>
      <c r="Z215">
        <v>35069110</v>
      </c>
      <c r="AE215">
        <v>0</v>
      </c>
      <c r="AF215" s="4">
        <v>0</v>
      </c>
      <c r="AG215">
        <v>5447.59</v>
      </c>
      <c r="AH215" s="4">
        <v>0.18</v>
      </c>
      <c r="AI215">
        <f t="shared" si="21"/>
        <v>6428.16</v>
      </c>
      <c r="AJ215" s="4">
        <v>0.2</v>
      </c>
      <c r="AK215">
        <f t="shared" si="22"/>
        <v>1285.63</v>
      </c>
      <c r="AL215">
        <f t="shared" si="23"/>
        <v>7713.79</v>
      </c>
      <c r="AM215">
        <f t="shared" si="24"/>
        <v>-7713.79</v>
      </c>
      <c r="AN215" s="4" t="e">
        <f t="shared" si="25"/>
        <v>#DIV/0!</v>
      </c>
      <c r="AO215" t="s">
        <v>221</v>
      </c>
      <c r="AQ215" t="s">
        <v>217</v>
      </c>
      <c r="AS215" t="s">
        <v>312</v>
      </c>
    </row>
    <row r="216" ht="15.75" customHeight="1" spans="1:45">
      <c r="A216" t="s">
        <v>317</v>
      </c>
      <c r="B216" t="s">
        <v>46</v>
      </c>
      <c r="C216" t="s">
        <v>47</v>
      </c>
      <c r="D216" t="s">
        <v>58</v>
      </c>
      <c r="E216" t="s">
        <v>215</v>
      </c>
      <c r="F216" t="s">
        <v>318</v>
      </c>
      <c r="H216" t="s">
        <v>319</v>
      </c>
      <c r="I216" t="s">
        <v>320</v>
      </c>
      <c r="Q216" t="s">
        <v>57</v>
      </c>
      <c r="Y216" t="s">
        <v>321</v>
      </c>
      <c r="Z216">
        <v>35061000</v>
      </c>
      <c r="AE216">
        <v>0</v>
      </c>
      <c r="AF216" s="4">
        <v>0</v>
      </c>
      <c r="AG216">
        <v>411.66</v>
      </c>
      <c r="AH216" s="4">
        <v>0.18</v>
      </c>
      <c r="AI216">
        <f t="shared" si="21"/>
        <v>485.76</v>
      </c>
      <c r="AJ216" s="4">
        <v>0.2</v>
      </c>
      <c r="AK216">
        <f t="shared" si="22"/>
        <v>97.15</v>
      </c>
      <c r="AL216">
        <f t="shared" si="23"/>
        <v>582.91</v>
      </c>
      <c r="AM216">
        <f t="shared" si="24"/>
        <v>-582.91</v>
      </c>
      <c r="AN216" s="4" t="e">
        <f t="shared" si="25"/>
        <v>#DIV/0!</v>
      </c>
      <c r="AO216" t="s">
        <v>221</v>
      </c>
      <c r="AQ216" t="s">
        <v>217</v>
      </c>
      <c r="AS216" t="s">
        <v>322</v>
      </c>
    </row>
    <row r="217" ht="15.75" customHeight="1" spans="1:45">
      <c r="A217" t="s">
        <v>323</v>
      </c>
      <c r="B217" t="s">
        <v>46</v>
      </c>
      <c r="C217" t="s">
        <v>47</v>
      </c>
      <c r="D217" t="s">
        <v>58</v>
      </c>
      <c r="E217" t="s">
        <v>215</v>
      </c>
      <c r="F217" t="s">
        <v>324</v>
      </c>
      <c r="H217" t="s">
        <v>319</v>
      </c>
      <c r="I217" t="s">
        <v>320</v>
      </c>
      <c r="Q217" t="s">
        <v>57</v>
      </c>
      <c r="Y217" t="s">
        <v>325</v>
      </c>
      <c r="Z217">
        <v>35061000</v>
      </c>
      <c r="AE217">
        <v>0</v>
      </c>
      <c r="AF217" s="4">
        <v>0</v>
      </c>
      <c r="AG217">
        <v>280.68</v>
      </c>
      <c r="AH217" s="4">
        <v>0.18</v>
      </c>
      <c r="AI217">
        <f t="shared" si="21"/>
        <v>331.2</v>
      </c>
      <c r="AJ217" s="4">
        <v>0.2</v>
      </c>
      <c r="AK217">
        <f t="shared" si="22"/>
        <v>66.24</v>
      </c>
      <c r="AL217">
        <f t="shared" si="23"/>
        <v>397.44</v>
      </c>
      <c r="AM217">
        <f t="shared" si="24"/>
        <v>-397.44</v>
      </c>
      <c r="AN217" s="4" t="e">
        <f t="shared" si="25"/>
        <v>#DIV/0!</v>
      </c>
      <c r="AO217" t="s">
        <v>221</v>
      </c>
      <c r="AQ217" t="s">
        <v>217</v>
      </c>
      <c r="AS217" t="s">
        <v>326</v>
      </c>
    </row>
    <row r="218" ht="15.75" customHeight="1" spans="1:45">
      <c r="A218" t="s">
        <v>323</v>
      </c>
      <c r="B218" t="s">
        <v>67</v>
      </c>
      <c r="C218" t="s">
        <v>47</v>
      </c>
      <c r="D218" t="s">
        <v>58</v>
      </c>
      <c r="E218" t="s">
        <v>215</v>
      </c>
      <c r="F218" t="s">
        <v>324</v>
      </c>
      <c r="H218" t="s">
        <v>319</v>
      </c>
      <c r="I218" t="s">
        <v>327</v>
      </c>
      <c r="Q218" t="s">
        <v>57</v>
      </c>
      <c r="Y218" t="s">
        <v>328</v>
      </c>
      <c r="Z218">
        <v>35061000</v>
      </c>
      <c r="AE218">
        <v>0</v>
      </c>
      <c r="AF218" s="4">
        <v>0</v>
      </c>
      <c r="AG218">
        <v>527.19</v>
      </c>
      <c r="AH218" s="4">
        <v>0.18</v>
      </c>
      <c r="AI218">
        <f t="shared" si="21"/>
        <v>622.08</v>
      </c>
      <c r="AJ218" s="4">
        <v>0.2</v>
      </c>
      <c r="AK218">
        <f t="shared" si="22"/>
        <v>124.42</v>
      </c>
      <c r="AL218">
        <f t="shared" si="23"/>
        <v>746.5</v>
      </c>
      <c r="AM218">
        <f t="shared" si="24"/>
        <v>-746.5</v>
      </c>
      <c r="AN218" s="4" t="e">
        <f t="shared" si="25"/>
        <v>#DIV/0!</v>
      </c>
      <c r="AO218" t="s">
        <v>221</v>
      </c>
      <c r="AQ218" t="s">
        <v>217</v>
      </c>
      <c r="AS218" t="s">
        <v>326</v>
      </c>
    </row>
    <row r="219" ht="15.75" customHeight="1" spans="1:45">
      <c r="A219" t="s">
        <v>323</v>
      </c>
      <c r="B219" t="s">
        <v>71</v>
      </c>
      <c r="C219" t="s">
        <v>47</v>
      </c>
      <c r="D219" t="s">
        <v>58</v>
      </c>
      <c r="E219" t="s">
        <v>215</v>
      </c>
      <c r="F219" t="s">
        <v>324</v>
      </c>
      <c r="H219" t="s">
        <v>319</v>
      </c>
      <c r="I219" t="s">
        <v>329</v>
      </c>
      <c r="Q219" t="s">
        <v>57</v>
      </c>
      <c r="Y219" t="s">
        <v>330</v>
      </c>
      <c r="Z219">
        <v>35061000</v>
      </c>
      <c r="AE219">
        <v>0</v>
      </c>
      <c r="AF219" s="4">
        <v>0</v>
      </c>
      <c r="AG219">
        <v>2562.71</v>
      </c>
      <c r="AH219" s="4">
        <v>0.18</v>
      </c>
      <c r="AI219">
        <f t="shared" si="21"/>
        <v>3024</v>
      </c>
      <c r="AJ219" s="4">
        <v>0.2</v>
      </c>
      <c r="AK219">
        <f t="shared" si="22"/>
        <v>604.8</v>
      </c>
      <c r="AL219">
        <f t="shared" si="23"/>
        <v>3628.8</v>
      </c>
      <c r="AM219">
        <f t="shared" si="24"/>
        <v>-3628.8</v>
      </c>
      <c r="AN219" s="4" t="e">
        <f t="shared" si="25"/>
        <v>#DIV/0!</v>
      </c>
      <c r="AO219" t="s">
        <v>221</v>
      </c>
      <c r="AQ219" t="s">
        <v>217</v>
      </c>
      <c r="AS219" t="s">
        <v>326</v>
      </c>
    </row>
    <row r="220" ht="15.75" customHeight="1" spans="1:45">
      <c r="A220" t="s">
        <v>331</v>
      </c>
      <c r="B220" t="s">
        <v>46</v>
      </c>
      <c r="C220" t="s">
        <v>47</v>
      </c>
      <c r="D220" t="s">
        <v>58</v>
      </c>
      <c r="E220" t="s">
        <v>215</v>
      </c>
      <c r="F220" t="s">
        <v>332</v>
      </c>
      <c r="H220" t="s">
        <v>217</v>
      </c>
      <c r="I220" t="s">
        <v>231</v>
      </c>
      <c r="Q220" t="s">
        <v>57</v>
      </c>
      <c r="Y220" t="s">
        <v>333</v>
      </c>
      <c r="Z220">
        <v>38089990</v>
      </c>
      <c r="AE220">
        <v>0</v>
      </c>
      <c r="AF220" s="4">
        <v>0</v>
      </c>
      <c r="AG220">
        <v>115.85</v>
      </c>
      <c r="AH220" s="4">
        <v>0.18</v>
      </c>
      <c r="AI220">
        <f t="shared" si="21"/>
        <v>136.7</v>
      </c>
      <c r="AJ220" s="4">
        <v>0.2</v>
      </c>
      <c r="AK220">
        <f t="shared" si="22"/>
        <v>27.34</v>
      </c>
      <c r="AL220">
        <f t="shared" si="23"/>
        <v>164.04</v>
      </c>
      <c r="AM220">
        <f t="shared" si="24"/>
        <v>-164.04</v>
      </c>
      <c r="AN220" s="4" t="e">
        <f t="shared" si="25"/>
        <v>#DIV/0!</v>
      </c>
      <c r="AO220" t="s">
        <v>221</v>
      </c>
      <c r="AQ220" t="s">
        <v>217</v>
      </c>
      <c r="AS220" t="s">
        <v>334</v>
      </c>
    </row>
    <row r="221" ht="15.75" customHeight="1" spans="1:45">
      <c r="A221" t="s">
        <v>331</v>
      </c>
      <c r="B221" t="s">
        <v>67</v>
      </c>
      <c r="C221" t="s">
        <v>47</v>
      </c>
      <c r="D221" t="s">
        <v>58</v>
      </c>
      <c r="E221" t="s">
        <v>215</v>
      </c>
      <c r="F221" t="s">
        <v>332</v>
      </c>
      <c r="H221" t="s">
        <v>217</v>
      </c>
      <c r="I221" t="s">
        <v>327</v>
      </c>
      <c r="Q221" t="s">
        <v>57</v>
      </c>
      <c r="Y221" t="s">
        <v>335</v>
      </c>
      <c r="Z221">
        <v>38089990</v>
      </c>
      <c r="AE221">
        <v>0</v>
      </c>
      <c r="AF221" s="4">
        <v>0</v>
      </c>
      <c r="AG221">
        <v>207.7</v>
      </c>
      <c r="AH221" s="4">
        <v>0.18</v>
      </c>
      <c r="AI221">
        <f t="shared" si="21"/>
        <v>245.09</v>
      </c>
      <c r="AJ221" s="4">
        <v>0.2</v>
      </c>
      <c r="AK221">
        <f t="shared" si="22"/>
        <v>49.02</v>
      </c>
      <c r="AL221">
        <f t="shared" si="23"/>
        <v>294.11</v>
      </c>
      <c r="AM221">
        <f t="shared" si="24"/>
        <v>-294.11</v>
      </c>
      <c r="AN221" s="4" t="e">
        <f t="shared" si="25"/>
        <v>#DIV/0!</v>
      </c>
      <c r="AO221" t="s">
        <v>221</v>
      </c>
      <c r="AQ221" t="s">
        <v>217</v>
      </c>
      <c r="AS221" t="s">
        <v>334</v>
      </c>
    </row>
    <row r="222" ht="15.75" customHeight="1" spans="1:45">
      <c r="A222" t="s">
        <v>331</v>
      </c>
      <c r="B222" t="s">
        <v>71</v>
      </c>
      <c r="C222" t="s">
        <v>47</v>
      </c>
      <c r="D222" t="s">
        <v>58</v>
      </c>
      <c r="E222" t="s">
        <v>215</v>
      </c>
      <c r="F222" t="s">
        <v>332</v>
      </c>
      <c r="H222" t="s">
        <v>217</v>
      </c>
      <c r="I222" t="s">
        <v>336</v>
      </c>
      <c r="Q222" t="s">
        <v>57</v>
      </c>
      <c r="Y222" t="s">
        <v>337</v>
      </c>
      <c r="Z222">
        <v>38089990</v>
      </c>
      <c r="AE222">
        <v>0</v>
      </c>
      <c r="AF222" s="4">
        <v>0</v>
      </c>
      <c r="AG222">
        <v>617.9</v>
      </c>
      <c r="AH222" s="4">
        <v>0.18</v>
      </c>
      <c r="AI222">
        <f t="shared" si="21"/>
        <v>729.12</v>
      </c>
      <c r="AJ222" s="4">
        <v>0.2</v>
      </c>
      <c r="AK222">
        <f t="shared" si="22"/>
        <v>145.82</v>
      </c>
      <c r="AL222">
        <f t="shared" si="23"/>
        <v>874.94</v>
      </c>
      <c r="AM222">
        <f t="shared" si="24"/>
        <v>-874.94</v>
      </c>
      <c r="AN222" s="4" t="e">
        <f t="shared" si="25"/>
        <v>#DIV/0!</v>
      </c>
      <c r="AO222" t="s">
        <v>221</v>
      </c>
      <c r="AQ222" t="s">
        <v>217</v>
      </c>
      <c r="AS222" t="s">
        <v>334</v>
      </c>
    </row>
    <row r="223" ht="15.75" customHeight="1" spans="1:45">
      <c r="A223" t="s">
        <v>331</v>
      </c>
      <c r="B223" t="s">
        <v>75</v>
      </c>
      <c r="C223" t="s">
        <v>47</v>
      </c>
      <c r="D223" t="s">
        <v>58</v>
      </c>
      <c r="E223" t="s">
        <v>215</v>
      </c>
      <c r="F223" t="s">
        <v>332</v>
      </c>
      <c r="H223" t="s">
        <v>217</v>
      </c>
      <c r="I223" t="s">
        <v>329</v>
      </c>
      <c r="Q223" t="s">
        <v>57</v>
      </c>
      <c r="Y223" t="s">
        <v>338</v>
      </c>
      <c r="Z223">
        <v>38089990</v>
      </c>
      <c r="AE223">
        <v>0</v>
      </c>
      <c r="AF223" s="4">
        <v>0</v>
      </c>
      <c r="AG223">
        <v>985.22</v>
      </c>
      <c r="AH223" s="4">
        <v>0.18</v>
      </c>
      <c r="AI223">
        <f t="shared" si="21"/>
        <v>1162.56</v>
      </c>
      <c r="AJ223" s="4">
        <v>0.2</v>
      </c>
      <c r="AK223">
        <f t="shared" si="22"/>
        <v>232.51</v>
      </c>
      <c r="AL223">
        <f t="shared" si="23"/>
        <v>1395.07</v>
      </c>
      <c r="AM223">
        <f t="shared" si="24"/>
        <v>-1395.07</v>
      </c>
      <c r="AN223" s="4" t="e">
        <f t="shared" si="25"/>
        <v>#DIV/0!</v>
      </c>
      <c r="AO223" t="s">
        <v>221</v>
      </c>
      <c r="AQ223" t="s">
        <v>217</v>
      </c>
      <c r="AS223" t="s">
        <v>334</v>
      </c>
    </row>
    <row r="224" ht="15.75" customHeight="1" spans="1:45">
      <c r="A224" t="s">
        <v>339</v>
      </c>
      <c r="B224" t="s">
        <v>46</v>
      </c>
      <c r="C224" t="s">
        <v>47</v>
      </c>
      <c r="D224" t="s">
        <v>58</v>
      </c>
      <c r="E224" t="s">
        <v>340</v>
      </c>
      <c r="F224" t="s">
        <v>341</v>
      </c>
      <c r="H224" t="s">
        <v>217</v>
      </c>
      <c r="I224" t="s">
        <v>342</v>
      </c>
      <c r="Q224" t="s">
        <v>57</v>
      </c>
      <c r="Y224" t="s">
        <v>343</v>
      </c>
      <c r="Z224">
        <v>3506</v>
      </c>
      <c r="AE224">
        <v>0</v>
      </c>
      <c r="AF224" s="4">
        <v>0</v>
      </c>
      <c r="AG224">
        <f t="shared" ref="AG224:AG231" si="27">ROUND(AE224-(AE224*AF224),2)</f>
        <v>0</v>
      </c>
      <c r="AH224" s="4">
        <v>0.18</v>
      </c>
      <c r="AI224">
        <f t="shared" si="21"/>
        <v>0</v>
      </c>
      <c r="AJ224" s="4">
        <v>0.2</v>
      </c>
      <c r="AK224">
        <f t="shared" si="22"/>
        <v>0</v>
      </c>
      <c r="AL224">
        <f t="shared" si="23"/>
        <v>0</v>
      </c>
      <c r="AM224">
        <f t="shared" si="24"/>
        <v>0</v>
      </c>
      <c r="AN224" s="4" t="e">
        <f t="shared" si="25"/>
        <v>#DIV/0!</v>
      </c>
      <c r="AO224" t="s">
        <v>221</v>
      </c>
      <c r="AQ224" t="s">
        <v>217</v>
      </c>
      <c r="AS224" t="s">
        <v>344</v>
      </c>
    </row>
    <row r="225" ht="15.75" customHeight="1" spans="1:45">
      <c r="A225" t="s">
        <v>339</v>
      </c>
      <c r="B225" t="s">
        <v>67</v>
      </c>
      <c r="C225" t="s">
        <v>47</v>
      </c>
      <c r="D225" t="s">
        <v>58</v>
      </c>
      <c r="E225" t="s">
        <v>340</v>
      </c>
      <c r="F225" t="s">
        <v>341</v>
      </c>
      <c r="H225" t="s">
        <v>217</v>
      </c>
      <c r="I225" t="s">
        <v>345</v>
      </c>
      <c r="Q225" t="s">
        <v>57</v>
      </c>
      <c r="Y225" t="s">
        <v>346</v>
      </c>
      <c r="Z225">
        <v>3506</v>
      </c>
      <c r="AE225">
        <v>0</v>
      </c>
      <c r="AF225" s="4">
        <v>0</v>
      </c>
      <c r="AG225">
        <f t="shared" si="27"/>
        <v>0</v>
      </c>
      <c r="AH225" s="4">
        <v>0.18</v>
      </c>
      <c r="AI225">
        <f t="shared" si="21"/>
        <v>0</v>
      </c>
      <c r="AJ225" s="4">
        <v>0.2</v>
      </c>
      <c r="AK225">
        <f t="shared" si="22"/>
        <v>0</v>
      </c>
      <c r="AL225">
        <f t="shared" si="23"/>
        <v>0</v>
      </c>
      <c r="AM225">
        <f t="shared" si="24"/>
        <v>0</v>
      </c>
      <c r="AN225" s="4" t="e">
        <f t="shared" si="25"/>
        <v>#DIV/0!</v>
      </c>
      <c r="AO225" t="s">
        <v>221</v>
      </c>
      <c r="AQ225" t="s">
        <v>217</v>
      </c>
      <c r="AS225" t="s">
        <v>344</v>
      </c>
    </row>
    <row r="226" ht="15.75" customHeight="1" spans="1:45">
      <c r="A226" t="s">
        <v>339</v>
      </c>
      <c r="B226" t="s">
        <v>71</v>
      </c>
      <c r="C226" t="s">
        <v>47</v>
      </c>
      <c r="D226" t="s">
        <v>58</v>
      </c>
      <c r="E226" t="s">
        <v>340</v>
      </c>
      <c r="F226" t="s">
        <v>341</v>
      </c>
      <c r="H226" t="s">
        <v>217</v>
      </c>
      <c r="I226" t="s">
        <v>347</v>
      </c>
      <c r="Q226" t="s">
        <v>57</v>
      </c>
      <c r="Y226" t="s">
        <v>348</v>
      </c>
      <c r="Z226">
        <v>3506</v>
      </c>
      <c r="AE226">
        <v>0</v>
      </c>
      <c r="AF226" s="4">
        <v>0</v>
      </c>
      <c r="AG226">
        <f t="shared" si="27"/>
        <v>0</v>
      </c>
      <c r="AH226" s="4">
        <v>0.18</v>
      </c>
      <c r="AI226">
        <f t="shared" si="21"/>
        <v>0</v>
      </c>
      <c r="AJ226" s="4">
        <v>0.2</v>
      </c>
      <c r="AK226">
        <f t="shared" si="22"/>
        <v>0</v>
      </c>
      <c r="AL226">
        <f t="shared" si="23"/>
        <v>0</v>
      </c>
      <c r="AM226">
        <f t="shared" si="24"/>
        <v>0</v>
      </c>
      <c r="AN226" s="4" t="e">
        <f t="shared" si="25"/>
        <v>#DIV/0!</v>
      </c>
      <c r="AO226" t="s">
        <v>221</v>
      </c>
      <c r="AQ226" t="s">
        <v>217</v>
      </c>
      <c r="AS226" t="s">
        <v>344</v>
      </c>
    </row>
    <row r="227" ht="15.75" customHeight="1" spans="1:45">
      <c r="A227" t="s">
        <v>339</v>
      </c>
      <c r="B227" t="s">
        <v>75</v>
      </c>
      <c r="C227" t="s">
        <v>47</v>
      </c>
      <c r="D227" t="s">
        <v>58</v>
      </c>
      <c r="E227" t="s">
        <v>340</v>
      </c>
      <c r="F227" t="s">
        <v>341</v>
      </c>
      <c r="H227" t="s">
        <v>217</v>
      </c>
      <c r="I227" t="s">
        <v>349</v>
      </c>
      <c r="Q227" t="s">
        <v>57</v>
      </c>
      <c r="Y227" t="s">
        <v>350</v>
      </c>
      <c r="Z227">
        <v>3506</v>
      </c>
      <c r="AE227">
        <v>0</v>
      </c>
      <c r="AF227" s="4">
        <v>0</v>
      </c>
      <c r="AG227">
        <f t="shared" si="27"/>
        <v>0</v>
      </c>
      <c r="AH227" s="4">
        <v>0.18</v>
      </c>
      <c r="AI227">
        <f t="shared" si="21"/>
        <v>0</v>
      </c>
      <c r="AJ227" s="4">
        <v>0.2</v>
      </c>
      <c r="AK227">
        <f t="shared" si="22"/>
        <v>0</v>
      </c>
      <c r="AL227">
        <f t="shared" si="23"/>
        <v>0</v>
      </c>
      <c r="AM227">
        <f t="shared" si="24"/>
        <v>0</v>
      </c>
      <c r="AN227" s="4" t="e">
        <f t="shared" si="25"/>
        <v>#DIV/0!</v>
      </c>
      <c r="AO227" t="s">
        <v>221</v>
      </c>
      <c r="AQ227" t="s">
        <v>217</v>
      </c>
      <c r="AS227" t="s">
        <v>344</v>
      </c>
    </row>
    <row r="228" ht="15.75" customHeight="1" spans="1:45">
      <c r="A228" t="s">
        <v>339</v>
      </c>
      <c r="B228" t="s">
        <v>79</v>
      </c>
      <c r="C228" t="s">
        <v>47</v>
      </c>
      <c r="D228" t="s">
        <v>58</v>
      </c>
      <c r="E228" t="s">
        <v>340</v>
      </c>
      <c r="F228" t="s">
        <v>341</v>
      </c>
      <c r="H228" t="s">
        <v>217</v>
      </c>
      <c r="I228" t="s">
        <v>351</v>
      </c>
      <c r="Q228" t="s">
        <v>57</v>
      </c>
      <c r="Y228" t="s">
        <v>352</v>
      </c>
      <c r="Z228">
        <v>3506</v>
      </c>
      <c r="AE228">
        <v>0</v>
      </c>
      <c r="AF228" s="4">
        <v>0</v>
      </c>
      <c r="AG228">
        <f t="shared" si="27"/>
        <v>0</v>
      </c>
      <c r="AH228" s="4">
        <v>0.18</v>
      </c>
      <c r="AI228">
        <f t="shared" si="21"/>
        <v>0</v>
      </c>
      <c r="AJ228" s="4">
        <v>0.2</v>
      </c>
      <c r="AK228">
        <f t="shared" si="22"/>
        <v>0</v>
      </c>
      <c r="AL228">
        <f t="shared" si="23"/>
        <v>0</v>
      </c>
      <c r="AM228">
        <f t="shared" si="24"/>
        <v>0</v>
      </c>
      <c r="AN228" s="4" t="e">
        <f t="shared" si="25"/>
        <v>#DIV/0!</v>
      </c>
      <c r="AO228" t="s">
        <v>221</v>
      </c>
      <c r="AQ228" t="s">
        <v>217</v>
      </c>
      <c r="AS228" t="s">
        <v>344</v>
      </c>
    </row>
    <row r="229" ht="15.75" customHeight="1" spans="1:45">
      <c r="A229" t="s">
        <v>339</v>
      </c>
      <c r="B229" t="s">
        <v>83</v>
      </c>
      <c r="C229" t="s">
        <v>47</v>
      </c>
      <c r="D229" t="s">
        <v>58</v>
      </c>
      <c r="E229" t="s">
        <v>340</v>
      </c>
      <c r="F229" t="s">
        <v>341</v>
      </c>
      <c r="H229" t="s">
        <v>217</v>
      </c>
      <c r="I229" t="s">
        <v>225</v>
      </c>
      <c r="Q229" t="s">
        <v>57</v>
      </c>
      <c r="Y229" t="s">
        <v>353</v>
      </c>
      <c r="Z229">
        <v>3506</v>
      </c>
      <c r="AE229">
        <v>0</v>
      </c>
      <c r="AF229" s="4">
        <v>0</v>
      </c>
      <c r="AG229">
        <f t="shared" si="27"/>
        <v>0</v>
      </c>
      <c r="AH229" s="4">
        <v>0.18</v>
      </c>
      <c r="AI229">
        <f t="shared" si="21"/>
        <v>0</v>
      </c>
      <c r="AJ229" s="4">
        <v>0.2</v>
      </c>
      <c r="AK229">
        <f t="shared" si="22"/>
        <v>0</v>
      </c>
      <c r="AL229">
        <f t="shared" si="23"/>
        <v>0</v>
      </c>
      <c r="AM229">
        <f t="shared" si="24"/>
        <v>0</v>
      </c>
      <c r="AN229" s="4" t="e">
        <f t="shared" si="25"/>
        <v>#DIV/0!</v>
      </c>
      <c r="AO229" t="s">
        <v>221</v>
      </c>
      <c r="AQ229" t="s">
        <v>217</v>
      </c>
      <c r="AS229" t="s">
        <v>344</v>
      </c>
    </row>
    <row r="230" ht="15.75" customHeight="1" spans="1:45">
      <c r="A230" t="s">
        <v>339</v>
      </c>
      <c r="B230" t="s">
        <v>131</v>
      </c>
      <c r="C230" t="s">
        <v>47</v>
      </c>
      <c r="D230" t="s">
        <v>58</v>
      </c>
      <c r="E230" t="s">
        <v>340</v>
      </c>
      <c r="F230" t="s">
        <v>341</v>
      </c>
      <c r="H230" t="s">
        <v>217</v>
      </c>
      <c r="I230" t="s">
        <v>228</v>
      </c>
      <c r="Q230" t="s">
        <v>57</v>
      </c>
      <c r="Y230" t="s">
        <v>354</v>
      </c>
      <c r="Z230">
        <v>3506</v>
      </c>
      <c r="AE230">
        <v>0</v>
      </c>
      <c r="AF230" s="4">
        <v>0</v>
      </c>
      <c r="AG230">
        <f t="shared" si="27"/>
        <v>0</v>
      </c>
      <c r="AH230" s="4">
        <v>0.18</v>
      </c>
      <c r="AI230">
        <f t="shared" si="21"/>
        <v>0</v>
      </c>
      <c r="AJ230" s="4">
        <v>0.2</v>
      </c>
      <c r="AK230">
        <f t="shared" si="22"/>
        <v>0</v>
      </c>
      <c r="AL230">
        <f t="shared" si="23"/>
        <v>0</v>
      </c>
      <c r="AM230">
        <f t="shared" si="24"/>
        <v>0</v>
      </c>
      <c r="AN230" s="4" t="e">
        <f t="shared" si="25"/>
        <v>#DIV/0!</v>
      </c>
      <c r="AO230" t="s">
        <v>221</v>
      </c>
      <c r="AQ230" t="s">
        <v>217</v>
      </c>
      <c r="AS230" t="s">
        <v>344</v>
      </c>
    </row>
    <row r="231" ht="15.75" customHeight="1" spans="1:45">
      <c r="A231" s="10" t="s">
        <v>355</v>
      </c>
      <c r="B231" s="10" t="s">
        <v>46</v>
      </c>
      <c r="C231" s="10" t="s">
        <v>47</v>
      </c>
      <c r="D231" s="10" t="s">
        <v>58</v>
      </c>
      <c r="E231" s="10" t="s">
        <v>356</v>
      </c>
      <c r="F231" s="10" t="s">
        <v>357</v>
      </c>
      <c r="G231" s="10"/>
      <c r="H231" s="10" t="s">
        <v>217</v>
      </c>
      <c r="I231" s="10" t="s">
        <v>228</v>
      </c>
      <c r="J231" s="10"/>
      <c r="K231" s="10"/>
      <c r="L231" s="10"/>
      <c r="M231" s="10"/>
      <c r="N231" s="10"/>
      <c r="O231" s="10"/>
      <c r="P231" s="10"/>
      <c r="Q231" s="10" t="s">
        <v>57</v>
      </c>
      <c r="R231" s="10"/>
      <c r="S231" s="10"/>
      <c r="T231" s="10"/>
      <c r="U231" s="10"/>
      <c r="V231" s="10"/>
      <c r="W231" s="10"/>
      <c r="X231" s="10"/>
      <c r="Y231" s="10" t="s">
        <v>358</v>
      </c>
      <c r="Z231" s="10">
        <v>35069190</v>
      </c>
      <c r="AA231" s="10"/>
      <c r="AB231" s="10"/>
      <c r="AC231" s="10"/>
      <c r="AD231" s="10"/>
      <c r="AE231" s="10">
        <v>0</v>
      </c>
      <c r="AF231" s="11">
        <v>0</v>
      </c>
      <c r="AG231" s="10">
        <f t="shared" si="27"/>
        <v>0</v>
      </c>
      <c r="AH231" s="11">
        <v>0.18</v>
      </c>
      <c r="AI231" s="10">
        <f t="shared" si="21"/>
        <v>0</v>
      </c>
      <c r="AJ231" s="11">
        <v>0.2</v>
      </c>
      <c r="AK231" s="10">
        <f t="shared" si="22"/>
        <v>0</v>
      </c>
      <c r="AL231" s="10">
        <f t="shared" si="23"/>
        <v>0</v>
      </c>
      <c r="AM231" s="10">
        <f t="shared" si="24"/>
        <v>0</v>
      </c>
      <c r="AN231" s="11" t="e">
        <f t="shared" si="25"/>
        <v>#DIV/0!</v>
      </c>
      <c r="AO231" s="10" t="s">
        <v>221</v>
      </c>
      <c r="AP231" s="10"/>
      <c r="AQ231" s="10" t="s">
        <v>217</v>
      </c>
      <c r="AR231" s="10"/>
      <c r="AS231" s="10" t="s">
        <v>359</v>
      </c>
    </row>
    <row r="232" ht="15.75" customHeight="1" spans="1:45">
      <c r="A232" t="s">
        <v>355</v>
      </c>
      <c r="B232" t="s">
        <v>67</v>
      </c>
      <c r="C232" t="s">
        <v>47</v>
      </c>
      <c r="D232" t="s">
        <v>58</v>
      </c>
      <c r="E232" t="s">
        <v>356</v>
      </c>
      <c r="F232" t="s">
        <v>357</v>
      </c>
      <c r="H232" t="s">
        <v>217</v>
      </c>
      <c r="I232" t="s">
        <v>231</v>
      </c>
      <c r="Q232" t="s">
        <v>57</v>
      </c>
      <c r="Y232" t="s">
        <v>360</v>
      </c>
      <c r="Z232">
        <v>35069190</v>
      </c>
      <c r="AE232">
        <v>0</v>
      </c>
      <c r="AF232" s="4">
        <v>0</v>
      </c>
      <c r="AG232">
        <v>111.36</v>
      </c>
      <c r="AH232" s="4">
        <v>0.18</v>
      </c>
      <c r="AI232">
        <f t="shared" si="21"/>
        <v>131.4</v>
      </c>
      <c r="AJ232" s="4">
        <v>0.2</v>
      </c>
      <c r="AK232">
        <f t="shared" si="22"/>
        <v>26.28</v>
      </c>
      <c r="AL232">
        <f t="shared" si="23"/>
        <v>157.68</v>
      </c>
      <c r="AM232">
        <f t="shared" si="24"/>
        <v>-157.68</v>
      </c>
      <c r="AN232" s="4" t="e">
        <f t="shared" si="25"/>
        <v>#DIV/0!</v>
      </c>
      <c r="AO232" t="s">
        <v>221</v>
      </c>
      <c r="AQ232" t="s">
        <v>217</v>
      </c>
      <c r="AS232" t="s">
        <v>359</v>
      </c>
    </row>
    <row r="233" ht="15.75" customHeight="1" spans="1:45">
      <c r="A233" t="s">
        <v>355</v>
      </c>
      <c r="B233" t="s">
        <v>71</v>
      </c>
      <c r="C233" t="s">
        <v>47</v>
      </c>
      <c r="D233" t="s">
        <v>58</v>
      </c>
      <c r="E233" t="s">
        <v>356</v>
      </c>
      <c r="F233" t="s">
        <v>357</v>
      </c>
      <c r="H233" t="s">
        <v>217</v>
      </c>
      <c r="I233" t="s">
        <v>234</v>
      </c>
      <c r="Q233" t="s">
        <v>57</v>
      </c>
      <c r="Y233" t="s">
        <v>361</v>
      </c>
      <c r="Z233">
        <v>35069190</v>
      </c>
      <c r="AE233">
        <v>0</v>
      </c>
      <c r="AF233" s="4">
        <v>0</v>
      </c>
      <c r="AG233">
        <v>205.44</v>
      </c>
      <c r="AH233" s="4">
        <v>0.18</v>
      </c>
      <c r="AI233">
        <f t="shared" si="21"/>
        <v>242.42</v>
      </c>
      <c r="AJ233" s="4">
        <v>0.2</v>
      </c>
      <c r="AK233">
        <f t="shared" si="22"/>
        <v>48.48</v>
      </c>
      <c r="AL233">
        <f t="shared" si="23"/>
        <v>290.9</v>
      </c>
      <c r="AM233">
        <f t="shared" si="24"/>
        <v>-290.9</v>
      </c>
      <c r="AN233" s="4" t="e">
        <f t="shared" si="25"/>
        <v>#DIV/0!</v>
      </c>
      <c r="AO233" t="s">
        <v>221</v>
      </c>
      <c r="AQ233" t="s">
        <v>217</v>
      </c>
      <c r="AS233" t="s">
        <v>359</v>
      </c>
    </row>
    <row r="234" ht="15.75" customHeight="1" spans="1:45">
      <c r="A234" t="s">
        <v>355</v>
      </c>
      <c r="B234" t="s">
        <v>75</v>
      </c>
      <c r="C234" t="s">
        <v>47</v>
      </c>
      <c r="D234" t="s">
        <v>58</v>
      </c>
      <c r="E234" t="s">
        <v>356</v>
      </c>
      <c r="F234" t="s">
        <v>357</v>
      </c>
      <c r="H234" t="s">
        <v>217</v>
      </c>
      <c r="I234" t="s">
        <v>236</v>
      </c>
      <c r="Q234" t="s">
        <v>57</v>
      </c>
      <c r="Y234" t="s">
        <v>362</v>
      </c>
      <c r="Z234">
        <v>35069190</v>
      </c>
      <c r="AE234">
        <v>0</v>
      </c>
      <c r="AF234" s="4">
        <v>0</v>
      </c>
      <c r="AG234">
        <v>388.8</v>
      </c>
      <c r="AH234" s="4">
        <v>0.18</v>
      </c>
      <c r="AI234">
        <f t="shared" si="21"/>
        <v>458.78</v>
      </c>
      <c r="AJ234" s="4">
        <v>0.2</v>
      </c>
      <c r="AK234">
        <f t="shared" si="22"/>
        <v>91.76</v>
      </c>
      <c r="AL234">
        <f t="shared" si="23"/>
        <v>550.54</v>
      </c>
      <c r="AM234">
        <f t="shared" si="24"/>
        <v>-550.54</v>
      </c>
      <c r="AN234" s="4" t="e">
        <f t="shared" si="25"/>
        <v>#DIV/0!</v>
      </c>
      <c r="AO234" t="s">
        <v>221</v>
      </c>
      <c r="AQ234" t="s">
        <v>217</v>
      </c>
      <c r="AS234" t="s">
        <v>359</v>
      </c>
    </row>
    <row r="235" ht="15.75" customHeight="1" spans="1:45">
      <c r="A235" t="s">
        <v>355</v>
      </c>
      <c r="B235" t="s">
        <v>79</v>
      </c>
      <c r="C235" t="s">
        <v>47</v>
      </c>
      <c r="D235" t="s">
        <v>58</v>
      </c>
      <c r="E235" t="s">
        <v>356</v>
      </c>
      <c r="F235" t="s">
        <v>357</v>
      </c>
      <c r="H235" t="s">
        <v>217</v>
      </c>
      <c r="I235" t="s">
        <v>238</v>
      </c>
      <c r="Q235" t="s">
        <v>57</v>
      </c>
      <c r="Y235" t="s">
        <v>363</v>
      </c>
      <c r="Z235">
        <v>35069190</v>
      </c>
      <c r="AE235">
        <v>0</v>
      </c>
      <c r="AF235" s="4">
        <v>0</v>
      </c>
      <c r="AG235">
        <v>909.12</v>
      </c>
      <c r="AH235" s="4">
        <v>0.18</v>
      </c>
      <c r="AI235">
        <f t="shared" si="21"/>
        <v>1072.76</v>
      </c>
      <c r="AJ235" s="4">
        <v>0.2</v>
      </c>
      <c r="AK235">
        <f t="shared" si="22"/>
        <v>214.55</v>
      </c>
      <c r="AL235">
        <f t="shared" si="23"/>
        <v>1287.31</v>
      </c>
      <c r="AM235">
        <f t="shared" si="24"/>
        <v>-1287.31</v>
      </c>
      <c r="AN235" s="4" t="e">
        <f t="shared" si="25"/>
        <v>#DIV/0!</v>
      </c>
      <c r="AO235" t="s">
        <v>221</v>
      </c>
      <c r="AQ235" t="s">
        <v>217</v>
      </c>
      <c r="AS235" t="s">
        <v>359</v>
      </c>
    </row>
    <row r="236" ht="15.75" customHeight="1" spans="1:45">
      <c r="A236" t="s">
        <v>355</v>
      </c>
      <c r="B236" t="s">
        <v>83</v>
      </c>
      <c r="C236" t="s">
        <v>47</v>
      </c>
      <c r="D236" t="s">
        <v>58</v>
      </c>
      <c r="E236" t="s">
        <v>356</v>
      </c>
      <c r="F236" t="s">
        <v>357</v>
      </c>
      <c r="H236" t="s">
        <v>217</v>
      </c>
      <c r="I236" t="s">
        <v>240</v>
      </c>
      <c r="Q236" t="s">
        <v>57</v>
      </c>
      <c r="Y236" t="s">
        <v>364</v>
      </c>
      <c r="Z236">
        <v>35069190</v>
      </c>
      <c r="AE236">
        <v>0</v>
      </c>
      <c r="AF236" s="4">
        <v>0</v>
      </c>
      <c r="AG236">
        <v>1731.84</v>
      </c>
      <c r="AH236" s="4">
        <v>0.18</v>
      </c>
      <c r="AI236">
        <f t="shared" si="21"/>
        <v>2043.57</v>
      </c>
      <c r="AJ236" s="4">
        <v>0.2</v>
      </c>
      <c r="AK236">
        <f t="shared" si="22"/>
        <v>408.71</v>
      </c>
      <c r="AL236">
        <f t="shared" si="23"/>
        <v>2452.28</v>
      </c>
      <c r="AM236">
        <f t="shared" si="24"/>
        <v>-2452.28</v>
      </c>
      <c r="AN236" s="4" t="e">
        <f t="shared" si="25"/>
        <v>#DIV/0!</v>
      </c>
      <c r="AO236" t="s">
        <v>221</v>
      </c>
      <c r="AQ236" t="s">
        <v>217</v>
      </c>
      <c r="AS236" t="s">
        <v>359</v>
      </c>
    </row>
    <row r="237" ht="15.75" customHeight="1" spans="1:45">
      <c r="A237" t="s">
        <v>355</v>
      </c>
      <c r="B237" t="s">
        <v>131</v>
      </c>
      <c r="C237" t="s">
        <v>47</v>
      </c>
      <c r="D237" t="s">
        <v>58</v>
      </c>
      <c r="E237" t="s">
        <v>356</v>
      </c>
      <c r="F237" t="s">
        <v>357</v>
      </c>
      <c r="H237" t="s">
        <v>217</v>
      </c>
      <c r="I237" t="s">
        <v>242</v>
      </c>
      <c r="Q237" t="s">
        <v>57</v>
      </c>
      <c r="Y237" t="s">
        <v>365</v>
      </c>
      <c r="Z237">
        <v>35069190</v>
      </c>
      <c r="AE237">
        <v>0</v>
      </c>
      <c r="AF237" s="4">
        <v>0</v>
      </c>
      <c r="AG237">
        <v>3355.56</v>
      </c>
      <c r="AH237" s="4">
        <v>0.18</v>
      </c>
      <c r="AI237">
        <f t="shared" si="21"/>
        <v>3959.56</v>
      </c>
      <c r="AJ237" s="4">
        <v>0.2</v>
      </c>
      <c r="AK237">
        <f t="shared" si="22"/>
        <v>791.91</v>
      </c>
      <c r="AL237">
        <f t="shared" si="23"/>
        <v>4751.47</v>
      </c>
      <c r="AM237">
        <f t="shared" si="24"/>
        <v>-4751.47</v>
      </c>
      <c r="AN237" s="4" t="e">
        <f t="shared" si="25"/>
        <v>#DIV/0!</v>
      </c>
      <c r="AO237" t="s">
        <v>221</v>
      </c>
      <c r="AQ237" t="s">
        <v>217</v>
      </c>
      <c r="AS237" t="s">
        <v>359</v>
      </c>
    </row>
    <row r="238" ht="15.75" customHeight="1" spans="1:45">
      <c r="A238" t="s">
        <v>355</v>
      </c>
      <c r="B238" t="s">
        <v>133</v>
      </c>
      <c r="C238" t="s">
        <v>47</v>
      </c>
      <c r="D238" t="s">
        <v>58</v>
      </c>
      <c r="E238" t="s">
        <v>356</v>
      </c>
      <c r="F238" t="s">
        <v>357</v>
      </c>
      <c r="H238" t="s">
        <v>217</v>
      </c>
      <c r="I238" t="s">
        <v>246</v>
      </c>
      <c r="Q238" t="s">
        <v>57</v>
      </c>
      <c r="Y238" t="s">
        <v>366</v>
      </c>
      <c r="Z238">
        <v>35069190</v>
      </c>
      <c r="AE238">
        <v>0</v>
      </c>
      <c r="AF238" s="4">
        <v>0</v>
      </c>
      <c r="AG238">
        <v>7589.76</v>
      </c>
      <c r="AH238" s="4">
        <v>0.18</v>
      </c>
      <c r="AI238">
        <f t="shared" si="21"/>
        <v>8955.92</v>
      </c>
      <c r="AJ238" s="4">
        <v>0.2</v>
      </c>
      <c r="AK238">
        <f t="shared" si="22"/>
        <v>1791.18</v>
      </c>
      <c r="AL238">
        <f t="shared" si="23"/>
        <v>10747.1</v>
      </c>
      <c r="AM238">
        <f t="shared" si="24"/>
        <v>-10747.1</v>
      </c>
      <c r="AN238" s="4" t="e">
        <f t="shared" si="25"/>
        <v>#DIV/0!</v>
      </c>
      <c r="AO238" t="s">
        <v>221</v>
      </c>
      <c r="AQ238" t="s">
        <v>217</v>
      </c>
      <c r="AS238" t="s">
        <v>359</v>
      </c>
    </row>
    <row r="239" ht="15.75" customHeight="1" spans="1:45">
      <c r="A239" t="s">
        <v>355</v>
      </c>
      <c r="B239" t="s">
        <v>135</v>
      </c>
      <c r="C239" t="s">
        <v>47</v>
      </c>
      <c r="D239" t="s">
        <v>58</v>
      </c>
      <c r="E239" t="s">
        <v>356</v>
      </c>
      <c r="F239" t="s">
        <v>357</v>
      </c>
      <c r="H239" t="s">
        <v>217</v>
      </c>
      <c r="I239" t="s">
        <v>248</v>
      </c>
      <c r="Q239" t="s">
        <v>57</v>
      </c>
      <c r="Y239" t="s">
        <v>367</v>
      </c>
      <c r="Z239">
        <v>35069190</v>
      </c>
      <c r="AE239">
        <v>0</v>
      </c>
      <c r="AF239" s="4">
        <v>0</v>
      </c>
      <c r="AG239">
        <v>8888.64</v>
      </c>
      <c r="AH239" s="4">
        <v>0.18</v>
      </c>
      <c r="AI239">
        <f t="shared" si="21"/>
        <v>10488.6</v>
      </c>
      <c r="AJ239" s="4">
        <v>0.2</v>
      </c>
      <c r="AK239">
        <f t="shared" si="22"/>
        <v>2097.72</v>
      </c>
      <c r="AL239">
        <f t="shared" si="23"/>
        <v>12586.32</v>
      </c>
      <c r="AM239">
        <f t="shared" si="24"/>
        <v>-12586.32</v>
      </c>
      <c r="AN239" s="4" t="e">
        <f t="shared" si="25"/>
        <v>#DIV/0!</v>
      </c>
      <c r="AO239" t="s">
        <v>221</v>
      </c>
      <c r="AQ239" t="s">
        <v>217</v>
      </c>
      <c r="AS239" t="s">
        <v>359</v>
      </c>
    </row>
    <row r="240" ht="15.75" customHeight="1" spans="1:45">
      <c r="A240" t="s">
        <v>368</v>
      </c>
      <c r="B240" t="s">
        <v>46</v>
      </c>
      <c r="C240" t="s">
        <v>47</v>
      </c>
      <c r="D240" t="s">
        <v>58</v>
      </c>
      <c r="E240" t="s">
        <v>356</v>
      </c>
      <c r="F240" t="s">
        <v>369</v>
      </c>
      <c r="H240" t="s">
        <v>217</v>
      </c>
      <c r="I240" t="s">
        <v>234</v>
      </c>
      <c r="Q240" t="s">
        <v>57</v>
      </c>
      <c r="Y240" t="s">
        <v>370</v>
      </c>
      <c r="Z240">
        <v>35069190</v>
      </c>
      <c r="AE240">
        <v>0</v>
      </c>
      <c r="AF240" s="4">
        <v>0</v>
      </c>
      <c r="AG240">
        <v>275.52</v>
      </c>
      <c r="AH240" s="4">
        <v>0.18</v>
      </c>
      <c r="AI240">
        <f t="shared" si="21"/>
        <v>325.11</v>
      </c>
      <c r="AJ240" s="4">
        <v>0.2</v>
      </c>
      <c r="AK240">
        <f t="shared" si="22"/>
        <v>65.02</v>
      </c>
      <c r="AL240">
        <f t="shared" si="23"/>
        <v>390.13</v>
      </c>
      <c r="AM240">
        <f t="shared" si="24"/>
        <v>-390.13</v>
      </c>
      <c r="AN240" s="4" t="e">
        <f t="shared" si="25"/>
        <v>#DIV/0!</v>
      </c>
      <c r="AO240" t="s">
        <v>221</v>
      </c>
      <c r="AQ240" t="s">
        <v>217</v>
      </c>
      <c r="AS240" t="s">
        <v>371</v>
      </c>
    </row>
    <row r="241" ht="15.75" customHeight="1" spans="1:45">
      <c r="A241" t="s">
        <v>368</v>
      </c>
      <c r="B241" t="s">
        <v>67</v>
      </c>
      <c r="C241" t="s">
        <v>47</v>
      </c>
      <c r="D241" t="s">
        <v>58</v>
      </c>
      <c r="E241" t="s">
        <v>356</v>
      </c>
      <c r="F241" t="s">
        <v>369</v>
      </c>
      <c r="H241" t="s">
        <v>217</v>
      </c>
      <c r="I241" t="s">
        <v>236</v>
      </c>
      <c r="Q241" t="s">
        <v>57</v>
      </c>
      <c r="Y241" t="s">
        <v>372</v>
      </c>
      <c r="Z241">
        <v>35069190</v>
      </c>
      <c r="AE241">
        <v>0</v>
      </c>
      <c r="AF241" s="4">
        <v>0</v>
      </c>
      <c r="AG241">
        <v>238</v>
      </c>
      <c r="AH241" s="4">
        <v>0.18</v>
      </c>
      <c r="AI241">
        <f t="shared" si="21"/>
        <v>280.84</v>
      </c>
      <c r="AJ241" s="4">
        <v>0.2</v>
      </c>
      <c r="AK241">
        <f t="shared" si="22"/>
        <v>56.17</v>
      </c>
      <c r="AL241">
        <f t="shared" si="23"/>
        <v>337.01</v>
      </c>
      <c r="AM241">
        <f t="shared" si="24"/>
        <v>-337.01</v>
      </c>
      <c r="AN241" s="4" t="e">
        <f t="shared" si="25"/>
        <v>#DIV/0!</v>
      </c>
      <c r="AO241" t="s">
        <v>221</v>
      </c>
      <c r="AQ241" t="s">
        <v>217</v>
      </c>
      <c r="AS241" t="s">
        <v>371</v>
      </c>
    </row>
    <row r="242" ht="15.75" customHeight="1" spans="1:45">
      <c r="A242" t="s">
        <v>368</v>
      </c>
      <c r="B242" t="s">
        <v>71</v>
      </c>
      <c r="C242" t="s">
        <v>47</v>
      </c>
      <c r="D242" t="s">
        <v>58</v>
      </c>
      <c r="E242" t="s">
        <v>356</v>
      </c>
      <c r="F242" t="s">
        <v>369</v>
      </c>
      <c r="H242" t="s">
        <v>217</v>
      </c>
      <c r="I242" t="s">
        <v>238</v>
      </c>
      <c r="Q242" t="s">
        <v>57</v>
      </c>
      <c r="Y242" t="s">
        <v>373</v>
      </c>
      <c r="Z242">
        <v>35069190</v>
      </c>
      <c r="AE242">
        <v>0</v>
      </c>
      <c r="AF242" s="4">
        <v>0</v>
      </c>
      <c r="AG242">
        <v>1256.64</v>
      </c>
      <c r="AH242" s="4">
        <v>0.18</v>
      </c>
      <c r="AI242">
        <f t="shared" si="21"/>
        <v>1482.84</v>
      </c>
      <c r="AJ242" s="4">
        <v>0.2</v>
      </c>
      <c r="AK242">
        <f t="shared" si="22"/>
        <v>296.57</v>
      </c>
      <c r="AL242">
        <f t="shared" si="23"/>
        <v>1779.41</v>
      </c>
      <c r="AM242">
        <f t="shared" si="24"/>
        <v>-1779.41</v>
      </c>
      <c r="AN242" s="4" t="e">
        <f t="shared" si="25"/>
        <v>#DIV/0!</v>
      </c>
      <c r="AO242" t="s">
        <v>221</v>
      </c>
      <c r="AQ242" t="s">
        <v>217</v>
      </c>
      <c r="AS242" t="s">
        <v>371</v>
      </c>
    </row>
    <row r="243" ht="15.75" customHeight="1" spans="1:45">
      <c r="A243" t="s">
        <v>368</v>
      </c>
      <c r="B243" t="s">
        <v>75</v>
      </c>
      <c r="C243" t="s">
        <v>47</v>
      </c>
      <c r="D243" t="s">
        <v>58</v>
      </c>
      <c r="E243" t="s">
        <v>356</v>
      </c>
      <c r="F243" t="s">
        <v>369</v>
      </c>
      <c r="H243" t="s">
        <v>217</v>
      </c>
      <c r="I243" t="s">
        <v>240</v>
      </c>
      <c r="Q243" t="s">
        <v>57</v>
      </c>
      <c r="Y243" t="s">
        <v>374</v>
      </c>
      <c r="Z243">
        <v>35069190</v>
      </c>
      <c r="AE243">
        <v>0</v>
      </c>
      <c r="AF243" s="4">
        <v>0</v>
      </c>
      <c r="AG243">
        <v>2396.16</v>
      </c>
      <c r="AH243" s="4">
        <v>0.18</v>
      </c>
      <c r="AI243">
        <f t="shared" si="21"/>
        <v>2827.47</v>
      </c>
      <c r="AJ243" s="4">
        <v>0.2</v>
      </c>
      <c r="AK243">
        <f t="shared" si="22"/>
        <v>565.49</v>
      </c>
      <c r="AL243">
        <f t="shared" si="23"/>
        <v>3392.96</v>
      </c>
      <c r="AM243">
        <f t="shared" si="24"/>
        <v>-3392.96</v>
      </c>
      <c r="AN243" s="4" t="e">
        <f t="shared" si="25"/>
        <v>#DIV/0!</v>
      </c>
      <c r="AO243" t="s">
        <v>221</v>
      </c>
      <c r="AQ243" t="s">
        <v>217</v>
      </c>
      <c r="AS243" t="s">
        <v>371</v>
      </c>
    </row>
    <row r="244" ht="15.75" customHeight="1" spans="1:45">
      <c r="A244" t="s">
        <v>368</v>
      </c>
      <c r="B244" t="s">
        <v>79</v>
      </c>
      <c r="C244" t="s">
        <v>47</v>
      </c>
      <c r="D244" t="s">
        <v>58</v>
      </c>
      <c r="E244" t="s">
        <v>356</v>
      </c>
      <c r="F244" t="s">
        <v>369</v>
      </c>
      <c r="H244" t="s">
        <v>217</v>
      </c>
      <c r="I244" t="s">
        <v>242</v>
      </c>
      <c r="Q244" t="s">
        <v>57</v>
      </c>
      <c r="Y244" t="s">
        <v>375</v>
      </c>
      <c r="Z244">
        <v>35069190</v>
      </c>
      <c r="AE244">
        <v>0</v>
      </c>
      <c r="AF244" s="4">
        <v>0</v>
      </c>
      <c r="AG244">
        <v>4590.72</v>
      </c>
      <c r="AH244" s="4">
        <v>0.18</v>
      </c>
      <c r="AI244">
        <f t="shared" si="21"/>
        <v>5417.05</v>
      </c>
      <c r="AJ244" s="4">
        <v>0.2</v>
      </c>
      <c r="AK244">
        <f t="shared" si="22"/>
        <v>1083.41</v>
      </c>
      <c r="AL244">
        <f t="shared" si="23"/>
        <v>6500.46</v>
      </c>
      <c r="AM244">
        <f t="shared" si="24"/>
        <v>-6500.46</v>
      </c>
      <c r="AN244" s="4" t="e">
        <f t="shared" si="25"/>
        <v>#DIV/0!</v>
      </c>
      <c r="AO244" t="s">
        <v>221</v>
      </c>
      <c r="AQ244" t="s">
        <v>217</v>
      </c>
      <c r="AS244" t="s">
        <v>371</v>
      </c>
    </row>
    <row r="245" ht="15.75" customHeight="1" spans="1:45">
      <c r="A245" t="s">
        <v>368</v>
      </c>
      <c r="B245" t="s">
        <v>83</v>
      </c>
      <c r="C245" t="s">
        <v>47</v>
      </c>
      <c r="D245" t="s">
        <v>58</v>
      </c>
      <c r="E245" t="s">
        <v>356</v>
      </c>
      <c r="F245" t="s">
        <v>369</v>
      </c>
      <c r="H245" t="s">
        <v>217</v>
      </c>
      <c r="I245" t="s">
        <v>246</v>
      </c>
      <c r="Q245" t="s">
        <v>57</v>
      </c>
      <c r="Y245" t="s">
        <v>376</v>
      </c>
      <c r="Z245">
        <v>35069190</v>
      </c>
      <c r="AE245">
        <v>0</v>
      </c>
      <c r="AF245" s="4">
        <v>0</v>
      </c>
      <c r="AG245">
        <v>10970.88</v>
      </c>
      <c r="AH245" s="4">
        <v>0.18</v>
      </c>
      <c r="AI245">
        <f t="shared" si="21"/>
        <v>12945.64</v>
      </c>
      <c r="AJ245" s="4">
        <v>0.2</v>
      </c>
      <c r="AK245">
        <f t="shared" si="22"/>
        <v>2589.13</v>
      </c>
      <c r="AL245">
        <f t="shared" si="23"/>
        <v>15534.77</v>
      </c>
      <c r="AM245">
        <f t="shared" si="24"/>
        <v>-15534.77</v>
      </c>
      <c r="AN245" s="4" t="e">
        <f t="shared" si="25"/>
        <v>#DIV/0!</v>
      </c>
      <c r="AO245" t="s">
        <v>221</v>
      </c>
      <c r="AQ245" t="s">
        <v>217</v>
      </c>
      <c r="AS245" t="s">
        <v>371</v>
      </c>
    </row>
    <row r="246" ht="15.75" customHeight="1" spans="1:45">
      <c r="A246" s="10" t="s">
        <v>377</v>
      </c>
      <c r="B246" s="10" t="s">
        <v>46</v>
      </c>
      <c r="C246" s="10" t="s">
        <v>47</v>
      </c>
      <c r="D246" s="10" t="s">
        <v>58</v>
      </c>
      <c r="E246" s="10" t="s">
        <v>356</v>
      </c>
      <c r="F246" s="10" t="s">
        <v>378</v>
      </c>
      <c r="G246" s="10"/>
      <c r="H246" s="10" t="s">
        <v>217</v>
      </c>
      <c r="I246" s="10" t="s">
        <v>231</v>
      </c>
      <c r="J246" s="10"/>
      <c r="K246" s="10"/>
      <c r="L246" s="10"/>
      <c r="M246" s="10"/>
      <c r="N246" s="10"/>
      <c r="O246" s="10"/>
      <c r="P246" s="10"/>
      <c r="Q246" s="10" t="s">
        <v>57</v>
      </c>
      <c r="R246" s="10"/>
      <c r="S246" s="10"/>
      <c r="T246" s="10"/>
      <c r="U246" s="10"/>
      <c r="V246" s="10"/>
      <c r="W246" s="10"/>
      <c r="X246" s="10"/>
      <c r="Y246" s="10" t="s">
        <v>379</v>
      </c>
      <c r="Z246" s="10">
        <v>35069190</v>
      </c>
      <c r="AA246" s="10"/>
      <c r="AB246" s="10"/>
      <c r="AC246" s="10"/>
      <c r="AD246" s="10"/>
      <c r="AE246" s="10">
        <v>0</v>
      </c>
      <c r="AF246" s="11">
        <v>0</v>
      </c>
      <c r="AG246" s="10">
        <f>ROUND(AE246-(AE246*AF246),2)</f>
        <v>0</v>
      </c>
      <c r="AH246" s="11">
        <v>0.18</v>
      </c>
      <c r="AI246" s="10">
        <f t="shared" si="21"/>
        <v>0</v>
      </c>
      <c r="AJ246" s="11">
        <v>0.2</v>
      </c>
      <c r="AK246" s="10">
        <f t="shared" si="22"/>
        <v>0</v>
      </c>
      <c r="AL246" s="10">
        <f t="shared" si="23"/>
        <v>0</v>
      </c>
      <c r="AM246" s="10">
        <f t="shared" si="24"/>
        <v>0</v>
      </c>
      <c r="AN246" s="11" t="e">
        <f t="shared" si="25"/>
        <v>#DIV/0!</v>
      </c>
      <c r="AO246" s="10" t="s">
        <v>221</v>
      </c>
      <c r="AP246" s="10"/>
      <c r="AQ246" s="10" t="s">
        <v>217</v>
      </c>
      <c r="AR246" s="10"/>
      <c r="AS246" s="10" t="s">
        <v>380</v>
      </c>
    </row>
    <row r="247" ht="15.75" customHeight="1" spans="1:45">
      <c r="A247" t="s">
        <v>377</v>
      </c>
      <c r="B247" t="s">
        <v>67</v>
      </c>
      <c r="C247" t="s">
        <v>47</v>
      </c>
      <c r="D247" t="s">
        <v>58</v>
      </c>
      <c r="E247" t="s">
        <v>356</v>
      </c>
      <c r="F247" t="s">
        <v>378</v>
      </c>
      <c r="H247" t="s">
        <v>217</v>
      </c>
      <c r="I247" t="s">
        <v>381</v>
      </c>
      <c r="Q247" t="s">
        <v>57</v>
      </c>
      <c r="Y247" t="s">
        <v>382</v>
      </c>
      <c r="Z247">
        <v>35069190</v>
      </c>
      <c r="AE247">
        <v>0</v>
      </c>
      <c r="AF247" s="4">
        <v>0</v>
      </c>
      <c r="AG247">
        <v>242.88</v>
      </c>
      <c r="AH247" s="4">
        <v>0.18</v>
      </c>
      <c r="AI247">
        <f t="shared" si="21"/>
        <v>286.6</v>
      </c>
      <c r="AJ247" s="4">
        <v>0.2</v>
      </c>
      <c r="AK247">
        <f t="shared" si="22"/>
        <v>57.32</v>
      </c>
      <c r="AL247">
        <f t="shared" si="23"/>
        <v>343.92</v>
      </c>
      <c r="AM247">
        <f t="shared" si="24"/>
        <v>-343.92</v>
      </c>
      <c r="AN247" s="4" t="e">
        <f t="shared" si="25"/>
        <v>#DIV/0!</v>
      </c>
      <c r="AO247" t="s">
        <v>221</v>
      </c>
      <c r="AQ247" t="s">
        <v>217</v>
      </c>
      <c r="AS247" t="s">
        <v>380</v>
      </c>
    </row>
    <row r="248" ht="15.75" customHeight="1" spans="1:45">
      <c r="A248" t="s">
        <v>377</v>
      </c>
      <c r="B248" t="s">
        <v>71</v>
      </c>
      <c r="C248" t="s">
        <v>47</v>
      </c>
      <c r="D248" t="s">
        <v>58</v>
      </c>
      <c r="E248" t="s">
        <v>356</v>
      </c>
      <c r="F248" t="s">
        <v>378</v>
      </c>
      <c r="H248" t="s">
        <v>217</v>
      </c>
      <c r="I248" t="s">
        <v>383</v>
      </c>
      <c r="Q248" t="s">
        <v>57</v>
      </c>
      <c r="Y248" t="s">
        <v>384</v>
      </c>
      <c r="Z248">
        <v>35069190</v>
      </c>
      <c r="AE248">
        <v>0</v>
      </c>
      <c r="AF248" s="4">
        <v>0</v>
      </c>
      <c r="AG248">
        <v>464.64</v>
      </c>
      <c r="AH248" s="4">
        <v>0.18</v>
      </c>
      <c r="AI248">
        <f t="shared" si="21"/>
        <v>548.28</v>
      </c>
      <c r="AJ248" s="4">
        <v>0.2</v>
      </c>
      <c r="AK248">
        <f t="shared" si="22"/>
        <v>109.66</v>
      </c>
      <c r="AL248">
        <f t="shared" si="23"/>
        <v>657.94</v>
      </c>
      <c r="AM248">
        <f t="shared" si="24"/>
        <v>-657.94</v>
      </c>
      <c r="AN248" s="4" t="e">
        <f t="shared" si="25"/>
        <v>#DIV/0!</v>
      </c>
      <c r="AO248" t="s">
        <v>221</v>
      </c>
      <c r="AQ248" t="s">
        <v>217</v>
      </c>
      <c r="AS248" t="s">
        <v>380</v>
      </c>
    </row>
    <row r="249" ht="15.75" customHeight="1" spans="1:45">
      <c r="A249" t="s">
        <v>377</v>
      </c>
      <c r="B249" t="s">
        <v>75</v>
      </c>
      <c r="C249" t="s">
        <v>47</v>
      </c>
      <c r="D249" t="s">
        <v>58</v>
      </c>
      <c r="E249" t="s">
        <v>356</v>
      </c>
      <c r="F249" t="s">
        <v>378</v>
      </c>
      <c r="H249" t="s">
        <v>217</v>
      </c>
      <c r="I249" t="s">
        <v>238</v>
      </c>
      <c r="Q249" t="s">
        <v>57</v>
      </c>
      <c r="Y249" t="s">
        <v>385</v>
      </c>
      <c r="Z249">
        <v>35069190</v>
      </c>
      <c r="AE249">
        <v>0</v>
      </c>
      <c r="AF249" s="4">
        <v>0</v>
      </c>
      <c r="AG249">
        <v>1377.6</v>
      </c>
      <c r="AH249" s="4">
        <v>0.18</v>
      </c>
      <c r="AI249">
        <f t="shared" si="21"/>
        <v>1625.57</v>
      </c>
      <c r="AJ249" s="4">
        <v>0.2</v>
      </c>
      <c r="AK249">
        <f t="shared" si="22"/>
        <v>325.11</v>
      </c>
      <c r="AL249">
        <f t="shared" si="23"/>
        <v>1950.68</v>
      </c>
      <c r="AM249">
        <f t="shared" si="24"/>
        <v>-1950.68</v>
      </c>
      <c r="AN249" s="4" t="e">
        <f t="shared" si="25"/>
        <v>#DIV/0!</v>
      </c>
      <c r="AO249" t="s">
        <v>221</v>
      </c>
      <c r="AQ249" t="s">
        <v>217</v>
      </c>
      <c r="AS249" t="s">
        <v>380</v>
      </c>
    </row>
    <row r="250" ht="15.75" customHeight="1" spans="1:45">
      <c r="A250" t="s">
        <v>377</v>
      </c>
      <c r="B250" t="s">
        <v>79</v>
      </c>
      <c r="C250" t="s">
        <v>47</v>
      </c>
      <c r="D250" t="s">
        <v>58</v>
      </c>
      <c r="E250" t="s">
        <v>356</v>
      </c>
      <c r="F250" t="s">
        <v>378</v>
      </c>
      <c r="H250" t="s">
        <v>217</v>
      </c>
      <c r="I250" t="s">
        <v>240</v>
      </c>
      <c r="Q250" t="s">
        <v>57</v>
      </c>
      <c r="Y250" t="s">
        <v>386</v>
      </c>
      <c r="Z250">
        <v>35069190</v>
      </c>
      <c r="AE250">
        <v>0</v>
      </c>
      <c r="AF250" s="4">
        <v>0</v>
      </c>
      <c r="AG250">
        <v>2634.24</v>
      </c>
      <c r="AH250" s="4">
        <v>0.18</v>
      </c>
      <c r="AI250">
        <f t="shared" si="21"/>
        <v>3108.4</v>
      </c>
      <c r="AJ250" s="4">
        <v>0.2</v>
      </c>
      <c r="AK250">
        <f t="shared" si="22"/>
        <v>621.68</v>
      </c>
      <c r="AL250">
        <f t="shared" si="23"/>
        <v>3730.08</v>
      </c>
      <c r="AM250">
        <f t="shared" si="24"/>
        <v>-3730.08</v>
      </c>
      <c r="AN250" s="4" t="e">
        <f t="shared" si="25"/>
        <v>#DIV/0!</v>
      </c>
      <c r="AO250" t="s">
        <v>221</v>
      </c>
      <c r="AQ250" t="s">
        <v>217</v>
      </c>
      <c r="AS250" t="s">
        <v>380</v>
      </c>
    </row>
    <row r="251" ht="15.75" customHeight="1" spans="1:45">
      <c r="A251" t="s">
        <v>377</v>
      </c>
      <c r="B251" t="s">
        <v>83</v>
      </c>
      <c r="C251" t="s">
        <v>47</v>
      </c>
      <c r="D251" t="s">
        <v>58</v>
      </c>
      <c r="E251" t="s">
        <v>356</v>
      </c>
      <c r="F251" t="s">
        <v>378</v>
      </c>
      <c r="H251" t="s">
        <v>217</v>
      </c>
      <c r="I251" t="s">
        <v>242</v>
      </c>
      <c r="Q251" t="s">
        <v>57</v>
      </c>
      <c r="Y251" t="s">
        <v>387</v>
      </c>
      <c r="Z251">
        <v>35069190</v>
      </c>
      <c r="AE251">
        <v>0</v>
      </c>
      <c r="AF251" s="4">
        <v>0</v>
      </c>
      <c r="AG251">
        <v>5076.48</v>
      </c>
      <c r="AH251" s="4">
        <v>0.18</v>
      </c>
      <c r="AI251">
        <f t="shared" si="21"/>
        <v>5990.25</v>
      </c>
      <c r="AJ251" s="4">
        <v>0.2</v>
      </c>
      <c r="AK251">
        <f t="shared" si="22"/>
        <v>1198.05</v>
      </c>
      <c r="AL251">
        <f t="shared" si="23"/>
        <v>7188.3</v>
      </c>
      <c r="AM251">
        <f t="shared" si="24"/>
        <v>-7188.3</v>
      </c>
      <c r="AN251" s="4" t="e">
        <f t="shared" si="25"/>
        <v>#DIV/0!</v>
      </c>
      <c r="AO251" t="s">
        <v>221</v>
      </c>
      <c r="AQ251" t="s">
        <v>217</v>
      </c>
      <c r="AS251" t="s">
        <v>380</v>
      </c>
    </row>
    <row r="252" ht="15.75" customHeight="1" spans="1:45">
      <c r="A252" t="s">
        <v>377</v>
      </c>
      <c r="B252" t="s">
        <v>131</v>
      </c>
      <c r="C252" t="s">
        <v>47</v>
      </c>
      <c r="D252" t="s">
        <v>58</v>
      </c>
      <c r="E252" t="s">
        <v>356</v>
      </c>
      <c r="F252" t="s">
        <v>378</v>
      </c>
      <c r="H252" t="s">
        <v>217</v>
      </c>
      <c r="I252" t="s">
        <v>246</v>
      </c>
      <c r="Q252" t="s">
        <v>57</v>
      </c>
      <c r="Y252" t="s">
        <v>388</v>
      </c>
      <c r="Z252">
        <v>35069190</v>
      </c>
      <c r="AE252">
        <v>0</v>
      </c>
      <c r="AF252" s="4">
        <v>0</v>
      </c>
      <c r="AG252">
        <v>12487.2</v>
      </c>
      <c r="AH252" s="4">
        <v>0.18</v>
      </c>
      <c r="AI252">
        <f t="shared" si="21"/>
        <v>14734.9</v>
      </c>
      <c r="AJ252" s="4">
        <v>0.2</v>
      </c>
      <c r="AK252">
        <f t="shared" si="22"/>
        <v>2946.98</v>
      </c>
      <c r="AL252">
        <f t="shared" si="23"/>
        <v>17681.88</v>
      </c>
      <c r="AM252">
        <f t="shared" si="24"/>
        <v>-17681.88</v>
      </c>
      <c r="AN252" s="4" t="e">
        <f t="shared" si="25"/>
        <v>#DIV/0!</v>
      </c>
      <c r="AO252" t="s">
        <v>221</v>
      </c>
      <c r="AQ252" t="s">
        <v>217</v>
      </c>
      <c r="AS252" t="s">
        <v>380</v>
      </c>
    </row>
    <row r="253" ht="15.75" customHeight="1" spans="1:45">
      <c r="A253" t="s">
        <v>377</v>
      </c>
      <c r="B253" t="s">
        <v>133</v>
      </c>
      <c r="C253" t="s">
        <v>47</v>
      </c>
      <c r="D253" t="s">
        <v>58</v>
      </c>
      <c r="E253" t="s">
        <v>356</v>
      </c>
      <c r="F253" t="s">
        <v>378</v>
      </c>
      <c r="H253" t="s">
        <v>217</v>
      </c>
      <c r="I253" t="s">
        <v>248</v>
      </c>
      <c r="Q253" t="s">
        <v>57</v>
      </c>
      <c r="Y253" t="s">
        <v>389</v>
      </c>
      <c r="Z253">
        <v>35069190</v>
      </c>
      <c r="AE253">
        <v>0</v>
      </c>
      <c r="AF253" s="4">
        <v>0</v>
      </c>
      <c r="AG253">
        <v>14643.84</v>
      </c>
      <c r="AH253" s="4">
        <v>0.18</v>
      </c>
      <c r="AI253">
        <f t="shared" si="21"/>
        <v>17279.73</v>
      </c>
      <c r="AJ253" s="4">
        <v>0.2</v>
      </c>
      <c r="AK253">
        <f t="shared" si="22"/>
        <v>3455.95</v>
      </c>
      <c r="AL253">
        <f t="shared" si="23"/>
        <v>20735.68</v>
      </c>
      <c r="AM253">
        <f t="shared" si="24"/>
        <v>-20735.68</v>
      </c>
      <c r="AN253" s="4" t="e">
        <f t="shared" si="25"/>
        <v>#DIV/0!</v>
      </c>
      <c r="AO253" t="s">
        <v>221</v>
      </c>
      <c r="AQ253" t="s">
        <v>217</v>
      </c>
      <c r="AS253" t="s">
        <v>380</v>
      </c>
    </row>
    <row r="254" ht="15.75" customHeight="1" spans="1:45">
      <c r="A254" t="s">
        <v>390</v>
      </c>
      <c r="B254" t="s">
        <v>46</v>
      </c>
      <c r="C254" t="s">
        <v>47</v>
      </c>
      <c r="D254" t="s">
        <v>58</v>
      </c>
      <c r="E254" t="s">
        <v>356</v>
      </c>
      <c r="F254" t="s">
        <v>391</v>
      </c>
      <c r="H254" t="s">
        <v>217</v>
      </c>
      <c r="I254" t="s">
        <v>234</v>
      </c>
      <c r="Q254" t="s">
        <v>57</v>
      </c>
      <c r="Y254" t="s">
        <v>392</v>
      </c>
      <c r="Z254">
        <v>3506</v>
      </c>
      <c r="AE254">
        <v>0</v>
      </c>
      <c r="AF254" s="4">
        <v>0</v>
      </c>
      <c r="AG254">
        <v>289.92</v>
      </c>
      <c r="AH254" s="4">
        <v>0.18</v>
      </c>
      <c r="AI254">
        <f t="shared" si="21"/>
        <v>342.11</v>
      </c>
      <c r="AJ254" s="4">
        <v>0.2</v>
      </c>
      <c r="AK254">
        <f t="shared" si="22"/>
        <v>68.42</v>
      </c>
      <c r="AL254">
        <f t="shared" si="23"/>
        <v>410.53</v>
      </c>
      <c r="AM254">
        <f t="shared" si="24"/>
        <v>-410.53</v>
      </c>
      <c r="AN254" s="4" t="e">
        <f t="shared" si="25"/>
        <v>#DIV/0!</v>
      </c>
      <c r="AO254" t="s">
        <v>221</v>
      </c>
      <c r="AQ254" t="s">
        <v>217</v>
      </c>
      <c r="AS254" t="s">
        <v>393</v>
      </c>
    </row>
    <row r="255" ht="15.75" customHeight="1" spans="1:45">
      <c r="A255" t="s">
        <v>390</v>
      </c>
      <c r="B255" t="s">
        <v>67</v>
      </c>
      <c r="C255" t="s">
        <v>47</v>
      </c>
      <c r="D255" t="s">
        <v>58</v>
      </c>
      <c r="E255" t="s">
        <v>356</v>
      </c>
      <c r="F255" t="s">
        <v>391</v>
      </c>
      <c r="H255" t="s">
        <v>217</v>
      </c>
      <c r="I255" t="s">
        <v>236</v>
      </c>
      <c r="Q255" t="s">
        <v>57</v>
      </c>
      <c r="Y255" t="s">
        <v>394</v>
      </c>
      <c r="Z255">
        <v>3506</v>
      </c>
      <c r="AE255">
        <v>0</v>
      </c>
      <c r="AF255" s="4">
        <v>0</v>
      </c>
      <c r="AG255">
        <v>528</v>
      </c>
      <c r="AH255" s="4">
        <v>0.18</v>
      </c>
      <c r="AI255">
        <f t="shared" si="21"/>
        <v>623.04</v>
      </c>
      <c r="AJ255" s="4">
        <v>0.2</v>
      </c>
      <c r="AK255">
        <f t="shared" si="22"/>
        <v>124.61</v>
      </c>
      <c r="AL255">
        <f t="shared" si="23"/>
        <v>747.65</v>
      </c>
      <c r="AM255">
        <f t="shared" si="24"/>
        <v>-747.65</v>
      </c>
      <c r="AN255" s="4" t="e">
        <f t="shared" si="25"/>
        <v>#DIV/0!</v>
      </c>
      <c r="AO255" t="s">
        <v>221</v>
      </c>
      <c r="AQ255" t="s">
        <v>217</v>
      </c>
      <c r="AS255" t="s">
        <v>393</v>
      </c>
    </row>
    <row r="256" ht="15.75" customHeight="1" spans="1:45">
      <c r="A256" t="s">
        <v>390</v>
      </c>
      <c r="B256" t="s">
        <v>71</v>
      </c>
      <c r="C256" t="s">
        <v>47</v>
      </c>
      <c r="D256" t="s">
        <v>58</v>
      </c>
      <c r="E256" t="s">
        <v>356</v>
      </c>
      <c r="F256" t="s">
        <v>391</v>
      </c>
      <c r="H256" t="s">
        <v>217</v>
      </c>
      <c r="I256" t="s">
        <v>238</v>
      </c>
      <c r="Q256" t="s">
        <v>57</v>
      </c>
      <c r="Y256" t="s">
        <v>395</v>
      </c>
      <c r="Z256">
        <v>3506</v>
      </c>
      <c r="AE256">
        <v>0</v>
      </c>
      <c r="AF256" s="4">
        <v>0</v>
      </c>
      <c r="AG256">
        <v>1339.2</v>
      </c>
      <c r="AH256" s="4">
        <v>0.18</v>
      </c>
      <c r="AI256">
        <f t="shared" si="21"/>
        <v>1580.26</v>
      </c>
      <c r="AJ256" s="4">
        <v>0.2</v>
      </c>
      <c r="AK256">
        <f t="shared" si="22"/>
        <v>316.05</v>
      </c>
      <c r="AL256">
        <f t="shared" si="23"/>
        <v>1896.31</v>
      </c>
      <c r="AM256">
        <f t="shared" si="24"/>
        <v>-1896.31</v>
      </c>
      <c r="AN256" s="4" t="e">
        <f t="shared" si="25"/>
        <v>#DIV/0!</v>
      </c>
      <c r="AO256" t="s">
        <v>221</v>
      </c>
      <c r="AQ256" t="s">
        <v>217</v>
      </c>
      <c r="AS256" t="s">
        <v>393</v>
      </c>
    </row>
    <row r="257" ht="15.75" customHeight="1" spans="1:45">
      <c r="A257" t="s">
        <v>390</v>
      </c>
      <c r="B257" t="s">
        <v>75</v>
      </c>
      <c r="C257" t="s">
        <v>47</v>
      </c>
      <c r="D257" t="s">
        <v>58</v>
      </c>
      <c r="E257" t="s">
        <v>356</v>
      </c>
      <c r="F257" t="s">
        <v>391</v>
      </c>
      <c r="H257" t="s">
        <v>217</v>
      </c>
      <c r="I257" t="s">
        <v>240</v>
      </c>
      <c r="Q257" t="s">
        <v>57</v>
      </c>
      <c r="Y257" t="s">
        <v>396</v>
      </c>
      <c r="Z257">
        <v>3506</v>
      </c>
      <c r="AE257">
        <v>0</v>
      </c>
      <c r="AF257" s="4">
        <v>0</v>
      </c>
      <c r="AG257">
        <v>2600.64</v>
      </c>
      <c r="AH257" s="4">
        <v>0.18</v>
      </c>
      <c r="AI257">
        <f t="shared" si="21"/>
        <v>3068.76</v>
      </c>
      <c r="AJ257" s="4">
        <v>0.2</v>
      </c>
      <c r="AK257">
        <f t="shared" si="22"/>
        <v>613.75</v>
      </c>
      <c r="AL257">
        <f t="shared" si="23"/>
        <v>3682.51</v>
      </c>
      <c r="AM257">
        <f t="shared" si="24"/>
        <v>-3682.51</v>
      </c>
      <c r="AN257" s="4" t="e">
        <f t="shared" si="25"/>
        <v>#DIV/0!</v>
      </c>
      <c r="AO257" t="s">
        <v>221</v>
      </c>
      <c r="AQ257" t="s">
        <v>217</v>
      </c>
      <c r="AS257" t="s">
        <v>393</v>
      </c>
    </row>
    <row r="258" ht="15.75" customHeight="1" spans="1:45">
      <c r="A258" t="s">
        <v>390</v>
      </c>
      <c r="B258" t="s">
        <v>79</v>
      </c>
      <c r="C258" t="s">
        <v>47</v>
      </c>
      <c r="D258" t="s">
        <v>58</v>
      </c>
      <c r="E258" t="s">
        <v>356</v>
      </c>
      <c r="F258" t="s">
        <v>391</v>
      </c>
      <c r="H258" t="s">
        <v>217</v>
      </c>
      <c r="I258" t="s">
        <v>242</v>
      </c>
      <c r="Q258" t="s">
        <v>57</v>
      </c>
      <c r="Y258" t="s">
        <v>397</v>
      </c>
      <c r="Z258">
        <v>3506</v>
      </c>
      <c r="AE258">
        <v>0</v>
      </c>
      <c r="AF258" s="4">
        <v>0</v>
      </c>
      <c r="AG258">
        <v>4857.6</v>
      </c>
      <c r="AH258" s="4">
        <v>0.18</v>
      </c>
      <c r="AI258">
        <f t="shared" ref="AI258:AI321" si="28">ROUND(AG258+(AG258*AH258),2)</f>
        <v>5731.97</v>
      </c>
      <c r="AJ258" s="4">
        <v>0.2</v>
      </c>
      <c r="AK258">
        <f t="shared" ref="AK258:AK321" si="29">ROUND(AI258*AJ258,2)</f>
        <v>1146.39</v>
      </c>
      <c r="AL258">
        <f t="shared" ref="AL258:AL321" si="30">AI258+AK258</f>
        <v>6878.36</v>
      </c>
      <c r="AM258">
        <f t="shared" ref="AM258:AM321" si="31">AE258-AL258</f>
        <v>-6878.36</v>
      </c>
      <c r="AN258" s="4" t="e">
        <f t="shared" ref="AN258:AN321" si="32">AM258/AE258</f>
        <v>#DIV/0!</v>
      </c>
      <c r="AO258" t="s">
        <v>221</v>
      </c>
      <c r="AQ258" t="s">
        <v>217</v>
      </c>
      <c r="AS258" t="s">
        <v>393</v>
      </c>
    </row>
    <row r="259" ht="15.75" customHeight="1" spans="1:45">
      <c r="A259" t="s">
        <v>390</v>
      </c>
      <c r="B259" t="s">
        <v>83</v>
      </c>
      <c r="C259" t="s">
        <v>47</v>
      </c>
      <c r="D259" t="s">
        <v>58</v>
      </c>
      <c r="E259" t="s">
        <v>356</v>
      </c>
      <c r="F259" t="s">
        <v>391</v>
      </c>
      <c r="H259" t="s">
        <v>217</v>
      </c>
      <c r="I259" t="s">
        <v>246</v>
      </c>
      <c r="Q259" t="s">
        <v>57</v>
      </c>
      <c r="Y259" t="s">
        <v>398</v>
      </c>
      <c r="Z259">
        <v>3506</v>
      </c>
      <c r="AE259">
        <v>0</v>
      </c>
      <c r="AF259" s="4">
        <v>0</v>
      </c>
      <c r="AG259">
        <v>13822.08</v>
      </c>
      <c r="AH259" s="4">
        <v>0.18</v>
      </c>
      <c r="AI259">
        <f t="shared" si="28"/>
        <v>16310.05</v>
      </c>
      <c r="AJ259" s="4">
        <v>0.2</v>
      </c>
      <c r="AK259">
        <f t="shared" si="29"/>
        <v>3262.01</v>
      </c>
      <c r="AL259">
        <f t="shared" si="30"/>
        <v>19572.06</v>
      </c>
      <c r="AM259">
        <f t="shared" si="31"/>
        <v>-19572.06</v>
      </c>
      <c r="AN259" s="4" t="e">
        <f t="shared" si="32"/>
        <v>#DIV/0!</v>
      </c>
      <c r="AO259" t="s">
        <v>221</v>
      </c>
      <c r="AQ259" t="s">
        <v>217</v>
      </c>
      <c r="AS259" t="s">
        <v>393</v>
      </c>
    </row>
    <row r="260" ht="15.75" customHeight="1" spans="1:45">
      <c r="A260" s="10" t="s">
        <v>399</v>
      </c>
      <c r="B260" s="10" t="s">
        <v>46</v>
      </c>
      <c r="C260" s="10" t="s">
        <v>47</v>
      </c>
      <c r="D260" s="10" t="s">
        <v>58</v>
      </c>
      <c r="E260" s="10" t="s">
        <v>356</v>
      </c>
      <c r="F260" s="10" t="s">
        <v>400</v>
      </c>
      <c r="G260" s="10"/>
      <c r="H260" s="10" t="s">
        <v>217</v>
      </c>
      <c r="I260" s="10" t="s">
        <v>228</v>
      </c>
      <c r="J260" s="10"/>
      <c r="K260" s="10"/>
      <c r="L260" s="10"/>
      <c r="M260" s="10"/>
      <c r="N260" s="10"/>
      <c r="O260" s="10"/>
      <c r="P260" s="10"/>
      <c r="Q260" s="10" t="s">
        <v>57</v>
      </c>
      <c r="R260" s="10"/>
      <c r="S260" s="10"/>
      <c r="T260" s="10"/>
      <c r="U260" s="10"/>
      <c r="V260" s="10"/>
      <c r="W260" s="10"/>
      <c r="X260" s="10"/>
      <c r="Y260" s="10" t="s">
        <v>401</v>
      </c>
      <c r="Z260" s="10">
        <v>35069190</v>
      </c>
      <c r="AA260" s="10"/>
      <c r="AB260" s="10"/>
      <c r="AC260" s="10"/>
      <c r="AD260" s="10"/>
      <c r="AE260" s="10">
        <v>0</v>
      </c>
      <c r="AF260" s="11">
        <v>0</v>
      </c>
      <c r="AG260" s="10">
        <f>ROUND(AE260-(AE260*AF260),2)</f>
        <v>0</v>
      </c>
      <c r="AH260" s="11">
        <v>0.18</v>
      </c>
      <c r="AI260" s="10">
        <f t="shared" si="28"/>
        <v>0</v>
      </c>
      <c r="AJ260" s="11">
        <v>0.2</v>
      </c>
      <c r="AK260" s="10">
        <f t="shared" si="29"/>
        <v>0</v>
      </c>
      <c r="AL260" s="10">
        <f t="shared" si="30"/>
        <v>0</v>
      </c>
      <c r="AM260" s="10">
        <f t="shared" si="31"/>
        <v>0</v>
      </c>
      <c r="AN260" s="11" t="e">
        <f t="shared" si="32"/>
        <v>#DIV/0!</v>
      </c>
      <c r="AO260" s="10" t="s">
        <v>221</v>
      </c>
      <c r="AP260" s="10"/>
      <c r="AQ260" s="10" t="s">
        <v>217</v>
      </c>
      <c r="AR260" s="10"/>
      <c r="AS260" s="10" t="s">
        <v>402</v>
      </c>
    </row>
    <row r="261" ht="15.75" customHeight="1" spans="1:45">
      <c r="A261" t="s">
        <v>399</v>
      </c>
      <c r="B261" t="s">
        <v>67</v>
      </c>
      <c r="C261" t="s">
        <v>47</v>
      </c>
      <c r="D261" t="s">
        <v>58</v>
      </c>
      <c r="E261" t="s">
        <v>356</v>
      </c>
      <c r="F261" t="s">
        <v>400</v>
      </c>
      <c r="H261" t="s">
        <v>217</v>
      </c>
      <c r="I261" t="s">
        <v>231</v>
      </c>
      <c r="Q261" t="s">
        <v>57</v>
      </c>
      <c r="Y261" t="s">
        <v>403</v>
      </c>
      <c r="Z261">
        <v>35069190</v>
      </c>
      <c r="AE261">
        <v>0</v>
      </c>
      <c r="AF261" s="4">
        <v>0</v>
      </c>
      <c r="AG261">
        <v>52.8</v>
      </c>
      <c r="AH261" s="4">
        <v>0.18</v>
      </c>
      <c r="AI261">
        <f t="shared" si="28"/>
        <v>62.3</v>
      </c>
      <c r="AJ261" s="4">
        <v>0.2</v>
      </c>
      <c r="AK261">
        <f t="shared" si="29"/>
        <v>12.46</v>
      </c>
      <c r="AL261">
        <f t="shared" si="30"/>
        <v>74.76</v>
      </c>
      <c r="AM261">
        <f t="shared" si="31"/>
        <v>-74.76</v>
      </c>
      <c r="AN261" s="4" t="e">
        <f t="shared" si="32"/>
        <v>#DIV/0!</v>
      </c>
      <c r="AO261" t="s">
        <v>221</v>
      </c>
      <c r="AQ261" t="s">
        <v>217</v>
      </c>
      <c r="AS261" t="s">
        <v>402</v>
      </c>
    </row>
    <row r="262" ht="15.75" customHeight="1" spans="1:45">
      <c r="A262" t="s">
        <v>399</v>
      </c>
      <c r="B262" t="s">
        <v>71</v>
      </c>
      <c r="C262" t="s">
        <v>47</v>
      </c>
      <c r="D262" t="s">
        <v>58</v>
      </c>
      <c r="E262" t="s">
        <v>356</v>
      </c>
      <c r="F262" t="s">
        <v>400</v>
      </c>
      <c r="H262" t="s">
        <v>217</v>
      </c>
      <c r="I262" t="s">
        <v>234</v>
      </c>
      <c r="Q262" t="s">
        <v>57</v>
      </c>
      <c r="Y262" t="s">
        <v>404</v>
      </c>
      <c r="Z262">
        <v>35069190</v>
      </c>
      <c r="AE262">
        <v>0</v>
      </c>
      <c r="AF262" s="4">
        <v>0</v>
      </c>
      <c r="AG262">
        <v>97.92</v>
      </c>
      <c r="AH262" s="4">
        <v>0.18</v>
      </c>
      <c r="AI262">
        <f t="shared" si="28"/>
        <v>115.55</v>
      </c>
      <c r="AJ262" s="4">
        <v>0.2</v>
      </c>
      <c r="AK262">
        <f t="shared" si="29"/>
        <v>23.11</v>
      </c>
      <c r="AL262">
        <f t="shared" si="30"/>
        <v>138.66</v>
      </c>
      <c r="AM262">
        <f t="shared" si="31"/>
        <v>-138.66</v>
      </c>
      <c r="AN262" s="4" t="e">
        <f t="shared" si="32"/>
        <v>#DIV/0!</v>
      </c>
      <c r="AO262" t="s">
        <v>221</v>
      </c>
      <c r="AQ262" t="s">
        <v>217</v>
      </c>
      <c r="AS262" t="s">
        <v>402</v>
      </c>
    </row>
    <row r="263" ht="15.75" customHeight="1" spans="1:45">
      <c r="A263" t="s">
        <v>399</v>
      </c>
      <c r="B263" t="s">
        <v>75</v>
      </c>
      <c r="C263" t="s">
        <v>47</v>
      </c>
      <c r="D263" t="s">
        <v>58</v>
      </c>
      <c r="E263" t="s">
        <v>356</v>
      </c>
      <c r="F263" t="s">
        <v>400</v>
      </c>
      <c r="H263" t="s">
        <v>217</v>
      </c>
      <c r="I263" t="s">
        <v>236</v>
      </c>
      <c r="Q263" t="s">
        <v>57</v>
      </c>
      <c r="Y263" t="s">
        <v>405</v>
      </c>
      <c r="Z263">
        <v>35069190</v>
      </c>
      <c r="AE263">
        <v>0</v>
      </c>
      <c r="AF263" s="4">
        <v>0</v>
      </c>
      <c r="AG263">
        <v>192</v>
      </c>
      <c r="AH263" s="4">
        <v>0.18</v>
      </c>
      <c r="AI263">
        <f t="shared" si="28"/>
        <v>226.56</v>
      </c>
      <c r="AJ263" s="4">
        <v>0.2</v>
      </c>
      <c r="AK263">
        <f t="shared" si="29"/>
        <v>45.31</v>
      </c>
      <c r="AL263">
        <f t="shared" si="30"/>
        <v>271.87</v>
      </c>
      <c r="AM263">
        <f t="shared" si="31"/>
        <v>-271.87</v>
      </c>
      <c r="AN263" s="4" t="e">
        <f t="shared" si="32"/>
        <v>#DIV/0!</v>
      </c>
      <c r="AO263" t="s">
        <v>221</v>
      </c>
      <c r="AQ263" t="s">
        <v>217</v>
      </c>
      <c r="AS263" t="s">
        <v>402</v>
      </c>
    </row>
    <row r="264" ht="15.75" customHeight="1" spans="1:45">
      <c r="A264" t="s">
        <v>399</v>
      </c>
      <c r="B264" t="s">
        <v>79</v>
      </c>
      <c r="C264" t="s">
        <v>47</v>
      </c>
      <c r="D264" t="s">
        <v>58</v>
      </c>
      <c r="E264" t="s">
        <v>356</v>
      </c>
      <c r="F264" t="s">
        <v>400</v>
      </c>
      <c r="H264" t="s">
        <v>217</v>
      </c>
      <c r="I264" t="s">
        <v>238</v>
      </c>
      <c r="Q264" t="s">
        <v>57</v>
      </c>
      <c r="Y264" t="s">
        <v>406</v>
      </c>
      <c r="Z264">
        <v>35069190</v>
      </c>
      <c r="AE264">
        <v>0</v>
      </c>
      <c r="AF264" s="4">
        <v>0</v>
      </c>
      <c r="AG264">
        <v>470.4</v>
      </c>
      <c r="AH264" s="4">
        <v>0.18</v>
      </c>
      <c r="AI264">
        <f t="shared" si="28"/>
        <v>555.07</v>
      </c>
      <c r="AJ264" s="4">
        <v>0.2</v>
      </c>
      <c r="AK264">
        <f t="shared" si="29"/>
        <v>111.01</v>
      </c>
      <c r="AL264">
        <f t="shared" si="30"/>
        <v>666.08</v>
      </c>
      <c r="AM264">
        <f t="shared" si="31"/>
        <v>-666.08</v>
      </c>
      <c r="AN264" s="4" t="e">
        <f t="shared" si="32"/>
        <v>#DIV/0!</v>
      </c>
      <c r="AO264" t="s">
        <v>221</v>
      </c>
      <c r="AQ264" t="s">
        <v>217</v>
      </c>
      <c r="AS264" t="s">
        <v>402</v>
      </c>
    </row>
    <row r="265" ht="15.75" customHeight="1" spans="1:45">
      <c r="A265" t="s">
        <v>399</v>
      </c>
      <c r="B265" t="s">
        <v>83</v>
      </c>
      <c r="C265" t="s">
        <v>47</v>
      </c>
      <c r="D265" t="s">
        <v>58</v>
      </c>
      <c r="E265" t="s">
        <v>356</v>
      </c>
      <c r="F265" t="s">
        <v>400</v>
      </c>
      <c r="H265" t="s">
        <v>217</v>
      </c>
      <c r="I265" t="s">
        <v>240</v>
      </c>
      <c r="Q265" t="s">
        <v>57</v>
      </c>
      <c r="Y265" t="s">
        <v>407</v>
      </c>
      <c r="Z265">
        <v>35069190</v>
      </c>
      <c r="AE265">
        <v>0</v>
      </c>
      <c r="AF265" s="4">
        <v>0</v>
      </c>
      <c r="AG265">
        <v>921.6</v>
      </c>
      <c r="AH265" s="4">
        <v>0.18</v>
      </c>
      <c r="AI265">
        <f t="shared" si="28"/>
        <v>1087.49</v>
      </c>
      <c r="AJ265" s="4">
        <v>0.2</v>
      </c>
      <c r="AK265">
        <f t="shared" si="29"/>
        <v>217.5</v>
      </c>
      <c r="AL265">
        <f t="shared" si="30"/>
        <v>1304.99</v>
      </c>
      <c r="AM265">
        <f t="shared" si="31"/>
        <v>-1304.99</v>
      </c>
      <c r="AN265" s="4" t="e">
        <f t="shared" si="32"/>
        <v>#DIV/0!</v>
      </c>
      <c r="AO265" t="s">
        <v>221</v>
      </c>
      <c r="AQ265" t="s">
        <v>217</v>
      </c>
      <c r="AS265" t="s">
        <v>402</v>
      </c>
    </row>
    <row r="266" ht="15.75" customHeight="1" spans="1:45">
      <c r="A266" t="s">
        <v>399</v>
      </c>
      <c r="B266" t="s">
        <v>131</v>
      </c>
      <c r="C266" t="s">
        <v>47</v>
      </c>
      <c r="D266" t="s">
        <v>58</v>
      </c>
      <c r="E266" t="s">
        <v>356</v>
      </c>
      <c r="F266" t="s">
        <v>400</v>
      </c>
      <c r="H266" t="s">
        <v>217</v>
      </c>
      <c r="I266" t="s">
        <v>242</v>
      </c>
      <c r="Q266" t="s">
        <v>57</v>
      </c>
      <c r="Y266" t="s">
        <v>408</v>
      </c>
      <c r="Z266">
        <v>35069190</v>
      </c>
      <c r="AE266">
        <v>0</v>
      </c>
      <c r="AF266" s="4">
        <v>0</v>
      </c>
      <c r="AG266">
        <v>1804.8</v>
      </c>
      <c r="AH266" s="4">
        <v>0.18</v>
      </c>
      <c r="AI266">
        <f t="shared" si="28"/>
        <v>2129.66</v>
      </c>
      <c r="AJ266" s="4">
        <v>0.2</v>
      </c>
      <c r="AK266">
        <f t="shared" si="29"/>
        <v>425.93</v>
      </c>
      <c r="AL266">
        <f t="shared" si="30"/>
        <v>2555.59</v>
      </c>
      <c r="AM266">
        <f t="shared" si="31"/>
        <v>-2555.59</v>
      </c>
      <c r="AN266" s="4" t="e">
        <f t="shared" si="32"/>
        <v>#DIV/0!</v>
      </c>
      <c r="AO266" t="s">
        <v>221</v>
      </c>
      <c r="AQ266" t="s">
        <v>217</v>
      </c>
      <c r="AS266" t="s">
        <v>402</v>
      </c>
    </row>
    <row r="267" ht="15.75" customHeight="1" spans="1:45">
      <c r="A267" t="s">
        <v>399</v>
      </c>
      <c r="B267" t="s">
        <v>133</v>
      </c>
      <c r="C267" t="s">
        <v>47</v>
      </c>
      <c r="D267" t="s">
        <v>58</v>
      </c>
      <c r="E267" t="s">
        <v>356</v>
      </c>
      <c r="F267" t="s">
        <v>400</v>
      </c>
      <c r="H267" t="s">
        <v>217</v>
      </c>
      <c r="I267" t="s">
        <v>246</v>
      </c>
      <c r="Q267" t="s">
        <v>57</v>
      </c>
      <c r="Y267" t="s">
        <v>409</v>
      </c>
      <c r="Z267">
        <v>35069190</v>
      </c>
      <c r="AE267">
        <v>0</v>
      </c>
      <c r="AF267" s="4">
        <v>0</v>
      </c>
      <c r="AG267">
        <v>4368</v>
      </c>
      <c r="AH267" s="4">
        <v>0.18</v>
      </c>
      <c r="AI267">
        <f t="shared" si="28"/>
        <v>5154.24</v>
      </c>
      <c r="AJ267" s="4">
        <v>0.2</v>
      </c>
      <c r="AK267">
        <f t="shared" si="29"/>
        <v>1030.85</v>
      </c>
      <c r="AL267">
        <f t="shared" si="30"/>
        <v>6185.09</v>
      </c>
      <c r="AM267">
        <f t="shared" si="31"/>
        <v>-6185.09</v>
      </c>
      <c r="AN267" s="4" t="e">
        <f t="shared" si="32"/>
        <v>#DIV/0!</v>
      </c>
      <c r="AO267" t="s">
        <v>221</v>
      </c>
      <c r="AQ267" t="s">
        <v>217</v>
      </c>
      <c r="AS267" t="s">
        <v>402</v>
      </c>
    </row>
    <row r="268" ht="15.75" customHeight="1" spans="1:45">
      <c r="A268" t="s">
        <v>410</v>
      </c>
      <c r="B268" t="s">
        <v>46</v>
      </c>
      <c r="C268" t="s">
        <v>47</v>
      </c>
      <c r="D268" t="s">
        <v>58</v>
      </c>
      <c r="E268" t="s">
        <v>356</v>
      </c>
      <c r="F268" t="s">
        <v>411</v>
      </c>
      <c r="H268" t="s">
        <v>319</v>
      </c>
      <c r="I268" t="s">
        <v>412</v>
      </c>
      <c r="Q268" t="s">
        <v>57</v>
      </c>
      <c r="Y268" t="s">
        <v>413</v>
      </c>
      <c r="Z268" t="s">
        <v>414</v>
      </c>
      <c r="AE268">
        <v>0</v>
      </c>
      <c r="AF268" s="4">
        <v>0</v>
      </c>
      <c r="AG268">
        <v>53.76</v>
      </c>
      <c r="AH268" s="4">
        <v>0.18</v>
      </c>
      <c r="AI268">
        <f t="shared" si="28"/>
        <v>63.44</v>
      </c>
      <c r="AJ268" s="4">
        <v>0.2</v>
      </c>
      <c r="AK268">
        <f t="shared" si="29"/>
        <v>12.69</v>
      </c>
      <c r="AL268">
        <f t="shared" si="30"/>
        <v>76.13</v>
      </c>
      <c r="AM268">
        <f t="shared" si="31"/>
        <v>-76.13</v>
      </c>
      <c r="AN268" s="4" t="e">
        <f t="shared" si="32"/>
        <v>#DIV/0!</v>
      </c>
      <c r="AO268" t="s">
        <v>221</v>
      </c>
      <c r="AQ268" t="s">
        <v>217</v>
      </c>
      <c r="AS268" t="s">
        <v>415</v>
      </c>
    </row>
    <row r="269" ht="15.75" customHeight="1" spans="1:45">
      <c r="A269" t="s">
        <v>410</v>
      </c>
      <c r="B269" t="s">
        <v>67</v>
      </c>
      <c r="C269" t="s">
        <v>47</v>
      </c>
      <c r="D269" t="s">
        <v>58</v>
      </c>
      <c r="E269" t="s">
        <v>356</v>
      </c>
      <c r="F269" t="s">
        <v>411</v>
      </c>
      <c r="H269" t="s">
        <v>319</v>
      </c>
      <c r="I269" t="s">
        <v>416</v>
      </c>
      <c r="Q269" t="s">
        <v>57</v>
      </c>
      <c r="Y269" t="s">
        <v>417</v>
      </c>
      <c r="Z269" t="s">
        <v>414</v>
      </c>
      <c r="AE269">
        <v>0</v>
      </c>
      <c r="AF269" s="4">
        <v>0</v>
      </c>
      <c r="AG269">
        <v>97.92</v>
      </c>
      <c r="AH269" s="4">
        <v>0.18</v>
      </c>
      <c r="AI269">
        <f t="shared" si="28"/>
        <v>115.55</v>
      </c>
      <c r="AJ269" s="4">
        <v>0.2</v>
      </c>
      <c r="AK269">
        <f t="shared" si="29"/>
        <v>23.11</v>
      </c>
      <c r="AL269">
        <f t="shared" si="30"/>
        <v>138.66</v>
      </c>
      <c r="AM269">
        <f t="shared" si="31"/>
        <v>-138.66</v>
      </c>
      <c r="AN269" s="4" t="e">
        <f t="shared" si="32"/>
        <v>#DIV/0!</v>
      </c>
      <c r="AO269" t="s">
        <v>221</v>
      </c>
      <c r="AQ269" t="s">
        <v>217</v>
      </c>
      <c r="AS269" t="s">
        <v>415</v>
      </c>
    </row>
    <row r="270" ht="15.75" customHeight="1" spans="1:45">
      <c r="A270" t="s">
        <v>410</v>
      </c>
      <c r="B270" t="s">
        <v>71</v>
      </c>
      <c r="C270" t="s">
        <v>47</v>
      </c>
      <c r="D270" t="s">
        <v>58</v>
      </c>
      <c r="E270" t="s">
        <v>356</v>
      </c>
      <c r="F270" t="s">
        <v>411</v>
      </c>
      <c r="H270" t="s">
        <v>319</v>
      </c>
      <c r="I270" t="s">
        <v>418</v>
      </c>
      <c r="Q270" t="s">
        <v>57</v>
      </c>
      <c r="Y270" t="s">
        <v>419</v>
      </c>
      <c r="Z270" t="s">
        <v>414</v>
      </c>
      <c r="AE270">
        <v>0</v>
      </c>
      <c r="AF270" s="4">
        <v>0</v>
      </c>
      <c r="AG270">
        <v>210.24</v>
      </c>
      <c r="AH270" s="4">
        <v>0.18</v>
      </c>
      <c r="AI270">
        <f t="shared" si="28"/>
        <v>248.08</v>
      </c>
      <c r="AJ270" s="4">
        <v>0.2</v>
      </c>
      <c r="AK270">
        <f t="shared" si="29"/>
        <v>49.62</v>
      </c>
      <c r="AL270">
        <f t="shared" si="30"/>
        <v>297.7</v>
      </c>
      <c r="AM270">
        <f t="shared" si="31"/>
        <v>-297.7</v>
      </c>
      <c r="AN270" s="4" t="e">
        <f t="shared" si="32"/>
        <v>#DIV/0!</v>
      </c>
      <c r="AO270" t="s">
        <v>221</v>
      </c>
      <c r="AQ270" t="s">
        <v>217</v>
      </c>
      <c r="AS270" t="s">
        <v>415</v>
      </c>
    </row>
    <row r="271" ht="15.75" customHeight="1" spans="1:45">
      <c r="A271" t="s">
        <v>410</v>
      </c>
      <c r="B271" t="s">
        <v>75</v>
      </c>
      <c r="C271" t="s">
        <v>47</v>
      </c>
      <c r="D271" t="s">
        <v>58</v>
      </c>
      <c r="E271" t="s">
        <v>356</v>
      </c>
      <c r="F271" t="s">
        <v>411</v>
      </c>
      <c r="H271" t="s">
        <v>319</v>
      </c>
      <c r="I271" t="s">
        <v>420</v>
      </c>
      <c r="Q271" t="s">
        <v>57</v>
      </c>
      <c r="Y271" t="s">
        <v>421</v>
      </c>
      <c r="Z271" t="s">
        <v>414</v>
      </c>
      <c r="AE271">
        <v>0</v>
      </c>
      <c r="AF271" s="4">
        <v>0</v>
      </c>
      <c r="AG271">
        <v>407.04</v>
      </c>
      <c r="AH271" s="4">
        <v>0.18</v>
      </c>
      <c r="AI271">
        <f t="shared" si="28"/>
        <v>480.31</v>
      </c>
      <c r="AJ271" s="4">
        <v>0.2</v>
      </c>
      <c r="AK271">
        <f t="shared" si="29"/>
        <v>96.06</v>
      </c>
      <c r="AL271">
        <f t="shared" si="30"/>
        <v>576.37</v>
      </c>
      <c r="AM271">
        <f t="shared" si="31"/>
        <v>-576.37</v>
      </c>
      <c r="AN271" s="4" t="e">
        <f t="shared" si="32"/>
        <v>#DIV/0!</v>
      </c>
      <c r="AO271" t="s">
        <v>221</v>
      </c>
      <c r="AQ271" t="s">
        <v>217</v>
      </c>
      <c r="AS271" t="s">
        <v>415</v>
      </c>
    </row>
    <row r="272" ht="15.75" customHeight="1" spans="1:45">
      <c r="A272" t="s">
        <v>410</v>
      </c>
      <c r="B272" t="s">
        <v>79</v>
      </c>
      <c r="C272" t="s">
        <v>47</v>
      </c>
      <c r="D272" t="s">
        <v>58</v>
      </c>
      <c r="E272" t="s">
        <v>356</v>
      </c>
      <c r="F272" t="s">
        <v>411</v>
      </c>
      <c r="H272" t="s">
        <v>319</v>
      </c>
      <c r="I272" t="s">
        <v>422</v>
      </c>
      <c r="Q272" t="s">
        <v>57</v>
      </c>
      <c r="Y272" t="s">
        <v>423</v>
      </c>
      <c r="Z272" t="s">
        <v>414</v>
      </c>
      <c r="AE272">
        <v>0</v>
      </c>
      <c r="AF272" s="4">
        <v>0</v>
      </c>
      <c r="AG272">
        <v>788.16</v>
      </c>
      <c r="AH272" s="4">
        <v>0.18</v>
      </c>
      <c r="AI272">
        <f t="shared" si="28"/>
        <v>930.03</v>
      </c>
      <c r="AJ272" s="4">
        <v>0.2</v>
      </c>
      <c r="AK272">
        <f t="shared" si="29"/>
        <v>186.01</v>
      </c>
      <c r="AL272">
        <f t="shared" si="30"/>
        <v>1116.04</v>
      </c>
      <c r="AM272">
        <f t="shared" si="31"/>
        <v>-1116.04</v>
      </c>
      <c r="AN272" s="4" t="e">
        <f t="shared" si="32"/>
        <v>#DIV/0!</v>
      </c>
      <c r="AO272" t="s">
        <v>221</v>
      </c>
      <c r="AQ272" t="s">
        <v>217</v>
      </c>
      <c r="AS272" t="s">
        <v>415</v>
      </c>
    </row>
    <row r="273" ht="15.75" customHeight="1" spans="1:46">
      <c r="A273" t="s">
        <v>410</v>
      </c>
      <c r="B273" t="s">
        <v>83</v>
      </c>
      <c r="C273" t="s">
        <v>47</v>
      </c>
      <c r="D273" t="s">
        <v>58</v>
      </c>
      <c r="E273" t="s">
        <v>356</v>
      </c>
      <c r="F273" t="s">
        <v>411</v>
      </c>
      <c r="H273" t="s">
        <v>319</v>
      </c>
      <c r="I273" t="s">
        <v>424</v>
      </c>
      <c r="Q273" t="s">
        <v>57</v>
      </c>
      <c r="Y273" t="s">
        <v>425</v>
      </c>
      <c r="Z273" t="s">
        <v>414</v>
      </c>
      <c r="AE273">
        <v>0</v>
      </c>
      <c r="AF273" s="4">
        <v>0</v>
      </c>
      <c r="AG273">
        <v>1879.68</v>
      </c>
      <c r="AH273" s="4">
        <v>0.18</v>
      </c>
      <c r="AI273">
        <f t="shared" si="28"/>
        <v>2218.02</v>
      </c>
      <c r="AJ273" s="4">
        <v>0.2</v>
      </c>
      <c r="AK273">
        <f t="shared" si="29"/>
        <v>443.6</v>
      </c>
      <c r="AL273">
        <f t="shared" si="30"/>
        <v>2661.62</v>
      </c>
      <c r="AM273">
        <f t="shared" si="31"/>
        <v>-2661.62</v>
      </c>
      <c r="AN273" s="4" t="e">
        <f t="shared" si="32"/>
        <v>#DIV/0!</v>
      </c>
      <c r="AO273" t="s">
        <v>221</v>
      </c>
      <c r="AQ273" t="s">
        <v>217</v>
      </c>
      <c r="AS273" t="s">
        <v>415</v>
      </c>
    </row>
    <row r="274" ht="15.75" customHeight="1" spans="1:46">
      <c r="A274" t="s">
        <v>426</v>
      </c>
      <c r="B274" t="s">
        <v>46</v>
      </c>
      <c r="C274" t="s">
        <v>47</v>
      </c>
      <c r="D274" t="s">
        <v>58</v>
      </c>
      <c r="E274" t="s">
        <v>356</v>
      </c>
      <c r="F274" t="s">
        <v>427</v>
      </c>
      <c r="H274" t="s">
        <v>319</v>
      </c>
      <c r="I274" t="s">
        <v>418</v>
      </c>
      <c r="Q274" t="s">
        <v>57</v>
      </c>
      <c r="Y274" t="s">
        <v>428</v>
      </c>
      <c r="Z274">
        <v>3506</v>
      </c>
      <c r="AE274">
        <v>0</v>
      </c>
      <c r="AF274" s="4">
        <v>0</v>
      </c>
      <c r="AG274">
        <v>175.68</v>
      </c>
      <c r="AH274" s="4">
        <v>0.18</v>
      </c>
      <c r="AI274">
        <f t="shared" si="28"/>
        <v>207.3</v>
      </c>
      <c r="AJ274" s="4">
        <v>0.2</v>
      </c>
      <c r="AK274">
        <f t="shared" si="29"/>
        <v>41.46</v>
      </c>
      <c r="AL274">
        <f t="shared" si="30"/>
        <v>248.76</v>
      </c>
      <c r="AM274">
        <f t="shared" si="31"/>
        <v>-248.76</v>
      </c>
      <c r="AN274" s="4" t="e">
        <f t="shared" si="32"/>
        <v>#DIV/0!</v>
      </c>
      <c r="AO274" t="s">
        <v>221</v>
      </c>
      <c r="AQ274" t="s">
        <v>217</v>
      </c>
      <c r="AS274" t="s">
        <v>429</v>
      </c>
    </row>
    <row r="275" ht="15.75" customHeight="1" spans="1:46">
      <c r="A275" t="s">
        <v>426</v>
      </c>
      <c r="B275" t="s">
        <v>67</v>
      </c>
      <c r="C275" t="s">
        <v>47</v>
      </c>
      <c r="D275" t="s">
        <v>58</v>
      </c>
      <c r="E275" t="s">
        <v>356</v>
      </c>
      <c r="F275" t="s">
        <v>427</v>
      </c>
      <c r="H275" t="s">
        <v>319</v>
      </c>
      <c r="I275" t="s">
        <v>234</v>
      </c>
      <c r="Q275" t="s">
        <v>57</v>
      </c>
      <c r="Y275" t="s">
        <v>430</v>
      </c>
      <c r="Z275">
        <v>3506</v>
      </c>
      <c r="AE275">
        <v>0</v>
      </c>
      <c r="AF275" s="4">
        <v>0</v>
      </c>
      <c r="AG275">
        <v>320.64</v>
      </c>
      <c r="AH275" s="4">
        <v>0.18</v>
      </c>
      <c r="AI275">
        <f t="shared" si="28"/>
        <v>378.36</v>
      </c>
      <c r="AJ275" s="4">
        <v>0.2</v>
      </c>
      <c r="AK275">
        <f t="shared" si="29"/>
        <v>75.67</v>
      </c>
      <c r="AL275">
        <f t="shared" si="30"/>
        <v>454.03</v>
      </c>
      <c r="AM275">
        <f t="shared" si="31"/>
        <v>-454.03</v>
      </c>
      <c r="AN275" s="4" t="e">
        <f t="shared" si="32"/>
        <v>#DIV/0!</v>
      </c>
      <c r="AO275" t="s">
        <v>221</v>
      </c>
      <c r="AQ275" t="s">
        <v>217</v>
      </c>
      <c r="AS275" t="s">
        <v>429</v>
      </c>
    </row>
    <row r="276" ht="15.75" customHeight="1" spans="1:46">
      <c r="A276" t="s">
        <v>426</v>
      </c>
      <c r="B276" t="s">
        <v>71</v>
      </c>
      <c r="C276" t="s">
        <v>47</v>
      </c>
      <c r="D276" t="s">
        <v>58</v>
      </c>
      <c r="E276" t="s">
        <v>356</v>
      </c>
      <c r="F276" t="s">
        <v>427</v>
      </c>
      <c r="H276" t="s">
        <v>319</v>
      </c>
      <c r="I276" t="s">
        <v>238</v>
      </c>
      <c r="Q276" t="s">
        <v>57</v>
      </c>
      <c r="Y276" t="s">
        <v>431</v>
      </c>
      <c r="Z276">
        <v>3506</v>
      </c>
      <c r="AE276">
        <v>0</v>
      </c>
      <c r="AF276" s="4">
        <v>0</v>
      </c>
      <c r="AG276">
        <v>1492.8</v>
      </c>
      <c r="AH276" s="4">
        <v>0.18</v>
      </c>
      <c r="AI276">
        <f t="shared" si="28"/>
        <v>1761.5</v>
      </c>
      <c r="AJ276" s="4">
        <v>0.2</v>
      </c>
      <c r="AK276">
        <f t="shared" si="29"/>
        <v>352.3</v>
      </c>
      <c r="AL276">
        <f t="shared" si="30"/>
        <v>2113.8</v>
      </c>
      <c r="AM276">
        <f t="shared" si="31"/>
        <v>-2113.8</v>
      </c>
      <c r="AN276" s="4" t="e">
        <f t="shared" si="32"/>
        <v>#DIV/0!</v>
      </c>
      <c r="AO276" t="s">
        <v>221</v>
      </c>
      <c r="AQ276" t="s">
        <v>217</v>
      </c>
      <c r="AS276" t="s">
        <v>429</v>
      </c>
    </row>
    <row r="277" ht="15.75" customHeight="1" spans="1:46">
      <c r="A277" t="s">
        <v>426</v>
      </c>
      <c r="B277" t="s">
        <v>75</v>
      </c>
      <c r="C277" t="s">
        <v>47</v>
      </c>
      <c r="D277" t="s">
        <v>58</v>
      </c>
      <c r="E277" t="s">
        <v>356</v>
      </c>
      <c r="F277" t="s">
        <v>427</v>
      </c>
      <c r="H277" t="s">
        <v>319</v>
      </c>
      <c r="I277" t="s">
        <v>240</v>
      </c>
      <c r="Q277" t="s">
        <v>57</v>
      </c>
      <c r="Y277" t="s">
        <v>432</v>
      </c>
      <c r="Z277">
        <v>3506</v>
      </c>
      <c r="AE277">
        <v>0</v>
      </c>
      <c r="AF277" s="4">
        <v>0</v>
      </c>
      <c r="AG277">
        <v>2852.16</v>
      </c>
      <c r="AH277" s="4">
        <v>0.18</v>
      </c>
      <c r="AI277">
        <f t="shared" si="28"/>
        <v>3365.55</v>
      </c>
      <c r="AJ277" s="4">
        <v>0.2</v>
      </c>
      <c r="AK277">
        <f t="shared" si="29"/>
        <v>673.11</v>
      </c>
      <c r="AL277">
        <f t="shared" si="30"/>
        <v>4038.66</v>
      </c>
      <c r="AM277">
        <f t="shared" si="31"/>
        <v>-4038.66</v>
      </c>
      <c r="AN277" s="4" t="e">
        <f t="shared" si="32"/>
        <v>#DIV/0!</v>
      </c>
      <c r="AO277" t="s">
        <v>221</v>
      </c>
      <c r="AQ277" t="s">
        <v>217</v>
      </c>
      <c r="AS277" t="s">
        <v>429</v>
      </c>
    </row>
    <row r="278" ht="15.75" customHeight="1" spans="1:46">
      <c r="A278" t="s">
        <v>426</v>
      </c>
      <c r="B278" t="s">
        <v>79</v>
      </c>
      <c r="C278" t="s">
        <v>47</v>
      </c>
      <c r="D278" t="s">
        <v>58</v>
      </c>
      <c r="E278" t="s">
        <v>356</v>
      </c>
      <c r="F278" t="s">
        <v>427</v>
      </c>
      <c r="H278" t="s">
        <v>319</v>
      </c>
      <c r="I278" t="s">
        <v>242</v>
      </c>
      <c r="Q278" t="s">
        <v>57</v>
      </c>
      <c r="Y278" t="s">
        <v>433</v>
      </c>
      <c r="Z278">
        <v>3506</v>
      </c>
      <c r="AE278">
        <v>0</v>
      </c>
      <c r="AF278" s="4">
        <v>0</v>
      </c>
      <c r="AG278">
        <v>5427.84</v>
      </c>
      <c r="AH278" s="4">
        <v>0.18</v>
      </c>
      <c r="AI278">
        <f t="shared" si="28"/>
        <v>6404.85</v>
      </c>
      <c r="AJ278" s="4">
        <v>0.2</v>
      </c>
      <c r="AK278">
        <f t="shared" si="29"/>
        <v>1280.97</v>
      </c>
      <c r="AL278">
        <f t="shared" si="30"/>
        <v>7685.82</v>
      </c>
      <c r="AM278">
        <f t="shared" si="31"/>
        <v>-7685.82</v>
      </c>
      <c r="AN278" s="4" t="e">
        <f t="shared" si="32"/>
        <v>#DIV/0!</v>
      </c>
      <c r="AO278" t="s">
        <v>221</v>
      </c>
      <c r="AQ278" t="s">
        <v>217</v>
      </c>
      <c r="AS278" t="s">
        <v>429</v>
      </c>
    </row>
    <row r="279" ht="15.75" customHeight="1" spans="1:46">
      <c r="A279" t="s">
        <v>434</v>
      </c>
      <c r="B279" t="s">
        <v>46</v>
      </c>
      <c r="C279" t="s">
        <v>435</v>
      </c>
      <c r="D279" t="s">
        <v>436</v>
      </c>
      <c r="E279" t="s">
        <v>437</v>
      </c>
      <c r="F279" t="s">
        <v>438</v>
      </c>
      <c r="H279" t="s">
        <v>439</v>
      </c>
      <c r="J279" t="s">
        <v>53</v>
      </c>
      <c r="K279" t="s">
        <v>440</v>
      </c>
      <c r="L279" t="s">
        <v>441</v>
      </c>
      <c r="M279" t="s">
        <v>442</v>
      </c>
      <c r="Q279" t="s">
        <v>57</v>
      </c>
      <c r="R279" s="12">
        <v>9251678</v>
      </c>
      <c r="S279">
        <v>2</v>
      </c>
      <c r="U279">
        <v>0.56</v>
      </c>
      <c r="W279" t="s">
        <v>443</v>
      </c>
      <c r="Y279" t="s">
        <v>444</v>
      </c>
      <c r="Z279" s="12">
        <v>83021010</v>
      </c>
      <c r="AC279">
        <v>1</v>
      </c>
      <c r="AE279">
        <v>710</v>
      </c>
      <c r="AF279" s="4">
        <v>0.4</v>
      </c>
      <c r="AG279">
        <f t="shared" ref="AG279:AG342" si="33">ROUND(AE279-(AE279*AF279),2)</f>
        <v>426</v>
      </c>
      <c r="AH279" s="4">
        <v>0.18</v>
      </c>
      <c r="AI279">
        <f t="shared" si="28"/>
        <v>502.68</v>
      </c>
      <c r="AJ279" s="4">
        <v>0.2</v>
      </c>
      <c r="AK279">
        <f t="shared" si="29"/>
        <v>100.54</v>
      </c>
      <c r="AL279">
        <f t="shared" si="30"/>
        <v>603.22</v>
      </c>
      <c r="AM279">
        <f t="shared" si="31"/>
        <v>106.78</v>
      </c>
      <c r="AN279" s="4">
        <f t="shared" si="32"/>
        <v>0.150394366197183</v>
      </c>
      <c r="AO279" t="s">
        <v>64</v>
      </c>
      <c r="AQ279" t="s">
        <v>217</v>
      </c>
      <c r="AS279" t="s">
        <v>445</v>
      </c>
      <c r="AT279" t="s">
        <v>64</v>
      </c>
    </row>
    <row r="280" ht="15.75" customHeight="1" spans="1:46">
      <c r="A280" t="s">
        <v>434</v>
      </c>
      <c r="B280" t="s">
        <v>67</v>
      </c>
      <c r="C280" t="s">
        <v>435</v>
      </c>
      <c r="D280" t="s">
        <v>436</v>
      </c>
      <c r="E280" t="s">
        <v>437</v>
      </c>
      <c r="F280" t="s">
        <v>438</v>
      </c>
      <c r="H280" t="s">
        <v>439</v>
      </c>
      <c r="I280" t="s">
        <v>446</v>
      </c>
      <c r="J280" t="s">
        <v>53</v>
      </c>
      <c r="K280" t="s">
        <v>447</v>
      </c>
      <c r="L280" t="s">
        <v>441</v>
      </c>
      <c r="M280" t="s">
        <v>448</v>
      </c>
      <c r="Q280" t="s">
        <v>57</v>
      </c>
      <c r="R280" s="12">
        <v>9251650</v>
      </c>
      <c r="S280">
        <v>2</v>
      </c>
      <c r="U280">
        <v>0.56</v>
      </c>
      <c r="Y280" t="s">
        <v>449</v>
      </c>
      <c r="Z280" s="12">
        <v>83021010</v>
      </c>
      <c r="AE280">
        <v>1155</v>
      </c>
      <c r="AF280" s="4">
        <v>0.4</v>
      </c>
      <c r="AG280">
        <f t="shared" si="33"/>
        <v>693</v>
      </c>
      <c r="AH280" s="4">
        <v>0.18</v>
      </c>
      <c r="AI280">
        <f t="shared" si="28"/>
        <v>817.74</v>
      </c>
      <c r="AJ280" s="4">
        <v>0.2</v>
      </c>
      <c r="AK280">
        <f t="shared" si="29"/>
        <v>163.55</v>
      </c>
      <c r="AL280">
        <f t="shared" si="30"/>
        <v>981.29</v>
      </c>
      <c r="AM280">
        <f t="shared" si="31"/>
        <v>173.71</v>
      </c>
      <c r="AN280" s="4">
        <f t="shared" si="32"/>
        <v>0.150398268398268</v>
      </c>
      <c r="AO280" t="s">
        <v>64</v>
      </c>
      <c r="AQ280" t="s">
        <v>217</v>
      </c>
      <c r="AS280" t="s">
        <v>450</v>
      </c>
      <c r="AT280" t="s">
        <v>64</v>
      </c>
    </row>
    <row r="281" ht="15.75" customHeight="1" spans="1:46">
      <c r="A281" t="s">
        <v>434</v>
      </c>
      <c r="B281" t="s">
        <v>71</v>
      </c>
      <c r="C281" t="s">
        <v>435</v>
      </c>
      <c r="D281" t="s">
        <v>436</v>
      </c>
      <c r="E281" t="s">
        <v>437</v>
      </c>
      <c r="F281" t="s">
        <v>438</v>
      </c>
      <c r="H281" t="s">
        <v>439</v>
      </c>
      <c r="I281" t="s">
        <v>446</v>
      </c>
      <c r="J281" t="s">
        <v>53</v>
      </c>
      <c r="K281" t="s">
        <v>451</v>
      </c>
      <c r="L281" t="s">
        <v>441</v>
      </c>
      <c r="M281" t="s">
        <v>448</v>
      </c>
      <c r="Q281" t="s">
        <v>57</v>
      </c>
      <c r="R281" s="12">
        <v>9251658</v>
      </c>
      <c r="S281">
        <v>2</v>
      </c>
      <c r="U281">
        <v>0.56</v>
      </c>
      <c r="Y281" t="s">
        <v>452</v>
      </c>
      <c r="Z281" s="12">
        <v>83021010</v>
      </c>
      <c r="AC281">
        <v>1</v>
      </c>
      <c r="AE281">
        <v>1390</v>
      </c>
      <c r="AF281" s="4">
        <v>0.4</v>
      </c>
      <c r="AG281">
        <f t="shared" si="33"/>
        <v>834</v>
      </c>
      <c r="AH281" s="4">
        <v>0.18</v>
      </c>
      <c r="AI281">
        <f t="shared" si="28"/>
        <v>984.12</v>
      </c>
      <c r="AJ281" s="4">
        <v>0.2</v>
      </c>
      <c r="AK281">
        <f t="shared" si="29"/>
        <v>196.82</v>
      </c>
      <c r="AL281">
        <f t="shared" si="30"/>
        <v>1180.94</v>
      </c>
      <c r="AM281">
        <f t="shared" si="31"/>
        <v>209.06</v>
      </c>
      <c r="AN281" s="4">
        <f t="shared" si="32"/>
        <v>0.150402877697842</v>
      </c>
      <c r="AO281" t="s">
        <v>64</v>
      </c>
      <c r="AQ281" t="s">
        <v>217</v>
      </c>
      <c r="AS281" t="s">
        <v>450</v>
      </c>
      <c r="AT281" t="s">
        <v>64</v>
      </c>
    </row>
    <row r="282" ht="15.75" customHeight="1" spans="1:46">
      <c r="A282" t="s">
        <v>434</v>
      </c>
      <c r="B282" t="s">
        <v>75</v>
      </c>
      <c r="C282" t="s">
        <v>435</v>
      </c>
      <c r="D282" t="s">
        <v>436</v>
      </c>
      <c r="E282" t="s">
        <v>437</v>
      </c>
      <c r="F282" t="s">
        <v>438</v>
      </c>
      <c r="H282" t="s">
        <v>439</v>
      </c>
      <c r="J282" t="s">
        <v>53</v>
      </c>
      <c r="K282" t="s">
        <v>453</v>
      </c>
      <c r="L282" t="s">
        <v>441</v>
      </c>
      <c r="M282" t="s">
        <v>442</v>
      </c>
      <c r="Q282" t="s">
        <v>57</v>
      </c>
      <c r="R282" s="12">
        <v>9251685</v>
      </c>
      <c r="S282">
        <v>2</v>
      </c>
      <c r="U282">
        <v>0.56</v>
      </c>
      <c r="Y282" t="s">
        <v>444</v>
      </c>
      <c r="Z282" s="12">
        <v>83021010</v>
      </c>
      <c r="AE282">
        <v>860</v>
      </c>
      <c r="AF282" s="4">
        <v>0.4</v>
      </c>
      <c r="AG282">
        <f t="shared" si="33"/>
        <v>516</v>
      </c>
      <c r="AH282" s="4">
        <v>0.18</v>
      </c>
      <c r="AI282">
        <f t="shared" si="28"/>
        <v>608.88</v>
      </c>
      <c r="AJ282" s="4">
        <v>0.2</v>
      </c>
      <c r="AK282">
        <f t="shared" si="29"/>
        <v>121.78</v>
      </c>
      <c r="AL282">
        <f t="shared" si="30"/>
        <v>730.66</v>
      </c>
      <c r="AM282">
        <f t="shared" si="31"/>
        <v>129.34</v>
      </c>
      <c r="AN282" s="4">
        <f t="shared" si="32"/>
        <v>0.150395348837209</v>
      </c>
      <c r="AO282" t="s">
        <v>64</v>
      </c>
      <c r="AQ282" t="s">
        <v>217</v>
      </c>
      <c r="AS282" t="s">
        <v>445</v>
      </c>
      <c r="AT282" t="s">
        <v>64</v>
      </c>
    </row>
    <row r="283" ht="15.75" customHeight="1" spans="1:46">
      <c r="A283" t="s">
        <v>454</v>
      </c>
      <c r="B283" t="s">
        <v>46</v>
      </c>
      <c r="C283" t="s">
        <v>435</v>
      </c>
      <c r="D283" t="s">
        <v>436</v>
      </c>
      <c r="E283" t="s">
        <v>437</v>
      </c>
      <c r="F283" t="s">
        <v>455</v>
      </c>
      <c r="H283" t="s">
        <v>456</v>
      </c>
      <c r="I283" t="s">
        <v>457</v>
      </c>
      <c r="J283" t="s">
        <v>458</v>
      </c>
      <c r="K283" t="s">
        <v>459</v>
      </c>
      <c r="L283" t="s">
        <v>443</v>
      </c>
      <c r="M283" t="s">
        <v>460</v>
      </c>
      <c r="Q283" t="s">
        <v>57</v>
      </c>
      <c r="R283">
        <v>9242885</v>
      </c>
      <c r="S283">
        <v>2</v>
      </c>
      <c r="U283">
        <v>0.22</v>
      </c>
      <c r="V283" t="s">
        <v>461</v>
      </c>
      <c r="W283" t="s">
        <v>121</v>
      </c>
      <c r="Y283" t="s">
        <v>462</v>
      </c>
      <c r="Z283" s="12">
        <v>83021090</v>
      </c>
      <c r="AC283">
        <v>1</v>
      </c>
      <c r="AE283">
        <v>1172</v>
      </c>
      <c r="AF283" s="4">
        <v>0.5</v>
      </c>
      <c r="AG283">
        <f t="shared" si="33"/>
        <v>586</v>
      </c>
      <c r="AH283" s="4">
        <v>0.18</v>
      </c>
      <c r="AI283">
        <f t="shared" si="28"/>
        <v>691.48</v>
      </c>
      <c r="AJ283" s="4">
        <v>0.2</v>
      </c>
      <c r="AK283">
        <f t="shared" si="29"/>
        <v>138.3</v>
      </c>
      <c r="AL283">
        <f t="shared" si="30"/>
        <v>829.78</v>
      </c>
      <c r="AM283">
        <f t="shared" si="31"/>
        <v>342.22</v>
      </c>
      <c r="AN283" s="4">
        <f t="shared" si="32"/>
        <v>0.291996587030717</v>
      </c>
      <c r="AO283" t="s">
        <v>221</v>
      </c>
      <c r="AQ283" t="s">
        <v>217</v>
      </c>
      <c r="AS283" t="s">
        <v>463</v>
      </c>
      <c r="AT283" t="s">
        <v>221</v>
      </c>
    </row>
    <row r="284" ht="15.75" customHeight="1" spans="1:46">
      <c r="A284" t="s">
        <v>454</v>
      </c>
      <c r="B284" t="s">
        <v>67</v>
      </c>
      <c r="C284" t="s">
        <v>435</v>
      </c>
      <c r="D284" t="s">
        <v>436</v>
      </c>
      <c r="E284" t="s">
        <v>437</v>
      </c>
      <c r="F284" t="s">
        <v>455</v>
      </c>
      <c r="H284" t="s">
        <v>456</v>
      </c>
      <c r="I284" t="s">
        <v>457</v>
      </c>
      <c r="J284" t="s">
        <v>458</v>
      </c>
      <c r="K284" t="s">
        <v>464</v>
      </c>
      <c r="L284" t="s">
        <v>443</v>
      </c>
      <c r="M284" t="s">
        <v>460</v>
      </c>
      <c r="Q284" t="s">
        <v>57</v>
      </c>
      <c r="R284">
        <v>9242883</v>
      </c>
      <c r="S284">
        <v>2</v>
      </c>
      <c r="U284">
        <v>0.22</v>
      </c>
      <c r="Y284" t="s">
        <v>462</v>
      </c>
      <c r="Z284" s="12">
        <v>83021090</v>
      </c>
      <c r="AC284">
        <v>1</v>
      </c>
      <c r="AE284">
        <v>1161</v>
      </c>
      <c r="AF284" s="4">
        <v>0.5</v>
      </c>
      <c r="AG284">
        <f t="shared" si="33"/>
        <v>580.5</v>
      </c>
      <c r="AH284" s="4">
        <v>0.18</v>
      </c>
      <c r="AI284">
        <f t="shared" si="28"/>
        <v>684.99</v>
      </c>
      <c r="AJ284" s="4">
        <v>0.2</v>
      </c>
      <c r="AK284">
        <f t="shared" si="29"/>
        <v>137</v>
      </c>
      <c r="AL284">
        <f t="shared" si="30"/>
        <v>821.99</v>
      </c>
      <c r="AM284">
        <f t="shared" si="31"/>
        <v>339.01</v>
      </c>
      <c r="AN284" s="4">
        <f t="shared" si="32"/>
        <v>0.291998277347115</v>
      </c>
      <c r="AO284" t="s">
        <v>221</v>
      </c>
      <c r="AQ284" t="s">
        <v>217</v>
      </c>
      <c r="AS284" t="s">
        <v>463</v>
      </c>
      <c r="AT284" t="s">
        <v>221</v>
      </c>
    </row>
    <row r="285" ht="15.75" customHeight="1" spans="1:46">
      <c r="A285" t="s">
        <v>454</v>
      </c>
      <c r="B285" t="s">
        <v>71</v>
      </c>
      <c r="C285" t="s">
        <v>435</v>
      </c>
      <c r="D285" t="s">
        <v>436</v>
      </c>
      <c r="E285" t="s">
        <v>437</v>
      </c>
      <c r="F285" t="s">
        <v>455</v>
      </c>
      <c r="H285" t="s">
        <v>456</v>
      </c>
      <c r="I285" t="s">
        <v>457</v>
      </c>
      <c r="J285" t="s">
        <v>458</v>
      </c>
      <c r="K285" t="s">
        <v>465</v>
      </c>
      <c r="L285" t="s">
        <v>443</v>
      </c>
      <c r="M285" t="s">
        <v>460</v>
      </c>
      <c r="Q285" t="s">
        <v>57</v>
      </c>
      <c r="R285">
        <v>9242878</v>
      </c>
      <c r="S285">
        <v>2</v>
      </c>
      <c r="U285">
        <v>0.22</v>
      </c>
      <c r="Y285" t="s">
        <v>462</v>
      </c>
      <c r="Z285" s="12">
        <v>83021090</v>
      </c>
      <c r="AC285">
        <v>1</v>
      </c>
      <c r="AE285">
        <v>1126</v>
      </c>
      <c r="AF285" s="4">
        <v>0.5</v>
      </c>
      <c r="AG285">
        <f t="shared" si="33"/>
        <v>563</v>
      </c>
      <c r="AH285" s="4">
        <v>0.18</v>
      </c>
      <c r="AI285">
        <f t="shared" si="28"/>
        <v>664.34</v>
      </c>
      <c r="AJ285" s="4">
        <v>0.2</v>
      </c>
      <c r="AK285">
        <f t="shared" si="29"/>
        <v>132.87</v>
      </c>
      <c r="AL285">
        <f t="shared" si="30"/>
        <v>797.21</v>
      </c>
      <c r="AM285">
        <f t="shared" si="31"/>
        <v>328.79</v>
      </c>
      <c r="AN285" s="4">
        <f t="shared" si="32"/>
        <v>0.291998223801066</v>
      </c>
      <c r="AO285" t="s">
        <v>221</v>
      </c>
      <c r="AQ285" t="s">
        <v>217</v>
      </c>
      <c r="AS285" t="s">
        <v>463</v>
      </c>
      <c r="AT285" t="s">
        <v>221</v>
      </c>
    </row>
    <row r="286" ht="15.75" customHeight="1" spans="1:46">
      <c r="A286" t="s">
        <v>466</v>
      </c>
      <c r="B286" t="s">
        <v>46</v>
      </c>
      <c r="C286" t="s">
        <v>435</v>
      </c>
      <c r="D286" t="s">
        <v>436</v>
      </c>
      <c r="E286" t="s">
        <v>437</v>
      </c>
      <c r="F286" t="s">
        <v>467</v>
      </c>
      <c r="H286" t="s">
        <v>456</v>
      </c>
      <c r="I286" t="s">
        <v>457</v>
      </c>
      <c r="J286" t="s">
        <v>458</v>
      </c>
      <c r="K286" t="s">
        <v>459</v>
      </c>
      <c r="L286" t="s">
        <v>443</v>
      </c>
      <c r="M286" t="s">
        <v>468</v>
      </c>
      <c r="Q286" t="s">
        <v>57</v>
      </c>
      <c r="R286">
        <v>9242877</v>
      </c>
      <c r="S286">
        <v>2</v>
      </c>
      <c r="U286">
        <v>0.22</v>
      </c>
      <c r="V286" t="s">
        <v>461</v>
      </c>
      <c r="W286" t="s">
        <v>121</v>
      </c>
      <c r="X286" t="s">
        <v>469</v>
      </c>
      <c r="Y286" t="s">
        <v>470</v>
      </c>
      <c r="Z286" s="12">
        <v>83021090</v>
      </c>
      <c r="AC286">
        <v>1</v>
      </c>
      <c r="AE286">
        <v>411</v>
      </c>
      <c r="AF286" s="4">
        <v>0.5</v>
      </c>
      <c r="AG286">
        <f t="shared" si="33"/>
        <v>205.5</v>
      </c>
      <c r="AH286" s="4">
        <v>0.18</v>
      </c>
      <c r="AI286">
        <f t="shared" si="28"/>
        <v>242.49</v>
      </c>
      <c r="AJ286" s="4">
        <v>0.2</v>
      </c>
      <c r="AK286">
        <f t="shared" si="29"/>
        <v>48.5</v>
      </c>
      <c r="AL286">
        <f t="shared" si="30"/>
        <v>290.99</v>
      </c>
      <c r="AM286">
        <f t="shared" si="31"/>
        <v>120.01</v>
      </c>
      <c r="AN286" s="4">
        <f t="shared" si="32"/>
        <v>0.291995133819951</v>
      </c>
      <c r="AO286" t="s">
        <v>221</v>
      </c>
      <c r="AQ286" t="s">
        <v>217</v>
      </c>
      <c r="AS286" t="s">
        <v>463</v>
      </c>
      <c r="AT286" t="s">
        <v>221</v>
      </c>
    </row>
    <row r="287" ht="15.75" customHeight="1" spans="1:46">
      <c r="A287" t="s">
        <v>466</v>
      </c>
      <c r="B287" t="s">
        <v>67</v>
      </c>
      <c r="C287" t="s">
        <v>435</v>
      </c>
      <c r="D287" t="s">
        <v>436</v>
      </c>
      <c r="E287" t="s">
        <v>437</v>
      </c>
      <c r="F287" t="s">
        <v>467</v>
      </c>
      <c r="H287" t="s">
        <v>456</v>
      </c>
      <c r="I287" t="s">
        <v>457</v>
      </c>
      <c r="J287" t="s">
        <v>458</v>
      </c>
      <c r="K287" t="s">
        <v>471</v>
      </c>
      <c r="L287" t="s">
        <v>443</v>
      </c>
      <c r="M287" t="s">
        <v>468</v>
      </c>
      <c r="Q287" t="s">
        <v>57</v>
      </c>
      <c r="R287">
        <v>9242876</v>
      </c>
      <c r="S287">
        <v>2</v>
      </c>
      <c r="U287">
        <v>0.22</v>
      </c>
      <c r="Y287" t="s">
        <v>470</v>
      </c>
      <c r="Z287" s="12">
        <v>83021090</v>
      </c>
      <c r="AC287">
        <v>1</v>
      </c>
      <c r="AE287">
        <v>373</v>
      </c>
      <c r="AF287" s="4">
        <v>0.5</v>
      </c>
      <c r="AG287">
        <f t="shared" si="33"/>
        <v>186.5</v>
      </c>
      <c r="AH287" s="4">
        <v>0.18</v>
      </c>
      <c r="AI287">
        <f t="shared" si="28"/>
        <v>220.07</v>
      </c>
      <c r="AJ287" s="4">
        <v>0.2</v>
      </c>
      <c r="AK287">
        <f t="shared" si="29"/>
        <v>44.01</v>
      </c>
      <c r="AL287">
        <f t="shared" si="30"/>
        <v>264.08</v>
      </c>
      <c r="AM287">
        <f t="shared" si="31"/>
        <v>108.92</v>
      </c>
      <c r="AN287" s="4">
        <f t="shared" si="32"/>
        <v>0.29201072386059</v>
      </c>
      <c r="AO287" t="s">
        <v>221</v>
      </c>
      <c r="AQ287" t="s">
        <v>217</v>
      </c>
      <c r="AS287" t="s">
        <v>463</v>
      </c>
      <c r="AT287" t="s">
        <v>221</v>
      </c>
    </row>
    <row r="288" ht="15.75" customHeight="1" spans="1:46">
      <c r="A288" t="s">
        <v>466</v>
      </c>
      <c r="B288" t="s">
        <v>71</v>
      </c>
      <c r="C288" t="s">
        <v>435</v>
      </c>
      <c r="D288" t="s">
        <v>436</v>
      </c>
      <c r="E288" t="s">
        <v>437</v>
      </c>
      <c r="F288" t="s">
        <v>467</v>
      </c>
      <c r="H288" t="s">
        <v>456</v>
      </c>
      <c r="I288" t="s">
        <v>457</v>
      </c>
      <c r="J288" t="s">
        <v>458</v>
      </c>
      <c r="K288" t="s">
        <v>472</v>
      </c>
      <c r="L288" t="s">
        <v>443</v>
      </c>
      <c r="M288" t="s">
        <v>468</v>
      </c>
      <c r="Q288" t="s">
        <v>57</v>
      </c>
      <c r="R288">
        <v>9242874</v>
      </c>
      <c r="S288">
        <v>2</v>
      </c>
      <c r="U288">
        <v>0.22</v>
      </c>
      <c r="Y288" t="s">
        <v>470</v>
      </c>
      <c r="Z288" s="12">
        <v>83021090</v>
      </c>
      <c r="AC288">
        <v>1</v>
      </c>
      <c r="AE288">
        <v>335</v>
      </c>
      <c r="AF288" s="4">
        <v>0.5</v>
      </c>
      <c r="AG288">
        <f t="shared" si="33"/>
        <v>167.5</v>
      </c>
      <c r="AH288" s="4">
        <v>0.18</v>
      </c>
      <c r="AI288">
        <f t="shared" si="28"/>
        <v>197.65</v>
      </c>
      <c r="AJ288" s="4">
        <v>0.2</v>
      </c>
      <c r="AK288">
        <f t="shared" si="29"/>
        <v>39.53</v>
      </c>
      <c r="AL288">
        <f t="shared" si="30"/>
        <v>237.18</v>
      </c>
      <c r="AM288">
        <f t="shared" si="31"/>
        <v>97.82</v>
      </c>
      <c r="AN288" s="4">
        <f t="shared" si="32"/>
        <v>0.292</v>
      </c>
      <c r="AO288" t="s">
        <v>221</v>
      </c>
      <c r="AQ288" t="s">
        <v>217</v>
      </c>
      <c r="AS288" t="s">
        <v>463</v>
      </c>
      <c r="AT288" t="s">
        <v>221</v>
      </c>
    </row>
    <row r="289" ht="15.75" customHeight="1" spans="1:46">
      <c r="A289" t="s">
        <v>473</v>
      </c>
      <c r="B289" t="s">
        <v>46</v>
      </c>
      <c r="C289" t="s">
        <v>435</v>
      </c>
      <c r="D289" t="s">
        <v>436</v>
      </c>
      <c r="E289" t="s">
        <v>437</v>
      </c>
      <c r="F289" t="s">
        <v>474</v>
      </c>
      <c r="H289" t="s">
        <v>456</v>
      </c>
      <c r="I289" t="s">
        <v>475</v>
      </c>
      <c r="J289" t="s">
        <v>458</v>
      </c>
      <c r="K289" t="s">
        <v>472</v>
      </c>
      <c r="L289" t="s">
        <v>443</v>
      </c>
      <c r="M289" t="s">
        <v>476</v>
      </c>
      <c r="Q289" t="s">
        <v>57</v>
      </c>
      <c r="R289">
        <v>9242922</v>
      </c>
      <c r="S289">
        <v>2</v>
      </c>
      <c r="U289">
        <v>0.22</v>
      </c>
      <c r="V289" t="s">
        <v>461</v>
      </c>
      <c r="Y289" t="s">
        <v>477</v>
      </c>
      <c r="Z289" s="12">
        <v>83021090</v>
      </c>
      <c r="AC289">
        <v>1</v>
      </c>
      <c r="AE289">
        <v>840</v>
      </c>
      <c r="AF289" s="4">
        <v>0.5</v>
      </c>
      <c r="AG289">
        <f t="shared" si="33"/>
        <v>420</v>
      </c>
      <c r="AH289" s="4">
        <v>0.18</v>
      </c>
      <c r="AI289">
        <f t="shared" si="28"/>
        <v>495.6</v>
      </c>
      <c r="AJ289" s="4">
        <v>0.2</v>
      </c>
      <c r="AK289">
        <f t="shared" si="29"/>
        <v>99.12</v>
      </c>
      <c r="AL289">
        <f t="shared" si="30"/>
        <v>594.72</v>
      </c>
      <c r="AM289">
        <f t="shared" si="31"/>
        <v>245.28</v>
      </c>
      <c r="AN289" s="4">
        <f t="shared" si="32"/>
        <v>0.292</v>
      </c>
      <c r="AO289" t="s">
        <v>221</v>
      </c>
      <c r="AQ289" t="s">
        <v>217</v>
      </c>
      <c r="AS289" t="s">
        <v>463</v>
      </c>
      <c r="AT289" t="s">
        <v>221</v>
      </c>
    </row>
    <row r="290" ht="15.75" customHeight="1" spans="1:46">
      <c r="A290" t="s">
        <v>473</v>
      </c>
      <c r="B290" t="s">
        <v>67</v>
      </c>
      <c r="C290" t="s">
        <v>435</v>
      </c>
      <c r="D290" t="s">
        <v>436</v>
      </c>
      <c r="E290" t="s">
        <v>437</v>
      </c>
      <c r="F290" t="s">
        <v>474</v>
      </c>
      <c r="H290" t="s">
        <v>456</v>
      </c>
      <c r="I290" t="s">
        <v>475</v>
      </c>
      <c r="J290" t="s">
        <v>458</v>
      </c>
      <c r="K290" t="s">
        <v>471</v>
      </c>
      <c r="L290" t="s">
        <v>443</v>
      </c>
      <c r="M290" t="s">
        <v>476</v>
      </c>
      <c r="Q290" t="s">
        <v>57</v>
      </c>
      <c r="R290">
        <v>9242923</v>
      </c>
      <c r="S290">
        <v>2</v>
      </c>
      <c r="U290">
        <v>0.22</v>
      </c>
      <c r="Y290" t="s">
        <v>478</v>
      </c>
      <c r="Z290" s="12">
        <v>83021090</v>
      </c>
      <c r="AC290">
        <v>1</v>
      </c>
      <c r="AE290">
        <v>888</v>
      </c>
      <c r="AF290" s="4">
        <v>0.5</v>
      </c>
      <c r="AG290">
        <f t="shared" si="33"/>
        <v>444</v>
      </c>
      <c r="AH290" s="4">
        <v>0.18</v>
      </c>
      <c r="AI290">
        <f t="shared" si="28"/>
        <v>523.92</v>
      </c>
      <c r="AJ290" s="4">
        <v>0.2</v>
      </c>
      <c r="AK290">
        <f t="shared" si="29"/>
        <v>104.78</v>
      </c>
      <c r="AL290">
        <f t="shared" si="30"/>
        <v>628.7</v>
      </c>
      <c r="AM290">
        <f t="shared" si="31"/>
        <v>259.3</v>
      </c>
      <c r="AN290" s="4">
        <f t="shared" si="32"/>
        <v>0.292004504504505</v>
      </c>
      <c r="AO290" t="s">
        <v>221</v>
      </c>
      <c r="AQ290" t="s">
        <v>217</v>
      </c>
      <c r="AS290" t="s">
        <v>463</v>
      </c>
      <c r="AT290" t="s">
        <v>221</v>
      </c>
    </row>
    <row r="291" ht="15.75" customHeight="1" spans="1:46">
      <c r="A291" t="s">
        <v>473</v>
      </c>
      <c r="B291" t="s">
        <v>71</v>
      </c>
      <c r="C291" t="s">
        <v>435</v>
      </c>
      <c r="D291" t="s">
        <v>436</v>
      </c>
      <c r="E291" t="s">
        <v>437</v>
      </c>
      <c r="F291" t="s">
        <v>474</v>
      </c>
      <c r="H291" t="s">
        <v>456</v>
      </c>
      <c r="I291" t="s">
        <v>475</v>
      </c>
      <c r="J291" t="s">
        <v>458</v>
      </c>
      <c r="K291" t="s">
        <v>459</v>
      </c>
      <c r="L291" t="s">
        <v>443</v>
      </c>
      <c r="M291" t="s">
        <v>476</v>
      </c>
      <c r="Q291" t="s">
        <v>57</v>
      </c>
      <c r="R291">
        <v>9242924</v>
      </c>
      <c r="S291">
        <v>2</v>
      </c>
      <c r="U291">
        <v>0.22</v>
      </c>
      <c r="Y291" t="s">
        <v>479</v>
      </c>
      <c r="Z291" s="12">
        <v>83021090</v>
      </c>
      <c r="AC291">
        <v>1</v>
      </c>
      <c r="AE291">
        <v>936</v>
      </c>
      <c r="AF291" s="4">
        <v>0.5</v>
      </c>
      <c r="AG291">
        <f t="shared" si="33"/>
        <v>468</v>
      </c>
      <c r="AH291" s="4">
        <v>0.18</v>
      </c>
      <c r="AI291">
        <f t="shared" si="28"/>
        <v>552.24</v>
      </c>
      <c r="AJ291" s="4">
        <v>0.2</v>
      </c>
      <c r="AK291">
        <f t="shared" si="29"/>
        <v>110.45</v>
      </c>
      <c r="AL291">
        <f t="shared" si="30"/>
        <v>662.69</v>
      </c>
      <c r="AM291">
        <f t="shared" si="31"/>
        <v>273.31</v>
      </c>
      <c r="AN291" s="4">
        <f t="shared" si="32"/>
        <v>0.291997863247863</v>
      </c>
      <c r="AO291" t="s">
        <v>221</v>
      </c>
      <c r="AQ291" t="s">
        <v>217</v>
      </c>
      <c r="AS291" t="s">
        <v>463</v>
      </c>
      <c r="AT291" t="s">
        <v>221</v>
      </c>
    </row>
    <row r="292" ht="15.75" customHeight="1" spans="1:46">
      <c r="A292" t="s">
        <v>480</v>
      </c>
      <c r="B292" t="s">
        <v>46</v>
      </c>
      <c r="C292" t="s">
        <v>435</v>
      </c>
      <c r="D292" t="s">
        <v>436</v>
      </c>
      <c r="E292" t="s">
        <v>437</v>
      </c>
      <c r="F292" t="s">
        <v>481</v>
      </c>
      <c r="H292" t="s">
        <v>456</v>
      </c>
      <c r="I292" t="s">
        <v>482</v>
      </c>
      <c r="J292" t="s">
        <v>458</v>
      </c>
      <c r="K292" t="s">
        <v>472</v>
      </c>
      <c r="L292" t="s">
        <v>443</v>
      </c>
      <c r="M292" t="s">
        <v>483</v>
      </c>
      <c r="Q292" t="s">
        <v>57</v>
      </c>
      <c r="R292">
        <v>9243040</v>
      </c>
      <c r="S292">
        <v>2</v>
      </c>
      <c r="U292">
        <v>0.22</v>
      </c>
      <c r="V292" t="s">
        <v>461</v>
      </c>
      <c r="Y292" t="s">
        <v>484</v>
      </c>
      <c r="Z292" s="12">
        <v>83021090</v>
      </c>
      <c r="AC292">
        <v>1</v>
      </c>
      <c r="AE292">
        <v>1645</v>
      </c>
      <c r="AF292" s="4">
        <v>0.5</v>
      </c>
      <c r="AG292">
        <f t="shared" si="33"/>
        <v>822.5</v>
      </c>
      <c r="AH292" s="4">
        <v>0.18</v>
      </c>
      <c r="AI292">
        <f t="shared" si="28"/>
        <v>970.55</v>
      </c>
      <c r="AJ292" s="4">
        <v>0.2</v>
      </c>
      <c r="AK292">
        <f t="shared" si="29"/>
        <v>194.11</v>
      </c>
      <c r="AL292">
        <f t="shared" si="30"/>
        <v>1164.66</v>
      </c>
      <c r="AM292">
        <f t="shared" si="31"/>
        <v>480.34</v>
      </c>
      <c r="AN292" s="4">
        <f t="shared" si="32"/>
        <v>0.292</v>
      </c>
      <c r="AO292" t="s">
        <v>221</v>
      </c>
      <c r="AQ292" t="s">
        <v>217</v>
      </c>
      <c r="AS292" t="s">
        <v>463</v>
      </c>
      <c r="AT292" t="s">
        <v>221</v>
      </c>
    </row>
    <row r="293" ht="15.75" customHeight="1" spans="1:46">
      <c r="A293" t="s">
        <v>485</v>
      </c>
      <c r="B293" t="s">
        <v>46</v>
      </c>
      <c r="C293" t="s">
        <v>435</v>
      </c>
      <c r="D293" t="s">
        <v>436</v>
      </c>
      <c r="E293" t="s">
        <v>437</v>
      </c>
      <c r="F293" t="s">
        <v>486</v>
      </c>
      <c r="H293" t="s">
        <v>456</v>
      </c>
      <c r="I293" t="s">
        <v>487</v>
      </c>
      <c r="J293" t="s">
        <v>458</v>
      </c>
      <c r="K293" t="s">
        <v>472</v>
      </c>
      <c r="L293" t="s">
        <v>443</v>
      </c>
      <c r="M293" t="s">
        <v>488</v>
      </c>
      <c r="Q293" t="s">
        <v>57</v>
      </c>
      <c r="R293">
        <v>9281432</v>
      </c>
      <c r="S293">
        <v>2</v>
      </c>
      <c r="U293">
        <v>0.22</v>
      </c>
      <c r="V293" t="s">
        <v>461</v>
      </c>
      <c r="Y293" t="s">
        <v>489</v>
      </c>
      <c r="Z293" s="12">
        <v>83021090</v>
      </c>
      <c r="AC293">
        <v>1</v>
      </c>
      <c r="AE293">
        <v>384</v>
      </c>
      <c r="AF293" s="4">
        <v>0.5</v>
      </c>
      <c r="AG293">
        <f t="shared" si="33"/>
        <v>192</v>
      </c>
      <c r="AH293" s="4">
        <v>0.18</v>
      </c>
      <c r="AI293">
        <f t="shared" si="28"/>
        <v>226.56</v>
      </c>
      <c r="AJ293" s="4">
        <v>0.2</v>
      </c>
      <c r="AK293">
        <f t="shared" si="29"/>
        <v>45.31</v>
      </c>
      <c r="AL293">
        <f t="shared" si="30"/>
        <v>271.87</v>
      </c>
      <c r="AM293">
        <f t="shared" si="31"/>
        <v>112.13</v>
      </c>
      <c r="AN293" s="4">
        <f t="shared" si="32"/>
        <v>0.292005208333333</v>
      </c>
      <c r="AO293" t="s">
        <v>221</v>
      </c>
      <c r="AQ293" t="s">
        <v>217</v>
      </c>
      <c r="AS293" t="s">
        <v>463</v>
      </c>
      <c r="AT293" t="s">
        <v>221</v>
      </c>
    </row>
    <row r="294" ht="15.75" customHeight="1" spans="1:46">
      <c r="A294" t="s">
        <v>485</v>
      </c>
      <c r="B294" t="s">
        <v>67</v>
      </c>
      <c r="C294" t="s">
        <v>435</v>
      </c>
      <c r="D294" t="s">
        <v>436</v>
      </c>
      <c r="E294" t="s">
        <v>437</v>
      </c>
      <c r="F294" t="s">
        <v>486</v>
      </c>
      <c r="H294" t="s">
        <v>456</v>
      </c>
      <c r="I294" t="s">
        <v>487</v>
      </c>
      <c r="J294" t="s">
        <v>458</v>
      </c>
      <c r="K294" t="s">
        <v>471</v>
      </c>
      <c r="L294" t="s">
        <v>443</v>
      </c>
      <c r="M294" t="s">
        <v>488</v>
      </c>
      <c r="Q294" t="s">
        <v>57</v>
      </c>
      <c r="R294">
        <v>9281434</v>
      </c>
      <c r="S294">
        <v>2</v>
      </c>
      <c r="U294">
        <v>0.22</v>
      </c>
      <c r="Y294" t="s">
        <v>490</v>
      </c>
      <c r="Z294" s="12">
        <v>83021090</v>
      </c>
      <c r="AC294">
        <v>1</v>
      </c>
      <c r="AE294">
        <v>422</v>
      </c>
      <c r="AF294" s="4">
        <v>0.5</v>
      </c>
      <c r="AG294">
        <f t="shared" si="33"/>
        <v>211</v>
      </c>
      <c r="AH294" s="4">
        <v>0.18</v>
      </c>
      <c r="AI294">
        <f t="shared" si="28"/>
        <v>248.98</v>
      </c>
      <c r="AJ294" s="4">
        <v>0.2</v>
      </c>
      <c r="AK294">
        <f t="shared" si="29"/>
        <v>49.8</v>
      </c>
      <c r="AL294">
        <f t="shared" si="30"/>
        <v>298.78</v>
      </c>
      <c r="AM294">
        <f t="shared" si="31"/>
        <v>123.22</v>
      </c>
      <c r="AN294" s="4">
        <f t="shared" si="32"/>
        <v>0.291990521327014</v>
      </c>
      <c r="AO294" t="s">
        <v>221</v>
      </c>
      <c r="AQ294" t="s">
        <v>217</v>
      </c>
      <c r="AS294" t="s">
        <v>463</v>
      </c>
      <c r="AT294" t="s">
        <v>221</v>
      </c>
    </row>
    <row r="295" ht="15.75" customHeight="1" spans="1:46">
      <c r="A295" t="s">
        <v>485</v>
      </c>
      <c r="B295" t="s">
        <v>71</v>
      </c>
      <c r="C295" t="s">
        <v>435</v>
      </c>
      <c r="D295" t="s">
        <v>436</v>
      </c>
      <c r="E295" t="s">
        <v>437</v>
      </c>
      <c r="F295" t="s">
        <v>486</v>
      </c>
      <c r="H295" t="s">
        <v>456</v>
      </c>
      <c r="I295" t="s">
        <v>487</v>
      </c>
      <c r="J295" t="s">
        <v>458</v>
      </c>
      <c r="K295" t="s">
        <v>459</v>
      </c>
      <c r="L295" t="s">
        <v>443</v>
      </c>
      <c r="M295" t="s">
        <v>488</v>
      </c>
      <c r="Q295" t="s">
        <v>57</v>
      </c>
      <c r="R295">
        <v>9281436</v>
      </c>
      <c r="S295">
        <v>2</v>
      </c>
      <c r="U295">
        <v>0.22</v>
      </c>
      <c r="Y295" t="s">
        <v>491</v>
      </c>
      <c r="Z295" s="12">
        <v>83021090</v>
      </c>
      <c r="AC295">
        <v>1</v>
      </c>
      <c r="AE295">
        <v>460</v>
      </c>
      <c r="AF295" s="4">
        <v>0.5</v>
      </c>
      <c r="AG295">
        <f t="shared" si="33"/>
        <v>230</v>
      </c>
      <c r="AH295" s="4">
        <v>0.18</v>
      </c>
      <c r="AI295">
        <f t="shared" si="28"/>
        <v>271.4</v>
      </c>
      <c r="AJ295" s="4">
        <v>0.2</v>
      </c>
      <c r="AK295">
        <f t="shared" si="29"/>
        <v>54.28</v>
      </c>
      <c r="AL295">
        <f t="shared" si="30"/>
        <v>325.68</v>
      </c>
      <c r="AM295">
        <f t="shared" si="31"/>
        <v>134.32</v>
      </c>
      <c r="AN295" s="4">
        <f t="shared" si="32"/>
        <v>0.292</v>
      </c>
      <c r="AO295" t="s">
        <v>221</v>
      </c>
      <c r="AQ295" t="s">
        <v>217</v>
      </c>
      <c r="AS295" t="s">
        <v>463</v>
      </c>
      <c r="AT295" t="s">
        <v>221</v>
      </c>
    </row>
    <row r="296" ht="15.75" customHeight="1" spans="1:46">
      <c r="A296" t="s">
        <v>492</v>
      </c>
      <c r="B296" t="s">
        <v>46</v>
      </c>
      <c r="C296" t="s">
        <v>435</v>
      </c>
      <c r="D296" t="s">
        <v>436</v>
      </c>
      <c r="E296" t="s">
        <v>437</v>
      </c>
      <c r="F296" t="s">
        <v>493</v>
      </c>
      <c r="H296" t="s">
        <v>456</v>
      </c>
      <c r="I296" t="s">
        <v>487</v>
      </c>
      <c r="J296" t="s">
        <v>458</v>
      </c>
      <c r="K296" t="s">
        <v>472</v>
      </c>
      <c r="L296" t="s">
        <v>443</v>
      </c>
      <c r="M296" t="s">
        <v>488</v>
      </c>
      <c r="Q296" t="s">
        <v>57</v>
      </c>
      <c r="R296">
        <v>9297208</v>
      </c>
      <c r="S296">
        <v>2</v>
      </c>
      <c r="U296">
        <v>0.22</v>
      </c>
      <c r="V296" t="s">
        <v>461</v>
      </c>
      <c r="Y296" t="s">
        <v>494</v>
      </c>
      <c r="Z296" s="12">
        <v>83021090</v>
      </c>
      <c r="AC296">
        <v>1</v>
      </c>
      <c r="AE296">
        <v>296</v>
      </c>
      <c r="AF296" s="4">
        <v>0.5</v>
      </c>
      <c r="AG296">
        <f t="shared" si="33"/>
        <v>148</v>
      </c>
      <c r="AH296" s="4">
        <v>0.18</v>
      </c>
      <c r="AI296">
        <f t="shared" si="28"/>
        <v>174.64</v>
      </c>
      <c r="AJ296" s="4">
        <v>0.2</v>
      </c>
      <c r="AK296">
        <f t="shared" si="29"/>
        <v>34.93</v>
      </c>
      <c r="AL296">
        <f t="shared" si="30"/>
        <v>209.57</v>
      </c>
      <c r="AM296">
        <f t="shared" si="31"/>
        <v>86.43</v>
      </c>
      <c r="AN296" s="4">
        <f t="shared" si="32"/>
        <v>0.291993243243243</v>
      </c>
      <c r="AO296" t="s">
        <v>221</v>
      </c>
      <c r="AQ296" t="s">
        <v>217</v>
      </c>
      <c r="AS296" t="s">
        <v>463</v>
      </c>
      <c r="AT296" t="s">
        <v>221</v>
      </c>
    </row>
    <row r="297" ht="15.75" customHeight="1" spans="1:46">
      <c r="A297" t="s">
        <v>492</v>
      </c>
      <c r="B297" t="s">
        <v>67</v>
      </c>
      <c r="C297" t="s">
        <v>435</v>
      </c>
      <c r="D297" t="s">
        <v>436</v>
      </c>
      <c r="E297" t="s">
        <v>437</v>
      </c>
      <c r="F297" t="s">
        <v>493</v>
      </c>
      <c r="H297" t="s">
        <v>456</v>
      </c>
      <c r="I297" t="s">
        <v>487</v>
      </c>
      <c r="J297" t="s">
        <v>458</v>
      </c>
      <c r="K297" t="s">
        <v>471</v>
      </c>
      <c r="L297" t="s">
        <v>443</v>
      </c>
      <c r="M297" t="s">
        <v>488</v>
      </c>
      <c r="Q297" t="s">
        <v>57</v>
      </c>
      <c r="R297">
        <v>9297209</v>
      </c>
      <c r="S297">
        <v>2</v>
      </c>
      <c r="U297">
        <v>0.22</v>
      </c>
      <c r="V297" t="s">
        <v>495</v>
      </c>
      <c r="Y297" t="s">
        <v>496</v>
      </c>
      <c r="Z297" s="12">
        <v>83021090</v>
      </c>
      <c r="AC297">
        <v>1</v>
      </c>
      <c r="AE297">
        <v>332</v>
      </c>
      <c r="AF297" s="4">
        <v>0.5</v>
      </c>
      <c r="AG297">
        <f t="shared" si="33"/>
        <v>166</v>
      </c>
      <c r="AH297" s="4">
        <v>0.18</v>
      </c>
      <c r="AI297">
        <f t="shared" si="28"/>
        <v>195.88</v>
      </c>
      <c r="AJ297" s="4">
        <v>0.2</v>
      </c>
      <c r="AK297">
        <f t="shared" si="29"/>
        <v>39.18</v>
      </c>
      <c r="AL297">
        <f t="shared" si="30"/>
        <v>235.06</v>
      </c>
      <c r="AM297">
        <f t="shared" si="31"/>
        <v>96.94</v>
      </c>
      <c r="AN297" s="4">
        <f t="shared" si="32"/>
        <v>0.291987951807229</v>
      </c>
      <c r="AO297" t="s">
        <v>221</v>
      </c>
      <c r="AQ297" t="s">
        <v>217</v>
      </c>
      <c r="AS297" t="s">
        <v>463</v>
      </c>
      <c r="AT297" t="s">
        <v>221</v>
      </c>
    </row>
    <row r="298" ht="15.75" customHeight="1" spans="1:46">
      <c r="A298" t="s">
        <v>492</v>
      </c>
      <c r="B298" t="s">
        <v>71</v>
      </c>
      <c r="C298" t="s">
        <v>435</v>
      </c>
      <c r="D298" t="s">
        <v>436</v>
      </c>
      <c r="E298" t="s">
        <v>437</v>
      </c>
      <c r="F298" t="s">
        <v>493</v>
      </c>
      <c r="H298" t="s">
        <v>456</v>
      </c>
      <c r="I298" t="s">
        <v>487</v>
      </c>
      <c r="J298" t="s">
        <v>458</v>
      </c>
      <c r="K298" t="s">
        <v>459</v>
      </c>
      <c r="L298" t="s">
        <v>443</v>
      </c>
      <c r="M298" t="s">
        <v>488</v>
      </c>
      <c r="Q298" t="s">
        <v>57</v>
      </c>
      <c r="R298">
        <v>9297210</v>
      </c>
      <c r="S298">
        <v>2</v>
      </c>
      <c r="U298">
        <v>0.22</v>
      </c>
      <c r="Y298" t="s">
        <v>497</v>
      </c>
      <c r="Z298" s="12">
        <v>83021090</v>
      </c>
      <c r="AC298">
        <v>1</v>
      </c>
      <c r="AE298">
        <v>368</v>
      </c>
      <c r="AF298" s="4">
        <v>0.5</v>
      </c>
      <c r="AG298">
        <f t="shared" si="33"/>
        <v>184</v>
      </c>
      <c r="AH298" s="4">
        <v>0.18</v>
      </c>
      <c r="AI298">
        <f t="shared" si="28"/>
        <v>217.12</v>
      </c>
      <c r="AJ298" s="4">
        <v>0.2</v>
      </c>
      <c r="AK298">
        <f t="shared" si="29"/>
        <v>43.42</v>
      </c>
      <c r="AL298">
        <f t="shared" si="30"/>
        <v>260.54</v>
      </c>
      <c r="AM298">
        <f t="shared" si="31"/>
        <v>107.46</v>
      </c>
      <c r="AN298" s="4">
        <f t="shared" si="32"/>
        <v>0.292010869565217</v>
      </c>
      <c r="AO298" t="s">
        <v>221</v>
      </c>
      <c r="AQ298" t="s">
        <v>217</v>
      </c>
      <c r="AS298" t="s">
        <v>463</v>
      </c>
      <c r="AT298" t="s">
        <v>221</v>
      </c>
    </row>
    <row r="299" ht="15.75" customHeight="1" spans="1:46">
      <c r="A299" t="s">
        <v>498</v>
      </c>
      <c r="B299" t="s">
        <v>46</v>
      </c>
      <c r="C299" t="s">
        <v>435</v>
      </c>
      <c r="D299" t="s">
        <v>436</v>
      </c>
      <c r="E299" t="s">
        <v>437</v>
      </c>
      <c r="F299" t="s">
        <v>499</v>
      </c>
      <c r="H299" t="s">
        <v>456</v>
      </c>
      <c r="I299" t="s">
        <v>487</v>
      </c>
      <c r="J299" t="s">
        <v>458</v>
      </c>
      <c r="K299" t="s">
        <v>472</v>
      </c>
      <c r="L299" t="s">
        <v>443</v>
      </c>
      <c r="M299" t="s">
        <v>488</v>
      </c>
      <c r="Q299" t="s">
        <v>57</v>
      </c>
      <c r="R299">
        <v>9354033</v>
      </c>
      <c r="S299">
        <v>2</v>
      </c>
      <c r="U299">
        <v>0.22</v>
      </c>
      <c r="Y299" t="s">
        <v>500</v>
      </c>
      <c r="Z299" s="12">
        <v>83021090</v>
      </c>
      <c r="AC299">
        <v>1</v>
      </c>
      <c r="AE299">
        <v>420</v>
      </c>
      <c r="AF299" s="4">
        <v>0.5</v>
      </c>
      <c r="AG299">
        <f t="shared" si="33"/>
        <v>210</v>
      </c>
      <c r="AH299" s="4">
        <v>0.18</v>
      </c>
      <c r="AI299">
        <f t="shared" si="28"/>
        <v>247.8</v>
      </c>
      <c r="AJ299" s="4">
        <v>0.2</v>
      </c>
      <c r="AK299">
        <f t="shared" si="29"/>
        <v>49.56</v>
      </c>
      <c r="AL299">
        <f t="shared" si="30"/>
        <v>297.36</v>
      </c>
      <c r="AM299">
        <f t="shared" si="31"/>
        <v>122.64</v>
      </c>
      <c r="AN299" s="4">
        <f t="shared" si="32"/>
        <v>0.292</v>
      </c>
      <c r="AO299" t="s">
        <v>221</v>
      </c>
      <c r="AQ299" t="s">
        <v>217</v>
      </c>
      <c r="AS299" t="s">
        <v>463</v>
      </c>
      <c r="AT299" t="s">
        <v>221</v>
      </c>
    </row>
    <row r="300" ht="15.75" customHeight="1" spans="1:46">
      <c r="A300" t="s">
        <v>498</v>
      </c>
      <c r="B300" t="s">
        <v>67</v>
      </c>
      <c r="C300" t="s">
        <v>435</v>
      </c>
      <c r="D300" t="s">
        <v>436</v>
      </c>
      <c r="E300" t="s">
        <v>437</v>
      </c>
      <c r="F300" t="s">
        <v>499</v>
      </c>
      <c r="H300" t="s">
        <v>456</v>
      </c>
      <c r="I300" t="s">
        <v>487</v>
      </c>
      <c r="J300" t="s">
        <v>458</v>
      </c>
      <c r="K300" t="s">
        <v>471</v>
      </c>
      <c r="L300" t="s">
        <v>443</v>
      </c>
      <c r="M300" t="s">
        <v>488</v>
      </c>
      <c r="Q300" t="s">
        <v>57</v>
      </c>
      <c r="R300">
        <v>9354034</v>
      </c>
      <c r="S300">
        <v>2</v>
      </c>
      <c r="U300">
        <v>0.22</v>
      </c>
      <c r="Y300" t="s">
        <v>501</v>
      </c>
      <c r="Z300" s="12">
        <v>83021090</v>
      </c>
      <c r="AC300">
        <v>1</v>
      </c>
      <c r="AE300">
        <v>460</v>
      </c>
      <c r="AF300" s="4">
        <v>0.5</v>
      </c>
      <c r="AG300">
        <f t="shared" si="33"/>
        <v>230</v>
      </c>
      <c r="AH300" s="4">
        <v>0.18</v>
      </c>
      <c r="AI300">
        <f t="shared" si="28"/>
        <v>271.4</v>
      </c>
      <c r="AJ300" s="4">
        <v>0.2</v>
      </c>
      <c r="AK300">
        <f t="shared" si="29"/>
        <v>54.28</v>
      </c>
      <c r="AL300">
        <f t="shared" si="30"/>
        <v>325.68</v>
      </c>
      <c r="AM300">
        <f t="shared" si="31"/>
        <v>134.32</v>
      </c>
      <c r="AN300" s="4">
        <f t="shared" si="32"/>
        <v>0.292</v>
      </c>
      <c r="AO300" t="s">
        <v>221</v>
      </c>
      <c r="AQ300" t="s">
        <v>217</v>
      </c>
      <c r="AS300" t="s">
        <v>463</v>
      </c>
      <c r="AT300" t="s">
        <v>221</v>
      </c>
    </row>
    <row r="301" ht="15.75" customHeight="1" spans="1:46">
      <c r="A301" t="s">
        <v>498</v>
      </c>
      <c r="B301" t="s">
        <v>71</v>
      </c>
      <c r="C301" t="s">
        <v>435</v>
      </c>
      <c r="D301" t="s">
        <v>436</v>
      </c>
      <c r="E301" t="s">
        <v>437</v>
      </c>
      <c r="F301" t="s">
        <v>499</v>
      </c>
      <c r="H301" t="s">
        <v>456</v>
      </c>
      <c r="I301" t="s">
        <v>487</v>
      </c>
      <c r="J301" t="s">
        <v>458</v>
      </c>
      <c r="K301" t="s">
        <v>459</v>
      </c>
      <c r="L301" t="s">
        <v>443</v>
      </c>
      <c r="M301" t="s">
        <v>488</v>
      </c>
      <c r="Q301" t="s">
        <v>57</v>
      </c>
      <c r="R301">
        <v>9354035</v>
      </c>
      <c r="S301">
        <v>2</v>
      </c>
      <c r="U301">
        <v>0.22</v>
      </c>
      <c r="Y301" t="s">
        <v>502</v>
      </c>
      <c r="Z301" s="12">
        <v>83021090</v>
      </c>
      <c r="AC301">
        <v>1</v>
      </c>
      <c r="AE301">
        <v>500</v>
      </c>
      <c r="AF301" s="4">
        <v>0.5</v>
      </c>
      <c r="AG301">
        <f t="shared" si="33"/>
        <v>250</v>
      </c>
      <c r="AH301" s="4">
        <v>0.18</v>
      </c>
      <c r="AI301">
        <f t="shared" si="28"/>
        <v>295</v>
      </c>
      <c r="AJ301" s="4">
        <v>0.2</v>
      </c>
      <c r="AK301">
        <f t="shared" si="29"/>
        <v>59</v>
      </c>
      <c r="AL301">
        <f t="shared" si="30"/>
        <v>354</v>
      </c>
      <c r="AM301">
        <f t="shared" si="31"/>
        <v>146</v>
      </c>
      <c r="AN301" s="4">
        <f t="shared" si="32"/>
        <v>0.292</v>
      </c>
      <c r="AO301" t="s">
        <v>221</v>
      </c>
      <c r="AQ301" t="s">
        <v>217</v>
      </c>
      <c r="AS301" t="s">
        <v>463</v>
      </c>
      <c r="AT301" t="s">
        <v>221</v>
      </c>
    </row>
    <row r="302" ht="15.75" customHeight="1" spans="1:46">
      <c r="A302" t="s">
        <v>503</v>
      </c>
      <c r="B302" t="s">
        <v>46</v>
      </c>
      <c r="C302" t="s">
        <v>435</v>
      </c>
      <c r="D302" t="s">
        <v>436</v>
      </c>
      <c r="E302" t="s">
        <v>437</v>
      </c>
      <c r="F302" t="s">
        <v>504</v>
      </c>
      <c r="H302" t="s">
        <v>456</v>
      </c>
      <c r="I302" t="s">
        <v>482</v>
      </c>
      <c r="J302" t="s">
        <v>458</v>
      </c>
      <c r="K302" t="s">
        <v>472</v>
      </c>
      <c r="L302" t="s">
        <v>443</v>
      </c>
      <c r="M302" t="s">
        <v>505</v>
      </c>
      <c r="Q302" t="s">
        <v>57</v>
      </c>
      <c r="R302">
        <v>9242890</v>
      </c>
      <c r="S302">
        <v>2</v>
      </c>
      <c r="V302" t="s">
        <v>461</v>
      </c>
      <c r="W302" t="s">
        <v>121</v>
      </c>
      <c r="X302" t="s">
        <v>506</v>
      </c>
      <c r="Y302" t="s">
        <v>507</v>
      </c>
      <c r="Z302" s="12">
        <v>83021090</v>
      </c>
      <c r="AC302">
        <v>1</v>
      </c>
      <c r="AE302">
        <v>1068</v>
      </c>
      <c r="AF302" s="4">
        <v>0.5</v>
      </c>
      <c r="AG302">
        <f t="shared" si="33"/>
        <v>534</v>
      </c>
      <c r="AH302" s="4">
        <v>0.18</v>
      </c>
      <c r="AI302">
        <f t="shared" si="28"/>
        <v>630.12</v>
      </c>
      <c r="AJ302" s="4">
        <v>0.2</v>
      </c>
      <c r="AK302">
        <f t="shared" si="29"/>
        <v>126.02</v>
      </c>
      <c r="AL302">
        <f t="shared" si="30"/>
        <v>756.14</v>
      </c>
      <c r="AM302">
        <f t="shared" si="31"/>
        <v>311.86</v>
      </c>
      <c r="AN302" s="4">
        <f t="shared" si="32"/>
        <v>0.292003745318352</v>
      </c>
      <c r="AO302" t="s">
        <v>221</v>
      </c>
      <c r="AQ302" t="s">
        <v>217</v>
      </c>
      <c r="AS302" t="s">
        <v>463</v>
      </c>
      <c r="AT302" t="s">
        <v>221</v>
      </c>
    </row>
    <row r="303" ht="15.75" customHeight="1" spans="1:46">
      <c r="A303" t="s">
        <v>508</v>
      </c>
      <c r="B303" t="s">
        <v>46</v>
      </c>
      <c r="C303" t="s">
        <v>435</v>
      </c>
      <c r="D303" t="s">
        <v>436</v>
      </c>
      <c r="E303" t="s">
        <v>437</v>
      </c>
      <c r="F303" t="s">
        <v>509</v>
      </c>
      <c r="H303" t="s">
        <v>456</v>
      </c>
      <c r="I303" t="s">
        <v>510</v>
      </c>
      <c r="J303" t="s">
        <v>458</v>
      </c>
      <c r="K303" t="s">
        <v>472</v>
      </c>
      <c r="L303" t="s">
        <v>443</v>
      </c>
      <c r="M303" t="s">
        <v>511</v>
      </c>
      <c r="Q303" t="s">
        <v>57</v>
      </c>
      <c r="R303">
        <v>9242888</v>
      </c>
      <c r="S303">
        <v>2</v>
      </c>
      <c r="V303" t="s">
        <v>461</v>
      </c>
      <c r="W303" t="s">
        <v>121</v>
      </c>
      <c r="X303" t="s">
        <v>512</v>
      </c>
      <c r="Y303" t="s">
        <v>513</v>
      </c>
      <c r="Z303" s="12">
        <v>83021090</v>
      </c>
      <c r="AC303">
        <v>1</v>
      </c>
      <c r="AE303">
        <v>976</v>
      </c>
      <c r="AF303" s="4">
        <v>0.5</v>
      </c>
      <c r="AG303">
        <f t="shared" si="33"/>
        <v>488</v>
      </c>
      <c r="AH303" s="4">
        <v>0.18</v>
      </c>
      <c r="AI303">
        <f t="shared" si="28"/>
        <v>575.84</v>
      </c>
      <c r="AJ303" s="4">
        <v>0.2</v>
      </c>
      <c r="AK303">
        <f t="shared" si="29"/>
        <v>115.17</v>
      </c>
      <c r="AL303">
        <f t="shared" si="30"/>
        <v>691.01</v>
      </c>
      <c r="AM303">
        <f t="shared" si="31"/>
        <v>284.99</v>
      </c>
      <c r="AN303" s="4">
        <f t="shared" si="32"/>
        <v>0.291997950819672</v>
      </c>
      <c r="AO303" t="s">
        <v>221</v>
      </c>
      <c r="AQ303" t="s">
        <v>217</v>
      </c>
      <c r="AS303" t="s">
        <v>463</v>
      </c>
      <c r="AT303" t="s">
        <v>221</v>
      </c>
    </row>
    <row r="304" ht="15.75" customHeight="1" spans="1:46">
      <c r="A304" t="s">
        <v>514</v>
      </c>
      <c r="B304" t="s">
        <v>46</v>
      </c>
      <c r="C304" t="s">
        <v>435</v>
      </c>
      <c r="D304" t="s">
        <v>436</v>
      </c>
      <c r="E304" t="s">
        <v>515</v>
      </c>
      <c r="F304" t="s">
        <v>516</v>
      </c>
      <c r="H304" t="s">
        <v>456</v>
      </c>
      <c r="I304" t="s">
        <v>475</v>
      </c>
      <c r="J304" t="s">
        <v>458</v>
      </c>
      <c r="K304" t="s">
        <v>472</v>
      </c>
      <c r="L304" t="s">
        <v>443</v>
      </c>
      <c r="M304" t="s">
        <v>511</v>
      </c>
      <c r="Q304" t="s">
        <v>57</v>
      </c>
      <c r="R304" t="s">
        <v>517</v>
      </c>
      <c r="S304">
        <v>2</v>
      </c>
      <c r="V304" t="s">
        <v>461</v>
      </c>
      <c r="W304" t="s">
        <v>121</v>
      </c>
      <c r="Y304" t="s">
        <v>518</v>
      </c>
      <c r="Z304">
        <v>8302</v>
      </c>
      <c r="AC304">
        <v>1</v>
      </c>
      <c r="AE304">
        <v>333</v>
      </c>
      <c r="AF304" s="4">
        <v>0.5</v>
      </c>
      <c r="AG304">
        <f t="shared" si="33"/>
        <v>166.5</v>
      </c>
      <c r="AH304" s="4">
        <v>0.18</v>
      </c>
      <c r="AI304">
        <f t="shared" si="28"/>
        <v>196.47</v>
      </c>
      <c r="AJ304" s="4">
        <v>0.2</v>
      </c>
      <c r="AK304">
        <f t="shared" si="29"/>
        <v>39.29</v>
      </c>
      <c r="AL304">
        <f t="shared" si="30"/>
        <v>235.76</v>
      </c>
      <c r="AM304">
        <f t="shared" si="31"/>
        <v>97.24</v>
      </c>
      <c r="AN304" s="4">
        <f t="shared" si="32"/>
        <v>0.292012012012012</v>
      </c>
      <c r="AO304" t="s">
        <v>221</v>
      </c>
      <c r="AQ304" t="s">
        <v>217</v>
      </c>
      <c r="AS304" t="s">
        <v>463</v>
      </c>
      <c r="AT304" t="s">
        <v>221</v>
      </c>
    </row>
    <row r="305" ht="15.75" customHeight="1" spans="1:46">
      <c r="A305" t="s">
        <v>514</v>
      </c>
      <c r="B305" t="s">
        <v>67</v>
      </c>
      <c r="C305" t="s">
        <v>435</v>
      </c>
      <c r="D305" t="s">
        <v>436</v>
      </c>
      <c r="E305" t="s">
        <v>515</v>
      </c>
      <c r="F305" t="s">
        <v>516</v>
      </c>
      <c r="H305" t="s">
        <v>456</v>
      </c>
      <c r="I305" t="s">
        <v>475</v>
      </c>
      <c r="J305" t="s">
        <v>458</v>
      </c>
      <c r="K305" t="s">
        <v>519</v>
      </c>
      <c r="L305" t="s">
        <v>443</v>
      </c>
      <c r="M305" t="s">
        <v>511</v>
      </c>
      <c r="Q305" t="s">
        <v>57</v>
      </c>
      <c r="R305" t="s">
        <v>520</v>
      </c>
      <c r="Y305" t="s">
        <v>518</v>
      </c>
      <c r="Z305">
        <v>8302</v>
      </c>
      <c r="AC305">
        <v>1</v>
      </c>
      <c r="AE305">
        <v>333</v>
      </c>
      <c r="AF305" s="4">
        <v>0.5</v>
      </c>
      <c r="AG305">
        <f t="shared" si="33"/>
        <v>166.5</v>
      </c>
      <c r="AH305" s="4">
        <v>0.18</v>
      </c>
      <c r="AI305">
        <f t="shared" si="28"/>
        <v>196.47</v>
      </c>
      <c r="AJ305" s="4">
        <v>0.2</v>
      </c>
      <c r="AK305">
        <f t="shared" si="29"/>
        <v>39.29</v>
      </c>
      <c r="AL305">
        <f t="shared" si="30"/>
        <v>235.76</v>
      </c>
      <c r="AM305">
        <f t="shared" si="31"/>
        <v>97.24</v>
      </c>
      <c r="AN305" s="4">
        <f t="shared" si="32"/>
        <v>0.292012012012012</v>
      </c>
      <c r="AO305" t="s">
        <v>221</v>
      </c>
      <c r="AQ305" t="s">
        <v>217</v>
      </c>
      <c r="AS305" t="s">
        <v>463</v>
      </c>
      <c r="AT305" t="s">
        <v>221</v>
      </c>
    </row>
    <row r="306" ht="15.75" customHeight="1" spans="1:46">
      <c r="A306" t="s">
        <v>514</v>
      </c>
      <c r="B306" t="s">
        <v>71</v>
      </c>
      <c r="C306" t="s">
        <v>435</v>
      </c>
      <c r="D306" t="s">
        <v>436</v>
      </c>
      <c r="E306" t="s">
        <v>515</v>
      </c>
      <c r="F306" t="s">
        <v>516</v>
      </c>
      <c r="H306" t="s">
        <v>456</v>
      </c>
      <c r="I306" t="s">
        <v>475</v>
      </c>
      <c r="J306" t="s">
        <v>458</v>
      </c>
      <c r="K306" t="s">
        <v>521</v>
      </c>
      <c r="L306" t="s">
        <v>443</v>
      </c>
      <c r="M306" t="s">
        <v>511</v>
      </c>
      <c r="Q306" t="s">
        <v>57</v>
      </c>
      <c r="R306" t="s">
        <v>522</v>
      </c>
      <c r="Y306" t="s">
        <v>518</v>
      </c>
      <c r="Z306">
        <v>8302</v>
      </c>
      <c r="AC306">
        <v>1</v>
      </c>
      <c r="AE306">
        <v>333</v>
      </c>
      <c r="AF306" s="4">
        <v>0.5</v>
      </c>
      <c r="AG306">
        <f t="shared" si="33"/>
        <v>166.5</v>
      </c>
      <c r="AH306" s="4">
        <v>0.18</v>
      </c>
      <c r="AI306">
        <f t="shared" si="28"/>
        <v>196.47</v>
      </c>
      <c r="AJ306" s="4">
        <v>0.2</v>
      </c>
      <c r="AK306">
        <f t="shared" si="29"/>
        <v>39.29</v>
      </c>
      <c r="AL306">
        <f t="shared" si="30"/>
        <v>235.76</v>
      </c>
      <c r="AM306">
        <f t="shared" si="31"/>
        <v>97.24</v>
      </c>
      <c r="AN306" s="4">
        <f t="shared" si="32"/>
        <v>0.292012012012012</v>
      </c>
      <c r="AO306" t="s">
        <v>221</v>
      </c>
      <c r="AQ306" t="s">
        <v>217</v>
      </c>
      <c r="AS306" t="s">
        <v>463</v>
      </c>
      <c r="AT306" t="s">
        <v>221</v>
      </c>
    </row>
    <row r="307" ht="15.75" customHeight="1" spans="1:46">
      <c r="A307" t="s">
        <v>523</v>
      </c>
      <c r="B307" t="s">
        <v>46</v>
      </c>
      <c r="C307" t="s">
        <v>435</v>
      </c>
      <c r="D307" t="s">
        <v>436</v>
      </c>
      <c r="E307" t="s">
        <v>515</v>
      </c>
      <c r="F307" t="s">
        <v>524</v>
      </c>
      <c r="H307" t="s">
        <v>456</v>
      </c>
      <c r="I307" t="s">
        <v>525</v>
      </c>
      <c r="J307" t="s">
        <v>458</v>
      </c>
      <c r="K307" t="s">
        <v>472</v>
      </c>
      <c r="L307" t="s">
        <v>443</v>
      </c>
      <c r="M307" t="s">
        <v>526</v>
      </c>
      <c r="Q307" t="s">
        <v>57</v>
      </c>
      <c r="R307" t="s">
        <v>527</v>
      </c>
      <c r="S307">
        <v>2</v>
      </c>
      <c r="V307" t="s">
        <v>461</v>
      </c>
      <c r="W307" t="s">
        <v>121</v>
      </c>
      <c r="X307" t="s">
        <v>512</v>
      </c>
      <c r="Y307" t="s">
        <v>528</v>
      </c>
      <c r="Z307">
        <v>8302</v>
      </c>
      <c r="AC307">
        <v>1</v>
      </c>
      <c r="AE307">
        <v>899</v>
      </c>
      <c r="AF307" s="4">
        <v>0.5</v>
      </c>
      <c r="AG307">
        <f t="shared" si="33"/>
        <v>449.5</v>
      </c>
      <c r="AH307" s="4">
        <v>0.18</v>
      </c>
      <c r="AI307">
        <f t="shared" si="28"/>
        <v>530.41</v>
      </c>
      <c r="AJ307" s="4">
        <v>0.2</v>
      </c>
      <c r="AK307">
        <f t="shared" si="29"/>
        <v>106.08</v>
      </c>
      <c r="AL307">
        <f t="shared" si="30"/>
        <v>636.49</v>
      </c>
      <c r="AM307">
        <f t="shared" si="31"/>
        <v>262.51</v>
      </c>
      <c r="AN307" s="4">
        <f t="shared" si="32"/>
        <v>0.292002224694105</v>
      </c>
      <c r="AO307" t="s">
        <v>221</v>
      </c>
      <c r="AQ307" t="s">
        <v>217</v>
      </c>
      <c r="AS307" t="s">
        <v>463</v>
      </c>
      <c r="AT307" t="s">
        <v>221</v>
      </c>
    </row>
    <row r="308" ht="15.75" customHeight="1" spans="1:46">
      <c r="A308" t="s">
        <v>529</v>
      </c>
      <c r="B308" t="s">
        <v>46</v>
      </c>
      <c r="C308" t="s">
        <v>435</v>
      </c>
      <c r="D308" t="s">
        <v>436</v>
      </c>
      <c r="E308" t="s">
        <v>515</v>
      </c>
      <c r="F308" t="s">
        <v>530</v>
      </c>
      <c r="H308" t="s">
        <v>456</v>
      </c>
      <c r="I308" t="s">
        <v>475</v>
      </c>
      <c r="J308" t="s">
        <v>458</v>
      </c>
      <c r="K308" t="s">
        <v>472</v>
      </c>
      <c r="L308" t="s">
        <v>443</v>
      </c>
      <c r="M308" t="s">
        <v>526</v>
      </c>
      <c r="Q308" t="s">
        <v>57</v>
      </c>
      <c r="R308" t="s">
        <v>531</v>
      </c>
      <c r="S308">
        <v>2</v>
      </c>
      <c r="U308">
        <v>0.11</v>
      </c>
      <c r="V308" t="s">
        <v>461</v>
      </c>
      <c r="W308" t="s">
        <v>121</v>
      </c>
      <c r="X308" t="s">
        <v>532</v>
      </c>
      <c r="Y308" t="s">
        <v>533</v>
      </c>
      <c r="Z308">
        <v>8302</v>
      </c>
      <c r="AC308">
        <v>1</v>
      </c>
      <c r="AE308">
        <v>279</v>
      </c>
      <c r="AF308" s="4">
        <v>0.5</v>
      </c>
      <c r="AG308">
        <f t="shared" si="33"/>
        <v>139.5</v>
      </c>
      <c r="AH308" s="4">
        <v>0.18</v>
      </c>
      <c r="AI308">
        <f t="shared" si="28"/>
        <v>164.61</v>
      </c>
      <c r="AJ308" s="4">
        <v>0.2</v>
      </c>
      <c r="AK308">
        <f t="shared" si="29"/>
        <v>32.92</v>
      </c>
      <c r="AL308">
        <f t="shared" si="30"/>
        <v>197.53</v>
      </c>
      <c r="AM308">
        <f t="shared" si="31"/>
        <v>81.47</v>
      </c>
      <c r="AN308" s="4">
        <f t="shared" si="32"/>
        <v>0.292007168458781</v>
      </c>
      <c r="AO308" t="s">
        <v>221</v>
      </c>
      <c r="AQ308" t="s">
        <v>217</v>
      </c>
      <c r="AS308" t="s">
        <v>463</v>
      </c>
      <c r="AT308" t="s">
        <v>221</v>
      </c>
    </row>
    <row r="309" ht="15.75" customHeight="1" spans="1:46">
      <c r="A309" t="s">
        <v>529</v>
      </c>
      <c r="B309" t="s">
        <v>67</v>
      </c>
      <c r="C309" t="s">
        <v>435</v>
      </c>
      <c r="D309" t="s">
        <v>436</v>
      </c>
      <c r="E309" t="s">
        <v>515</v>
      </c>
      <c r="F309" t="s">
        <v>530</v>
      </c>
      <c r="H309" t="s">
        <v>456</v>
      </c>
      <c r="I309" t="s">
        <v>475</v>
      </c>
      <c r="J309" t="s">
        <v>458</v>
      </c>
      <c r="K309" t="s">
        <v>519</v>
      </c>
      <c r="L309" t="s">
        <v>443</v>
      </c>
      <c r="M309" t="s">
        <v>526</v>
      </c>
      <c r="Q309" t="s">
        <v>57</v>
      </c>
      <c r="R309" t="s">
        <v>534</v>
      </c>
      <c r="S309">
        <v>2</v>
      </c>
      <c r="Y309" t="s">
        <v>533</v>
      </c>
      <c r="Z309">
        <v>8302</v>
      </c>
      <c r="AC309">
        <v>1</v>
      </c>
      <c r="AE309">
        <v>279</v>
      </c>
      <c r="AF309" s="4">
        <v>0.5</v>
      </c>
      <c r="AG309">
        <f t="shared" si="33"/>
        <v>139.5</v>
      </c>
      <c r="AH309" s="4">
        <v>0.18</v>
      </c>
      <c r="AI309">
        <f t="shared" si="28"/>
        <v>164.61</v>
      </c>
      <c r="AJ309" s="4">
        <v>0.2</v>
      </c>
      <c r="AK309">
        <f t="shared" si="29"/>
        <v>32.92</v>
      </c>
      <c r="AL309">
        <f t="shared" si="30"/>
        <v>197.53</v>
      </c>
      <c r="AM309">
        <f t="shared" si="31"/>
        <v>81.47</v>
      </c>
      <c r="AN309" s="4">
        <f t="shared" si="32"/>
        <v>0.292007168458781</v>
      </c>
      <c r="AO309" t="s">
        <v>221</v>
      </c>
      <c r="AQ309" t="s">
        <v>217</v>
      </c>
      <c r="AS309" t="s">
        <v>463</v>
      </c>
      <c r="AT309" t="s">
        <v>221</v>
      </c>
    </row>
    <row r="310" ht="15.75" customHeight="1" spans="1:46">
      <c r="A310" t="s">
        <v>529</v>
      </c>
      <c r="B310" t="s">
        <v>71</v>
      </c>
      <c r="C310" t="s">
        <v>435</v>
      </c>
      <c r="D310" t="s">
        <v>436</v>
      </c>
      <c r="E310" t="s">
        <v>515</v>
      </c>
      <c r="F310" t="s">
        <v>530</v>
      </c>
      <c r="H310" t="s">
        <v>456</v>
      </c>
      <c r="I310" t="s">
        <v>475</v>
      </c>
      <c r="J310" t="s">
        <v>458</v>
      </c>
      <c r="K310" t="s">
        <v>521</v>
      </c>
      <c r="L310" t="s">
        <v>443</v>
      </c>
      <c r="M310" t="s">
        <v>526</v>
      </c>
      <c r="Q310" t="s">
        <v>57</v>
      </c>
      <c r="R310" t="s">
        <v>535</v>
      </c>
      <c r="S310">
        <v>2</v>
      </c>
      <c r="Y310" t="s">
        <v>533</v>
      </c>
      <c r="Z310">
        <v>8302</v>
      </c>
      <c r="AC310">
        <v>1</v>
      </c>
      <c r="AE310">
        <v>279</v>
      </c>
      <c r="AF310" s="4">
        <v>0.5</v>
      </c>
      <c r="AG310">
        <f t="shared" si="33"/>
        <v>139.5</v>
      </c>
      <c r="AH310" s="4">
        <v>0.18</v>
      </c>
      <c r="AI310">
        <f t="shared" si="28"/>
        <v>164.61</v>
      </c>
      <c r="AJ310" s="4">
        <v>0.2</v>
      </c>
      <c r="AK310">
        <f t="shared" si="29"/>
        <v>32.92</v>
      </c>
      <c r="AL310">
        <f t="shared" si="30"/>
        <v>197.53</v>
      </c>
      <c r="AM310">
        <f t="shared" si="31"/>
        <v>81.47</v>
      </c>
      <c r="AN310" s="4">
        <f t="shared" si="32"/>
        <v>0.292007168458781</v>
      </c>
      <c r="AO310" t="s">
        <v>221</v>
      </c>
      <c r="AQ310" t="s">
        <v>217</v>
      </c>
      <c r="AS310" t="s">
        <v>463</v>
      </c>
      <c r="AT310" t="s">
        <v>221</v>
      </c>
    </row>
    <row r="311" ht="15.75" customHeight="1" spans="1:46">
      <c r="A311" t="s">
        <v>536</v>
      </c>
      <c r="B311" t="s">
        <v>46</v>
      </c>
      <c r="C311" t="s">
        <v>435</v>
      </c>
      <c r="D311" t="s">
        <v>436</v>
      </c>
      <c r="E311" t="s">
        <v>515</v>
      </c>
      <c r="F311" t="s">
        <v>537</v>
      </c>
      <c r="H311" t="s">
        <v>456</v>
      </c>
      <c r="I311" t="s">
        <v>538</v>
      </c>
      <c r="J311" t="s">
        <v>458</v>
      </c>
      <c r="K311" t="s">
        <v>472</v>
      </c>
      <c r="L311" t="s">
        <v>443</v>
      </c>
      <c r="M311" t="s">
        <v>526</v>
      </c>
      <c r="Q311" t="s">
        <v>57</v>
      </c>
      <c r="R311" t="s">
        <v>539</v>
      </c>
      <c r="S311">
        <v>2</v>
      </c>
      <c r="V311" t="s">
        <v>461</v>
      </c>
      <c r="W311" t="s">
        <v>121</v>
      </c>
      <c r="X311" t="s">
        <v>512</v>
      </c>
      <c r="Y311" t="s">
        <v>540</v>
      </c>
      <c r="Z311">
        <v>8302</v>
      </c>
      <c r="AC311">
        <v>1</v>
      </c>
      <c r="AE311">
        <v>229</v>
      </c>
      <c r="AF311" s="4">
        <v>0.5</v>
      </c>
      <c r="AG311">
        <f t="shared" si="33"/>
        <v>114.5</v>
      </c>
      <c r="AH311" s="4">
        <v>0.18</v>
      </c>
      <c r="AI311">
        <f t="shared" si="28"/>
        <v>135.11</v>
      </c>
      <c r="AJ311" s="4">
        <v>0.2</v>
      </c>
      <c r="AK311">
        <f t="shared" si="29"/>
        <v>27.02</v>
      </c>
      <c r="AL311">
        <f t="shared" si="30"/>
        <v>162.13</v>
      </c>
      <c r="AM311">
        <f t="shared" si="31"/>
        <v>66.87</v>
      </c>
      <c r="AN311" s="4">
        <f t="shared" si="32"/>
        <v>0.292008733624454</v>
      </c>
      <c r="AO311" t="s">
        <v>221</v>
      </c>
      <c r="AQ311" t="s">
        <v>217</v>
      </c>
      <c r="AS311" t="s">
        <v>463</v>
      </c>
      <c r="AT311" t="s">
        <v>221</v>
      </c>
    </row>
    <row r="312" ht="15.75" customHeight="1" spans="1:46">
      <c r="A312" t="s">
        <v>541</v>
      </c>
      <c r="B312" t="s">
        <v>46</v>
      </c>
      <c r="C312" t="s">
        <v>435</v>
      </c>
      <c r="D312" t="s">
        <v>436</v>
      </c>
      <c r="E312" t="s">
        <v>515</v>
      </c>
      <c r="F312" t="s">
        <v>542</v>
      </c>
      <c r="H312" t="s">
        <v>456</v>
      </c>
      <c r="I312" t="s">
        <v>543</v>
      </c>
      <c r="J312" t="s">
        <v>458</v>
      </c>
      <c r="K312" t="s">
        <v>472</v>
      </c>
      <c r="L312" t="s">
        <v>443</v>
      </c>
      <c r="M312" t="s">
        <v>526</v>
      </c>
      <c r="Q312" t="s">
        <v>57</v>
      </c>
      <c r="R312" t="s">
        <v>544</v>
      </c>
      <c r="S312">
        <v>2</v>
      </c>
      <c r="V312" t="s">
        <v>461</v>
      </c>
      <c r="W312" t="s">
        <v>121</v>
      </c>
      <c r="X312" t="s">
        <v>512</v>
      </c>
      <c r="Y312" t="s">
        <v>545</v>
      </c>
      <c r="Z312">
        <v>8302</v>
      </c>
      <c r="AC312">
        <v>1</v>
      </c>
      <c r="AE312">
        <v>199</v>
      </c>
      <c r="AF312" s="4">
        <v>0.5</v>
      </c>
      <c r="AG312">
        <f t="shared" si="33"/>
        <v>99.5</v>
      </c>
      <c r="AH312" s="4">
        <v>0.18</v>
      </c>
      <c r="AI312">
        <f t="shared" si="28"/>
        <v>117.41</v>
      </c>
      <c r="AJ312" s="4">
        <v>0.2</v>
      </c>
      <c r="AK312">
        <f t="shared" si="29"/>
        <v>23.48</v>
      </c>
      <c r="AL312">
        <f t="shared" si="30"/>
        <v>140.89</v>
      </c>
      <c r="AM312">
        <f t="shared" si="31"/>
        <v>58.11</v>
      </c>
      <c r="AN312" s="4">
        <f t="shared" si="32"/>
        <v>0.292010050251256</v>
      </c>
      <c r="AO312" t="s">
        <v>221</v>
      </c>
      <c r="AQ312" t="s">
        <v>217</v>
      </c>
      <c r="AS312" t="s">
        <v>463</v>
      </c>
      <c r="AT312" t="s">
        <v>221</v>
      </c>
    </row>
    <row r="313" ht="15.75" customHeight="1" spans="1:46">
      <c r="A313" t="s">
        <v>546</v>
      </c>
      <c r="B313" t="s">
        <v>46</v>
      </c>
      <c r="C313" t="s">
        <v>435</v>
      </c>
      <c r="D313" t="s">
        <v>436</v>
      </c>
      <c r="E313" t="s">
        <v>515</v>
      </c>
      <c r="F313" t="s">
        <v>547</v>
      </c>
      <c r="H313" t="s">
        <v>456</v>
      </c>
      <c r="I313" t="s">
        <v>543</v>
      </c>
      <c r="J313" t="s">
        <v>458</v>
      </c>
      <c r="K313" t="s">
        <v>472</v>
      </c>
      <c r="L313" t="s">
        <v>443</v>
      </c>
      <c r="M313" t="s">
        <v>526</v>
      </c>
      <c r="Q313" t="s">
        <v>57</v>
      </c>
      <c r="R313" t="s">
        <v>548</v>
      </c>
      <c r="S313">
        <v>2</v>
      </c>
      <c r="V313" t="s">
        <v>461</v>
      </c>
      <c r="W313" t="s">
        <v>121</v>
      </c>
      <c r="X313" t="s">
        <v>512</v>
      </c>
      <c r="Y313" t="s">
        <v>545</v>
      </c>
      <c r="Z313">
        <v>8302</v>
      </c>
      <c r="AC313">
        <v>1</v>
      </c>
      <c r="AE313">
        <v>459</v>
      </c>
      <c r="AF313" s="4">
        <v>0.5</v>
      </c>
      <c r="AG313">
        <f t="shared" si="33"/>
        <v>229.5</v>
      </c>
      <c r="AH313" s="4">
        <v>0.18</v>
      </c>
      <c r="AI313">
        <f t="shared" si="28"/>
        <v>270.81</v>
      </c>
      <c r="AJ313" s="4">
        <v>0.2</v>
      </c>
      <c r="AK313">
        <f t="shared" si="29"/>
        <v>54.16</v>
      </c>
      <c r="AL313">
        <f t="shared" si="30"/>
        <v>324.97</v>
      </c>
      <c r="AM313">
        <f t="shared" si="31"/>
        <v>134.03</v>
      </c>
      <c r="AN313" s="4">
        <f t="shared" si="32"/>
        <v>0.292004357298475</v>
      </c>
      <c r="AO313" t="s">
        <v>221</v>
      </c>
      <c r="AQ313" t="s">
        <v>217</v>
      </c>
      <c r="AS313" t="s">
        <v>463</v>
      </c>
      <c r="AT313" t="s">
        <v>221</v>
      </c>
    </row>
    <row r="314" ht="15.75" customHeight="1" spans="1:46">
      <c r="A314" t="s">
        <v>549</v>
      </c>
      <c r="B314" t="s">
        <v>46</v>
      </c>
      <c r="C314" t="s">
        <v>435</v>
      </c>
      <c r="D314" t="s">
        <v>436</v>
      </c>
      <c r="E314" t="s">
        <v>515</v>
      </c>
      <c r="F314" t="s">
        <v>550</v>
      </c>
      <c r="H314" t="s">
        <v>456</v>
      </c>
      <c r="I314" t="s">
        <v>525</v>
      </c>
      <c r="J314" t="s">
        <v>458</v>
      </c>
      <c r="K314" t="s">
        <v>472</v>
      </c>
      <c r="L314" t="s">
        <v>443</v>
      </c>
      <c r="M314" t="s">
        <v>526</v>
      </c>
      <c r="Q314" t="s">
        <v>57</v>
      </c>
      <c r="R314" t="s">
        <v>551</v>
      </c>
      <c r="S314">
        <v>2</v>
      </c>
      <c r="V314" t="s">
        <v>461</v>
      </c>
      <c r="W314" t="s">
        <v>121</v>
      </c>
      <c r="X314" t="s">
        <v>512</v>
      </c>
      <c r="Y314" t="s">
        <v>552</v>
      </c>
      <c r="Z314">
        <v>8302</v>
      </c>
      <c r="AC314">
        <v>1</v>
      </c>
      <c r="AE314">
        <v>459</v>
      </c>
      <c r="AF314" s="4">
        <v>0.5</v>
      </c>
      <c r="AG314">
        <f t="shared" si="33"/>
        <v>229.5</v>
      </c>
      <c r="AH314" s="4">
        <v>0.18</v>
      </c>
      <c r="AI314">
        <f t="shared" si="28"/>
        <v>270.81</v>
      </c>
      <c r="AJ314" s="4">
        <v>0.2</v>
      </c>
      <c r="AK314">
        <f t="shared" si="29"/>
        <v>54.16</v>
      </c>
      <c r="AL314">
        <f t="shared" si="30"/>
        <v>324.97</v>
      </c>
      <c r="AM314">
        <f t="shared" si="31"/>
        <v>134.03</v>
      </c>
      <c r="AN314" s="4">
        <f t="shared" si="32"/>
        <v>0.292004357298475</v>
      </c>
      <c r="AO314" t="s">
        <v>221</v>
      </c>
      <c r="AQ314" t="s">
        <v>217</v>
      </c>
      <c r="AS314" t="s">
        <v>463</v>
      </c>
      <c r="AT314" t="s">
        <v>221</v>
      </c>
    </row>
    <row r="315" ht="15.75" customHeight="1" spans="1:46">
      <c r="A315" s="10" t="s">
        <v>553</v>
      </c>
      <c r="B315" s="10" t="s">
        <v>46</v>
      </c>
      <c r="C315" s="10" t="s">
        <v>435</v>
      </c>
      <c r="D315" s="10" t="s">
        <v>436</v>
      </c>
      <c r="E315" s="10" t="s">
        <v>554</v>
      </c>
      <c r="F315" s="10" t="s">
        <v>555</v>
      </c>
      <c r="G315" s="10"/>
      <c r="H315" s="10" t="s">
        <v>441</v>
      </c>
      <c r="I315" s="10" t="s">
        <v>442</v>
      </c>
      <c r="J315" s="10"/>
      <c r="K315" s="10"/>
      <c r="L315" s="10"/>
      <c r="M315" s="10"/>
      <c r="N315" s="10"/>
      <c r="O315" s="10"/>
      <c r="P315" s="10"/>
      <c r="Q315" s="10" t="s">
        <v>57</v>
      </c>
      <c r="R315" s="10">
        <v>2560</v>
      </c>
      <c r="S315" s="10"/>
      <c r="T315" s="10"/>
      <c r="U315" s="10">
        <v>0.23</v>
      </c>
      <c r="V315" s="10"/>
      <c r="W315" s="10" t="s">
        <v>121</v>
      </c>
      <c r="X315" s="10" t="s">
        <v>556</v>
      </c>
      <c r="Y315" s="10" t="s">
        <v>557</v>
      </c>
      <c r="Z315" s="10">
        <v>8302</v>
      </c>
      <c r="AA315" s="10"/>
      <c r="AB315" s="10"/>
      <c r="AC315" s="10">
        <v>1</v>
      </c>
      <c r="AD315" s="10"/>
      <c r="AE315" s="10">
        <v>56</v>
      </c>
      <c r="AF315" s="11">
        <v>0.5</v>
      </c>
      <c r="AG315" s="10">
        <f t="shared" si="33"/>
        <v>28</v>
      </c>
      <c r="AH315" s="11">
        <v>0.18</v>
      </c>
      <c r="AI315" s="10">
        <f t="shared" si="28"/>
        <v>33.04</v>
      </c>
      <c r="AJ315" s="11">
        <v>0.2</v>
      </c>
      <c r="AK315" s="10">
        <f t="shared" si="29"/>
        <v>6.61</v>
      </c>
      <c r="AL315" s="10">
        <f t="shared" si="30"/>
        <v>39.65</v>
      </c>
      <c r="AM315" s="10">
        <f t="shared" si="31"/>
        <v>16.35</v>
      </c>
      <c r="AN315" s="11">
        <f t="shared" si="32"/>
        <v>0.291964285714286</v>
      </c>
      <c r="AO315" s="10" t="s">
        <v>221</v>
      </c>
      <c r="AP315" s="10"/>
      <c r="AQ315" s="10" t="s">
        <v>217</v>
      </c>
      <c r="AR315" s="10"/>
      <c r="AS315" s="10" t="s">
        <v>463</v>
      </c>
      <c r="AT315" s="10" t="s">
        <v>558</v>
      </c>
    </row>
    <row r="316" ht="15.75" customHeight="1" spans="1:46">
      <c r="A316" t="s">
        <v>559</v>
      </c>
      <c r="B316" t="s">
        <v>46</v>
      </c>
      <c r="C316" t="s">
        <v>435</v>
      </c>
      <c r="D316" t="s">
        <v>436</v>
      </c>
      <c r="E316" t="s">
        <v>554</v>
      </c>
      <c r="F316" t="s">
        <v>560</v>
      </c>
      <c r="H316" t="s">
        <v>441</v>
      </c>
      <c r="I316" t="s">
        <v>442</v>
      </c>
      <c r="Q316" t="s">
        <v>57</v>
      </c>
      <c r="R316">
        <v>2561</v>
      </c>
      <c r="U316">
        <v>0.23</v>
      </c>
      <c r="W316" t="s">
        <v>121</v>
      </c>
      <c r="X316" t="s">
        <v>556</v>
      </c>
      <c r="Y316" t="s">
        <v>561</v>
      </c>
      <c r="Z316">
        <v>8302</v>
      </c>
      <c r="AC316">
        <v>1</v>
      </c>
      <c r="AE316">
        <v>66</v>
      </c>
      <c r="AF316" s="4">
        <v>0.5</v>
      </c>
      <c r="AG316">
        <f t="shared" si="33"/>
        <v>33</v>
      </c>
      <c r="AH316" s="4">
        <v>0.18</v>
      </c>
      <c r="AI316">
        <f t="shared" si="28"/>
        <v>38.94</v>
      </c>
      <c r="AJ316" s="4">
        <v>0.2</v>
      </c>
      <c r="AK316">
        <f t="shared" si="29"/>
        <v>7.79</v>
      </c>
      <c r="AL316">
        <f t="shared" si="30"/>
        <v>46.73</v>
      </c>
      <c r="AM316">
        <f t="shared" si="31"/>
        <v>19.27</v>
      </c>
      <c r="AN316" s="4">
        <f t="shared" si="32"/>
        <v>0.291969696969697</v>
      </c>
      <c r="AO316" t="s">
        <v>221</v>
      </c>
      <c r="AQ316" t="s">
        <v>217</v>
      </c>
      <c r="AS316" t="s">
        <v>463</v>
      </c>
      <c r="AT316" t="s">
        <v>221</v>
      </c>
    </row>
    <row r="317" ht="15.75" customHeight="1" spans="1:46">
      <c r="A317" s="10" t="s">
        <v>562</v>
      </c>
      <c r="B317" s="10" t="s">
        <v>46</v>
      </c>
      <c r="C317" s="10" t="s">
        <v>435</v>
      </c>
      <c r="D317" s="10" t="s">
        <v>436</v>
      </c>
      <c r="E317" s="10" t="s">
        <v>554</v>
      </c>
      <c r="F317" s="10" t="s">
        <v>563</v>
      </c>
      <c r="G317" s="10"/>
      <c r="H317" s="10" t="s">
        <v>441</v>
      </c>
      <c r="I317" s="10" t="s">
        <v>442</v>
      </c>
      <c r="J317" s="10"/>
      <c r="K317" s="10"/>
      <c r="L317" s="10"/>
      <c r="M317" s="10"/>
      <c r="N317" s="10"/>
      <c r="O317" s="10"/>
      <c r="P317" s="10"/>
      <c r="Q317" s="10" t="s">
        <v>57</v>
      </c>
      <c r="R317" s="10">
        <v>2562</v>
      </c>
      <c r="S317" s="10"/>
      <c r="T317" s="10"/>
      <c r="U317" s="10">
        <v>0.23</v>
      </c>
      <c r="V317" s="10"/>
      <c r="W317" s="10" t="s">
        <v>121</v>
      </c>
      <c r="X317" s="10" t="s">
        <v>556</v>
      </c>
      <c r="Y317" s="10" t="s">
        <v>564</v>
      </c>
      <c r="Z317" s="10">
        <v>8302</v>
      </c>
      <c r="AA317" s="10"/>
      <c r="AB317" s="10"/>
      <c r="AC317" s="10">
        <v>1</v>
      </c>
      <c r="AD317" s="10"/>
      <c r="AE317" s="10">
        <v>70</v>
      </c>
      <c r="AF317" s="11">
        <v>0.5</v>
      </c>
      <c r="AG317" s="10">
        <f t="shared" si="33"/>
        <v>35</v>
      </c>
      <c r="AH317" s="11">
        <v>0.18</v>
      </c>
      <c r="AI317" s="10">
        <f t="shared" si="28"/>
        <v>41.3</v>
      </c>
      <c r="AJ317" s="11">
        <v>0.2</v>
      </c>
      <c r="AK317" s="10">
        <f t="shared" si="29"/>
        <v>8.26</v>
      </c>
      <c r="AL317" s="10">
        <f t="shared" si="30"/>
        <v>49.56</v>
      </c>
      <c r="AM317" s="10">
        <f t="shared" si="31"/>
        <v>20.44</v>
      </c>
      <c r="AN317" s="11">
        <f t="shared" si="32"/>
        <v>0.292</v>
      </c>
      <c r="AO317" s="10" t="s">
        <v>221</v>
      </c>
      <c r="AP317" s="10"/>
      <c r="AQ317" s="10" t="s">
        <v>217</v>
      </c>
      <c r="AR317" s="10"/>
      <c r="AS317" s="10" t="s">
        <v>463</v>
      </c>
      <c r="AT317" s="10" t="s">
        <v>558</v>
      </c>
    </row>
    <row r="318" ht="15.75" customHeight="1" spans="1:46">
      <c r="A318" t="s">
        <v>565</v>
      </c>
      <c r="B318" t="s">
        <v>46</v>
      </c>
      <c r="C318" t="s">
        <v>435</v>
      </c>
      <c r="D318" t="s">
        <v>436</v>
      </c>
      <c r="E318" t="s">
        <v>554</v>
      </c>
      <c r="F318" t="s">
        <v>566</v>
      </c>
      <c r="H318" t="s">
        <v>441</v>
      </c>
      <c r="I318" t="s">
        <v>442</v>
      </c>
      <c r="Q318" t="s">
        <v>57</v>
      </c>
      <c r="R318">
        <v>2570</v>
      </c>
      <c r="U318">
        <v>0.23</v>
      </c>
      <c r="W318" t="s">
        <v>121</v>
      </c>
      <c r="X318" t="s">
        <v>556</v>
      </c>
      <c r="Y318" t="s">
        <v>567</v>
      </c>
      <c r="Z318">
        <v>8302</v>
      </c>
      <c r="AC318">
        <v>1</v>
      </c>
      <c r="AE318">
        <v>66</v>
      </c>
      <c r="AF318" s="4">
        <v>0.5</v>
      </c>
      <c r="AG318">
        <f t="shared" si="33"/>
        <v>33</v>
      </c>
      <c r="AH318" s="4">
        <v>0.18</v>
      </c>
      <c r="AI318">
        <f t="shared" si="28"/>
        <v>38.94</v>
      </c>
      <c r="AJ318" s="4">
        <v>0.2</v>
      </c>
      <c r="AK318">
        <f t="shared" si="29"/>
        <v>7.79</v>
      </c>
      <c r="AL318">
        <f t="shared" si="30"/>
        <v>46.73</v>
      </c>
      <c r="AM318">
        <f t="shared" si="31"/>
        <v>19.27</v>
      </c>
      <c r="AN318" s="4">
        <f t="shared" si="32"/>
        <v>0.291969696969697</v>
      </c>
      <c r="AO318" t="s">
        <v>221</v>
      </c>
      <c r="AQ318" t="s">
        <v>217</v>
      </c>
      <c r="AS318" t="s">
        <v>463</v>
      </c>
      <c r="AT318" t="s">
        <v>221</v>
      </c>
    </row>
    <row r="319" ht="15.75" customHeight="1" spans="1:46">
      <c r="A319" s="10" t="s">
        <v>568</v>
      </c>
      <c r="B319" s="10" t="s">
        <v>46</v>
      </c>
      <c r="C319" s="10" t="s">
        <v>435</v>
      </c>
      <c r="D319" s="10" t="s">
        <v>436</v>
      </c>
      <c r="E319" s="10" t="s">
        <v>554</v>
      </c>
      <c r="F319" s="10" t="s">
        <v>569</v>
      </c>
      <c r="G319" s="10"/>
      <c r="H319" s="10" t="s">
        <v>441</v>
      </c>
      <c r="I319" s="10" t="s">
        <v>442</v>
      </c>
      <c r="J319" s="10"/>
      <c r="K319" s="10"/>
      <c r="L319" s="10"/>
      <c r="M319" s="10"/>
      <c r="N319" s="10"/>
      <c r="O319" s="10"/>
      <c r="P319" s="10"/>
      <c r="Q319" s="10" t="s">
        <v>57</v>
      </c>
      <c r="R319" s="10">
        <v>2563</v>
      </c>
      <c r="S319" s="10"/>
      <c r="T319" s="10"/>
      <c r="U319" s="10">
        <v>0.23</v>
      </c>
      <c r="V319" s="10"/>
      <c r="W319" s="10" t="s">
        <v>121</v>
      </c>
      <c r="X319" s="10" t="s">
        <v>556</v>
      </c>
      <c r="Y319" s="10" t="s">
        <v>570</v>
      </c>
      <c r="Z319" s="10">
        <v>8302</v>
      </c>
      <c r="AA319" s="10"/>
      <c r="AB319" s="10"/>
      <c r="AC319" s="10">
        <v>1</v>
      </c>
      <c r="AD319" s="10"/>
      <c r="AE319" s="10">
        <v>442</v>
      </c>
      <c r="AF319" s="11">
        <v>0.5</v>
      </c>
      <c r="AG319" s="10">
        <f t="shared" si="33"/>
        <v>221</v>
      </c>
      <c r="AH319" s="11">
        <v>0.18</v>
      </c>
      <c r="AI319" s="10">
        <f t="shared" si="28"/>
        <v>260.78</v>
      </c>
      <c r="AJ319" s="11">
        <v>0.2</v>
      </c>
      <c r="AK319" s="10">
        <f t="shared" si="29"/>
        <v>52.16</v>
      </c>
      <c r="AL319" s="10">
        <f t="shared" si="30"/>
        <v>312.94</v>
      </c>
      <c r="AM319" s="10">
        <f t="shared" si="31"/>
        <v>129.06</v>
      </c>
      <c r="AN319" s="11">
        <f t="shared" si="32"/>
        <v>0.291990950226244</v>
      </c>
      <c r="AO319" s="10" t="s">
        <v>221</v>
      </c>
      <c r="AP319" s="10"/>
      <c r="AQ319" s="10" t="s">
        <v>217</v>
      </c>
      <c r="AR319" s="10"/>
      <c r="AS319" s="10" t="s">
        <v>463</v>
      </c>
      <c r="AT319" s="10" t="s">
        <v>558</v>
      </c>
    </row>
    <row r="320" ht="15.75" customHeight="1" spans="1:46">
      <c r="A320" s="10" t="s">
        <v>571</v>
      </c>
      <c r="B320" s="10" t="s">
        <v>46</v>
      </c>
      <c r="C320" s="10" t="s">
        <v>435</v>
      </c>
      <c r="D320" s="10" t="s">
        <v>436</v>
      </c>
      <c r="E320" s="10" t="s">
        <v>554</v>
      </c>
      <c r="F320" s="10" t="s">
        <v>572</v>
      </c>
      <c r="G320" s="10"/>
      <c r="H320" s="10" t="s">
        <v>441</v>
      </c>
      <c r="I320" s="10" t="s">
        <v>442</v>
      </c>
      <c r="J320" s="10"/>
      <c r="K320" s="10"/>
      <c r="L320" s="10"/>
      <c r="M320" s="10"/>
      <c r="N320" s="10"/>
      <c r="O320" s="10"/>
      <c r="P320" s="10"/>
      <c r="Q320" s="10" t="s">
        <v>57</v>
      </c>
      <c r="R320" s="10">
        <v>2564</v>
      </c>
      <c r="S320" s="10"/>
      <c r="T320" s="10"/>
      <c r="U320" s="10">
        <v>0.23</v>
      </c>
      <c r="V320" s="10"/>
      <c r="W320" s="10" t="s">
        <v>121</v>
      </c>
      <c r="X320" s="10" t="s">
        <v>556</v>
      </c>
      <c r="Y320" s="10" t="s">
        <v>573</v>
      </c>
      <c r="Z320" s="10">
        <v>8302</v>
      </c>
      <c r="AA320" s="10"/>
      <c r="AB320" s="10"/>
      <c r="AC320" s="10">
        <v>1</v>
      </c>
      <c r="AD320" s="10"/>
      <c r="AE320" s="10">
        <v>343</v>
      </c>
      <c r="AF320" s="11">
        <v>0.5</v>
      </c>
      <c r="AG320" s="10">
        <f t="shared" si="33"/>
        <v>171.5</v>
      </c>
      <c r="AH320" s="11">
        <v>0.18</v>
      </c>
      <c r="AI320" s="10">
        <f t="shared" si="28"/>
        <v>202.37</v>
      </c>
      <c r="AJ320" s="11">
        <v>0.2</v>
      </c>
      <c r="AK320" s="10">
        <f t="shared" si="29"/>
        <v>40.47</v>
      </c>
      <c r="AL320" s="10">
        <f t="shared" si="30"/>
        <v>242.84</v>
      </c>
      <c r="AM320" s="10">
        <f t="shared" si="31"/>
        <v>100.16</v>
      </c>
      <c r="AN320" s="11">
        <f t="shared" si="32"/>
        <v>0.29201166180758</v>
      </c>
      <c r="AO320" s="10" t="s">
        <v>221</v>
      </c>
      <c r="AP320" s="10"/>
      <c r="AQ320" s="10" t="s">
        <v>217</v>
      </c>
      <c r="AR320" s="10"/>
      <c r="AS320" s="10" t="s">
        <v>463</v>
      </c>
      <c r="AT320" s="10" t="s">
        <v>558</v>
      </c>
    </row>
    <row r="321" ht="15.75" customHeight="1" spans="1:46">
      <c r="A321" t="s">
        <v>574</v>
      </c>
      <c r="B321" t="s">
        <v>46</v>
      </c>
      <c r="C321" t="s">
        <v>435</v>
      </c>
      <c r="D321" t="s">
        <v>436</v>
      </c>
      <c r="E321" t="s">
        <v>554</v>
      </c>
      <c r="F321" t="s">
        <v>575</v>
      </c>
      <c r="H321" t="s">
        <v>441</v>
      </c>
      <c r="I321" t="s">
        <v>442</v>
      </c>
      <c r="J321" t="s">
        <v>55</v>
      </c>
      <c r="K321" t="s">
        <v>576</v>
      </c>
      <c r="Q321" t="s">
        <v>57</v>
      </c>
      <c r="R321">
        <v>2705</v>
      </c>
      <c r="Y321" t="s">
        <v>577</v>
      </c>
      <c r="Z321">
        <v>8302</v>
      </c>
      <c r="AE321">
        <v>421</v>
      </c>
      <c r="AF321" s="4">
        <v>0.5</v>
      </c>
      <c r="AG321">
        <f t="shared" si="33"/>
        <v>210.5</v>
      </c>
      <c r="AH321" s="4">
        <v>0.18</v>
      </c>
      <c r="AI321">
        <f t="shared" si="28"/>
        <v>248.39</v>
      </c>
      <c r="AJ321" s="4">
        <v>0.2</v>
      </c>
      <c r="AK321">
        <f t="shared" si="29"/>
        <v>49.68</v>
      </c>
      <c r="AL321">
        <f t="shared" si="30"/>
        <v>298.07</v>
      </c>
      <c r="AM321">
        <f t="shared" si="31"/>
        <v>122.93</v>
      </c>
      <c r="AN321" s="4">
        <f t="shared" si="32"/>
        <v>0.291995249406176</v>
      </c>
      <c r="AO321" t="s">
        <v>221</v>
      </c>
      <c r="AT321" t="s">
        <v>64</v>
      </c>
    </row>
    <row r="322" ht="15.75" customHeight="1" spans="1:46">
      <c r="A322" t="s">
        <v>578</v>
      </c>
      <c r="B322" t="s">
        <v>46</v>
      </c>
      <c r="C322" t="s">
        <v>435</v>
      </c>
      <c r="D322" t="s">
        <v>436</v>
      </c>
      <c r="E322" t="s">
        <v>554</v>
      </c>
      <c r="F322" t="s">
        <v>579</v>
      </c>
      <c r="H322" t="s">
        <v>441</v>
      </c>
      <c r="I322" t="s">
        <v>442</v>
      </c>
      <c r="J322" t="s">
        <v>55</v>
      </c>
      <c r="K322" t="s">
        <v>576</v>
      </c>
      <c r="Q322" t="s">
        <v>57</v>
      </c>
      <c r="R322">
        <v>2702</v>
      </c>
      <c r="Y322" t="s">
        <v>580</v>
      </c>
      <c r="Z322">
        <v>8302</v>
      </c>
      <c r="AE322">
        <v>442</v>
      </c>
      <c r="AF322" s="4">
        <v>0.5</v>
      </c>
      <c r="AG322">
        <f t="shared" si="33"/>
        <v>221</v>
      </c>
      <c r="AH322" s="4">
        <v>0.18</v>
      </c>
      <c r="AI322">
        <f t="shared" ref="AI322:AI385" si="34">ROUND(AG322+(AG322*AH322),2)</f>
        <v>260.78</v>
      </c>
      <c r="AJ322" s="4">
        <v>0.2</v>
      </c>
      <c r="AK322">
        <f t="shared" ref="AK322:AK385" si="35">ROUND(AI322*AJ322,2)</f>
        <v>52.16</v>
      </c>
      <c r="AL322">
        <f t="shared" ref="AL322:AL385" si="36">AI322+AK322</f>
        <v>312.94</v>
      </c>
      <c r="AM322">
        <f t="shared" ref="AM322:AM385" si="37">AE322-AL322</f>
        <v>129.06</v>
      </c>
      <c r="AN322" s="4">
        <f t="shared" ref="AN322:AN385" si="38">AM322/AE322</f>
        <v>0.291990950226244</v>
      </c>
      <c r="AO322" t="s">
        <v>221</v>
      </c>
      <c r="AT322" t="s">
        <v>64</v>
      </c>
    </row>
    <row r="323" ht="15.75" customHeight="1" spans="1:46">
      <c r="A323" t="s">
        <v>581</v>
      </c>
      <c r="B323" t="s">
        <v>46</v>
      </c>
      <c r="C323" t="s">
        <v>435</v>
      </c>
      <c r="D323" t="s">
        <v>436</v>
      </c>
      <c r="E323" t="s">
        <v>554</v>
      </c>
      <c r="F323" t="s">
        <v>582</v>
      </c>
      <c r="H323" t="s">
        <v>441</v>
      </c>
      <c r="I323" t="s">
        <v>442</v>
      </c>
      <c r="J323" t="s">
        <v>55</v>
      </c>
      <c r="K323" t="s">
        <v>56</v>
      </c>
      <c r="Q323" t="s">
        <v>57</v>
      </c>
      <c r="R323">
        <v>2706</v>
      </c>
      <c r="Y323" t="s">
        <v>583</v>
      </c>
      <c r="Z323">
        <v>8302</v>
      </c>
      <c r="AE323">
        <v>343</v>
      </c>
      <c r="AF323" s="4">
        <v>0.5</v>
      </c>
      <c r="AG323">
        <f t="shared" si="33"/>
        <v>171.5</v>
      </c>
      <c r="AH323" s="4">
        <v>0.18</v>
      </c>
      <c r="AI323">
        <f t="shared" si="34"/>
        <v>202.37</v>
      </c>
      <c r="AJ323" s="4">
        <v>0.2</v>
      </c>
      <c r="AK323">
        <f t="shared" si="35"/>
        <v>40.47</v>
      </c>
      <c r="AL323">
        <f t="shared" si="36"/>
        <v>242.84</v>
      </c>
      <c r="AM323">
        <f t="shared" si="37"/>
        <v>100.16</v>
      </c>
      <c r="AN323" s="4">
        <f t="shared" si="38"/>
        <v>0.29201166180758</v>
      </c>
      <c r="AO323" t="s">
        <v>221</v>
      </c>
      <c r="AT323" t="s">
        <v>64</v>
      </c>
    </row>
    <row r="324" ht="15.75" customHeight="1" spans="1:46">
      <c r="A324" t="s">
        <v>584</v>
      </c>
      <c r="B324" t="s">
        <v>46</v>
      </c>
      <c r="C324" t="s">
        <v>435</v>
      </c>
      <c r="D324" t="s">
        <v>436</v>
      </c>
      <c r="E324" t="s">
        <v>554</v>
      </c>
      <c r="F324" t="s">
        <v>585</v>
      </c>
      <c r="H324" t="s">
        <v>441</v>
      </c>
      <c r="I324" t="s">
        <v>442</v>
      </c>
      <c r="J324" t="s">
        <v>55</v>
      </c>
      <c r="K324" t="s">
        <v>56</v>
      </c>
      <c r="Q324" t="s">
        <v>57</v>
      </c>
      <c r="R324">
        <v>2703</v>
      </c>
      <c r="Y324" t="s">
        <v>586</v>
      </c>
      <c r="Z324">
        <v>8302</v>
      </c>
      <c r="AE324">
        <v>364</v>
      </c>
      <c r="AF324" s="4">
        <v>0.5</v>
      </c>
      <c r="AG324">
        <f t="shared" si="33"/>
        <v>182</v>
      </c>
      <c r="AH324" s="4">
        <v>0.18</v>
      </c>
      <c r="AI324">
        <f t="shared" si="34"/>
        <v>214.76</v>
      </c>
      <c r="AJ324" s="4">
        <v>0.2</v>
      </c>
      <c r="AK324">
        <f t="shared" si="35"/>
        <v>42.95</v>
      </c>
      <c r="AL324">
        <f t="shared" si="36"/>
        <v>257.71</v>
      </c>
      <c r="AM324">
        <f t="shared" si="37"/>
        <v>106.29</v>
      </c>
      <c r="AN324" s="4">
        <f t="shared" si="38"/>
        <v>0.292005494505495</v>
      </c>
      <c r="AO324" t="s">
        <v>221</v>
      </c>
      <c r="AT324" t="s">
        <v>64</v>
      </c>
    </row>
    <row r="325" ht="15.75" customHeight="1" spans="1:46">
      <c r="A325" t="s">
        <v>578</v>
      </c>
      <c r="B325" t="s">
        <v>67</v>
      </c>
      <c r="C325" t="s">
        <v>435</v>
      </c>
      <c r="D325" t="s">
        <v>436</v>
      </c>
      <c r="E325" t="s">
        <v>554</v>
      </c>
      <c r="F325" t="s">
        <v>579</v>
      </c>
      <c r="H325" t="s">
        <v>441</v>
      </c>
      <c r="I325" t="s">
        <v>587</v>
      </c>
      <c r="J325" t="s">
        <v>55</v>
      </c>
      <c r="K325" t="s">
        <v>576</v>
      </c>
      <c r="Q325" t="s">
        <v>57</v>
      </c>
      <c r="R325">
        <v>2708</v>
      </c>
      <c r="Y325" t="s">
        <v>588</v>
      </c>
      <c r="Z325">
        <v>8302</v>
      </c>
      <c r="AE325">
        <v>400</v>
      </c>
      <c r="AF325" s="4">
        <v>0.5</v>
      </c>
      <c r="AG325">
        <f t="shared" si="33"/>
        <v>200</v>
      </c>
      <c r="AH325" s="4">
        <v>0.18</v>
      </c>
      <c r="AI325">
        <f t="shared" si="34"/>
        <v>236</v>
      </c>
      <c r="AJ325" s="4">
        <v>0.2</v>
      </c>
      <c r="AK325">
        <f t="shared" si="35"/>
        <v>47.2</v>
      </c>
      <c r="AL325">
        <f t="shared" si="36"/>
        <v>283.2</v>
      </c>
      <c r="AM325">
        <f t="shared" si="37"/>
        <v>116.8</v>
      </c>
      <c r="AN325" s="4">
        <f t="shared" si="38"/>
        <v>0.292</v>
      </c>
      <c r="AO325" t="s">
        <v>221</v>
      </c>
      <c r="AT325" t="s">
        <v>64</v>
      </c>
    </row>
    <row r="326" ht="15.75" customHeight="1" spans="1:46">
      <c r="A326" t="s">
        <v>574</v>
      </c>
      <c r="B326" t="s">
        <v>67</v>
      </c>
      <c r="C326" t="s">
        <v>435</v>
      </c>
      <c r="D326" t="s">
        <v>436</v>
      </c>
      <c r="E326" t="s">
        <v>554</v>
      </c>
      <c r="F326" t="s">
        <v>575</v>
      </c>
      <c r="H326" t="s">
        <v>441</v>
      </c>
      <c r="I326" t="s">
        <v>587</v>
      </c>
      <c r="J326" t="s">
        <v>55</v>
      </c>
      <c r="K326" t="s">
        <v>576</v>
      </c>
      <c r="Q326" t="s">
        <v>57</v>
      </c>
      <c r="R326">
        <v>2711</v>
      </c>
      <c r="Y326" t="s">
        <v>589</v>
      </c>
      <c r="Z326">
        <v>8302</v>
      </c>
      <c r="AE326">
        <v>385</v>
      </c>
      <c r="AF326" s="4">
        <v>0.5</v>
      </c>
      <c r="AG326">
        <f t="shared" si="33"/>
        <v>192.5</v>
      </c>
      <c r="AH326" s="4">
        <v>0.18</v>
      </c>
      <c r="AI326">
        <f t="shared" si="34"/>
        <v>227.15</v>
      </c>
      <c r="AJ326" s="4">
        <v>0.2</v>
      </c>
      <c r="AK326">
        <f t="shared" si="35"/>
        <v>45.43</v>
      </c>
      <c r="AL326">
        <f t="shared" si="36"/>
        <v>272.58</v>
      </c>
      <c r="AM326">
        <f t="shared" si="37"/>
        <v>112.42</v>
      </c>
      <c r="AN326" s="4">
        <f t="shared" si="38"/>
        <v>0.292</v>
      </c>
      <c r="AO326" t="s">
        <v>221</v>
      </c>
      <c r="AT326" t="s">
        <v>64</v>
      </c>
    </row>
    <row r="327" ht="15.75" customHeight="1" spans="1:46">
      <c r="A327" t="s">
        <v>581</v>
      </c>
      <c r="B327" t="s">
        <v>67</v>
      </c>
      <c r="C327" t="s">
        <v>435</v>
      </c>
      <c r="D327" t="s">
        <v>436</v>
      </c>
      <c r="E327" t="s">
        <v>554</v>
      </c>
      <c r="F327" t="s">
        <v>582</v>
      </c>
      <c r="H327" t="s">
        <v>441</v>
      </c>
      <c r="I327" t="s">
        <v>587</v>
      </c>
      <c r="J327" t="s">
        <v>55</v>
      </c>
      <c r="K327" t="s">
        <v>56</v>
      </c>
      <c r="Q327" t="s">
        <v>57</v>
      </c>
      <c r="R327">
        <v>2712</v>
      </c>
      <c r="Y327" t="s">
        <v>590</v>
      </c>
      <c r="Z327">
        <v>8302</v>
      </c>
      <c r="AE327">
        <v>385</v>
      </c>
      <c r="AF327" s="4">
        <v>0.5</v>
      </c>
      <c r="AG327">
        <f t="shared" si="33"/>
        <v>192.5</v>
      </c>
      <c r="AH327" s="4">
        <v>0.18</v>
      </c>
      <c r="AI327">
        <f t="shared" si="34"/>
        <v>227.15</v>
      </c>
      <c r="AJ327" s="4">
        <v>0.2</v>
      </c>
      <c r="AK327">
        <f t="shared" si="35"/>
        <v>45.43</v>
      </c>
      <c r="AL327">
        <f t="shared" si="36"/>
        <v>272.58</v>
      </c>
      <c r="AM327">
        <f t="shared" si="37"/>
        <v>112.42</v>
      </c>
      <c r="AN327" s="4">
        <f t="shared" si="38"/>
        <v>0.292</v>
      </c>
      <c r="AO327" t="s">
        <v>221</v>
      </c>
      <c r="AT327" t="s">
        <v>64</v>
      </c>
    </row>
    <row r="328" ht="15.75" customHeight="1" spans="1:46">
      <c r="A328" t="s">
        <v>584</v>
      </c>
      <c r="B328" t="s">
        <v>67</v>
      </c>
      <c r="C328" t="s">
        <v>435</v>
      </c>
      <c r="D328" t="s">
        <v>436</v>
      </c>
      <c r="E328" t="s">
        <v>554</v>
      </c>
      <c r="F328" t="s">
        <v>585</v>
      </c>
      <c r="H328" t="s">
        <v>441</v>
      </c>
      <c r="I328" t="s">
        <v>587</v>
      </c>
      <c r="J328" t="s">
        <v>55</v>
      </c>
      <c r="K328" t="s">
        <v>56</v>
      </c>
      <c r="Q328" t="s">
        <v>57</v>
      </c>
      <c r="R328">
        <v>2709</v>
      </c>
      <c r="Y328" t="s">
        <v>591</v>
      </c>
      <c r="Z328">
        <v>8302</v>
      </c>
      <c r="AE328">
        <v>348</v>
      </c>
      <c r="AF328" s="4">
        <v>0.5</v>
      </c>
      <c r="AG328">
        <f t="shared" si="33"/>
        <v>174</v>
      </c>
      <c r="AH328" s="4">
        <v>0.18</v>
      </c>
      <c r="AI328">
        <f t="shared" si="34"/>
        <v>205.32</v>
      </c>
      <c r="AJ328" s="4">
        <v>0.2</v>
      </c>
      <c r="AK328">
        <f t="shared" si="35"/>
        <v>41.06</v>
      </c>
      <c r="AL328">
        <f t="shared" si="36"/>
        <v>246.38</v>
      </c>
      <c r="AM328">
        <f t="shared" si="37"/>
        <v>101.62</v>
      </c>
      <c r="AN328" s="4">
        <f t="shared" si="38"/>
        <v>0.292011494252874</v>
      </c>
      <c r="AO328" t="s">
        <v>221</v>
      </c>
      <c r="AT328" t="s">
        <v>64</v>
      </c>
    </row>
    <row r="329" ht="15.75" customHeight="1" spans="1:46">
      <c r="A329" s="10" t="s">
        <v>592</v>
      </c>
      <c r="B329" s="10" t="s">
        <v>46</v>
      </c>
      <c r="C329" s="10" t="s">
        <v>435</v>
      </c>
      <c r="D329" s="10" t="s">
        <v>436</v>
      </c>
      <c r="E329" s="10" t="s">
        <v>554</v>
      </c>
      <c r="F329" s="10" t="s">
        <v>593</v>
      </c>
      <c r="G329" s="10"/>
      <c r="H329" s="10" t="s">
        <v>458</v>
      </c>
      <c r="I329" s="10" t="s">
        <v>521</v>
      </c>
      <c r="J329" s="10" t="s">
        <v>443</v>
      </c>
      <c r="K329" s="10" t="s">
        <v>594</v>
      </c>
      <c r="L329" s="10"/>
      <c r="M329" s="10"/>
      <c r="N329" s="10"/>
      <c r="O329" s="10"/>
      <c r="P329" s="10"/>
      <c r="Q329" s="10" t="s">
        <v>57</v>
      </c>
      <c r="R329" s="10">
        <v>2225</v>
      </c>
      <c r="S329" s="10">
        <v>2</v>
      </c>
      <c r="T329" s="10"/>
      <c r="U329" s="10">
        <v>0.23</v>
      </c>
      <c r="V329" s="10" t="s">
        <v>461</v>
      </c>
      <c r="W329" s="10" t="s">
        <v>121</v>
      </c>
      <c r="X329" s="10"/>
      <c r="Y329" s="10" t="s">
        <v>595</v>
      </c>
      <c r="Z329" s="10">
        <v>8302</v>
      </c>
      <c r="AA329" s="10"/>
      <c r="AB329" s="10"/>
      <c r="AC329" s="10">
        <v>1</v>
      </c>
      <c r="AD329" s="10"/>
      <c r="AE329" s="10">
        <v>290</v>
      </c>
      <c r="AF329" s="11">
        <v>0.5</v>
      </c>
      <c r="AG329" s="10">
        <f t="shared" si="33"/>
        <v>145</v>
      </c>
      <c r="AH329" s="11">
        <v>0.18</v>
      </c>
      <c r="AI329" s="10">
        <f t="shared" si="34"/>
        <v>171.1</v>
      </c>
      <c r="AJ329" s="11">
        <v>0.2</v>
      </c>
      <c r="AK329" s="10">
        <f t="shared" si="35"/>
        <v>34.22</v>
      </c>
      <c r="AL329" s="10">
        <f t="shared" si="36"/>
        <v>205.32</v>
      </c>
      <c r="AM329" s="10">
        <f t="shared" si="37"/>
        <v>84.68</v>
      </c>
      <c r="AN329" s="11">
        <f t="shared" si="38"/>
        <v>0.292</v>
      </c>
      <c r="AO329" s="10" t="s">
        <v>221</v>
      </c>
      <c r="AP329" s="10"/>
      <c r="AQ329" s="10" t="s">
        <v>217</v>
      </c>
      <c r="AR329" s="10"/>
      <c r="AS329" s="10" t="s">
        <v>463</v>
      </c>
      <c r="AT329" s="10" t="s">
        <v>558</v>
      </c>
    </row>
    <row r="330" ht="15.75" customHeight="1" spans="1:46">
      <c r="A330" s="10" t="s">
        <v>592</v>
      </c>
      <c r="B330" s="10" t="s">
        <v>67</v>
      </c>
      <c r="C330" s="10" t="s">
        <v>435</v>
      </c>
      <c r="D330" s="10" t="s">
        <v>436</v>
      </c>
      <c r="E330" s="10" t="s">
        <v>554</v>
      </c>
      <c r="F330" s="10" t="s">
        <v>593</v>
      </c>
      <c r="G330" s="10"/>
      <c r="H330" s="10" t="s">
        <v>458</v>
      </c>
      <c r="I330" s="10" t="s">
        <v>519</v>
      </c>
      <c r="J330" s="10" t="s">
        <v>443</v>
      </c>
      <c r="K330" s="10" t="s">
        <v>594</v>
      </c>
      <c r="L330" s="10"/>
      <c r="M330" s="10"/>
      <c r="N330" s="10"/>
      <c r="O330" s="10"/>
      <c r="P330" s="10"/>
      <c r="Q330" s="10" t="s">
        <v>57</v>
      </c>
      <c r="R330" s="10">
        <v>2224</v>
      </c>
      <c r="S330" s="10">
        <v>2</v>
      </c>
      <c r="T330" s="10"/>
      <c r="U330" s="10">
        <v>0.23</v>
      </c>
      <c r="V330" s="10" t="s">
        <v>461</v>
      </c>
      <c r="W330" s="10" t="s">
        <v>121</v>
      </c>
      <c r="X330" s="10"/>
      <c r="Y330" s="10" t="s">
        <v>596</v>
      </c>
      <c r="Z330" s="10">
        <v>8302</v>
      </c>
      <c r="AA330" s="10"/>
      <c r="AB330" s="10"/>
      <c r="AC330" s="10">
        <v>1</v>
      </c>
      <c r="AD330" s="10"/>
      <c r="AE330" s="10">
        <v>280</v>
      </c>
      <c r="AF330" s="11">
        <v>0.5</v>
      </c>
      <c r="AG330" s="10">
        <f t="shared" si="33"/>
        <v>140</v>
      </c>
      <c r="AH330" s="11">
        <v>0.18</v>
      </c>
      <c r="AI330" s="10">
        <f t="shared" si="34"/>
        <v>165.2</v>
      </c>
      <c r="AJ330" s="11">
        <v>0.2</v>
      </c>
      <c r="AK330" s="10">
        <f t="shared" si="35"/>
        <v>33.04</v>
      </c>
      <c r="AL330" s="10">
        <f t="shared" si="36"/>
        <v>198.24</v>
      </c>
      <c r="AM330" s="10">
        <f t="shared" si="37"/>
        <v>81.76</v>
      </c>
      <c r="AN330" s="11">
        <f t="shared" si="38"/>
        <v>0.292</v>
      </c>
      <c r="AO330" s="10" t="s">
        <v>221</v>
      </c>
      <c r="AP330" s="10"/>
      <c r="AQ330" s="10" t="s">
        <v>217</v>
      </c>
      <c r="AR330" s="10"/>
      <c r="AS330" s="10" t="s">
        <v>463</v>
      </c>
      <c r="AT330" s="10" t="s">
        <v>558</v>
      </c>
    </row>
    <row r="331" ht="15.75" customHeight="1" spans="1:46">
      <c r="A331" s="10" t="s">
        <v>592</v>
      </c>
      <c r="B331" s="10" t="s">
        <v>71</v>
      </c>
      <c r="C331" s="10" t="s">
        <v>435</v>
      </c>
      <c r="D331" s="10" t="s">
        <v>436</v>
      </c>
      <c r="E331" s="10" t="s">
        <v>554</v>
      </c>
      <c r="F331" s="10" t="s">
        <v>593</v>
      </c>
      <c r="G331" s="10"/>
      <c r="H331" s="10" t="s">
        <v>458</v>
      </c>
      <c r="I331" s="10" t="s">
        <v>472</v>
      </c>
      <c r="J331" s="10" t="s">
        <v>443</v>
      </c>
      <c r="K331" s="10" t="s">
        <v>594</v>
      </c>
      <c r="L331" s="10"/>
      <c r="M331" s="10"/>
      <c r="N331" s="10"/>
      <c r="O331" s="10"/>
      <c r="P331" s="10"/>
      <c r="Q331" s="10" t="s">
        <v>57</v>
      </c>
      <c r="R331" s="10">
        <v>2223</v>
      </c>
      <c r="S331" s="10">
        <v>2</v>
      </c>
      <c r="T331" s="10"/>
      <c r="U331" s="10">
        <v>0.23</v>
      </c>
      <c r="V331" s="10" t="s">
        <v>461</v>
      </c>
      <c r="W331" s="10" t="s">
        <v>121</v>
      </c>
      <c r="X331" s="10"/>
      <c r="Y331" s="10" t="s">
        <v>597</v>
      </c>
      <c r="Z331" s="10">
        <v>8302</v>
      </c>
      <c r="AA331" s="10"/>
      <c r="AB331" s="10"/>
      <c r="AC331" s="10">
        <v>1</v>
      </c>
      <c r="AD331" s="10"/>
      <c r="AE331" s="10">
        <v>270</v>
      </c>
      <c r="AF331" s="11">
        <v>0.5</v>
      </c>
      <c r="AG331" s="10">
        <f t="shared" si="33"/>
        <v>135</v>
      </c>
      <c r="AH331" s="11">
        <v>0.18</v>
      </c>
      <c r="AI331" s="10">
        <f t="shared" si="34"/>
        <v>159.3</v>
      </c>
      <c r="AJ331" s="11">
        <v>0.2</v>
      </c>
      <c r="AK331" s="10">
        <f t="shared" si="35"/>
        <v>31.86</v>
      </c>
      <c r="AL331" s="10">
        <f t="shared" si="36"/>
        <v>191.16</v>
      </c>
      <c r="AM331" s="10">
        <f t="shared" si="37"/>
        <v>78.84</v>
      </c>
      <c r="AN331" s="11">
        <f t="shared" si="38"/>
        <v>0.292</v>
      </c>
      <c r="AO331" s="10" t="s">
        <v>221</v>
      </c>
      <c r="AP331" s="10"/>
      <c r="AQ331" s="10" t="s">
        <v>217</v>
      </c>
      <c r="AR331" s="10"/>
      <c r="AS331" s="10" t="s">
        <v>463</v>
      </c>
      <c r="AT331" s="10" t="s">
        <v>558</v>
      </c>
    </row>
    <row r="332" ht="15.75" customHeight="1" spans="1:46">
      <c r="A332" s="10" t="s">
        <v>598</v>
      </c>
      <c r="B332" s="10" t="s">
        <v>46</v>
      </c>
      <c r="C332" s="10" t="s">
        <v>435</v>
      </c>
      <c r="D332" s="10" t="s">
        <v>436</v>
      </c>
      <c r="E332" s="10" t="s">
        <v>554</v>
      </c>
      <c r="F332" s="10" t="s">
        <v>599</v>
      </c>
      <c r="G332" s="10"/>
      <c r="H332" s="10" t="s">
        <v>458</v>
      </c>
      <c r="I332" s="10" t="s">
        <v>521</v>
      </c>
      <c r="J332" s="10" t="s">
        <v>443</v>
      </c>
      <c r="K332" s="10" t="s">
        <v>594</v>
      </c>
      <c r="L332" s="10"/>
      <c r="M332" s="10"/>
      <c r="N332" s="10"/>
      <c r="O332" s="10"/>
      <c r="P332" s="10"/>
      <c r="Q332" s="10" t="s">
        <v>57</v>
      </c>
      <c r="R332" s="10">
        <v>2226</v>
      </c>
      <c r="S332" s="10">
        <v>2</v>
      </c>
      <c r="T332" s="10"/>
      <c r="U332" s="10">
        <v>0.23</v>
      </c>
      <c r="V332" s="10" t="s">
        <v>461</v>
      </c>
      <c r="W332" s="10"/>
      <c r="X332" s="10"/>
      <c r="Y332" s="10" t="s">
        <v>600</v>
      </c>
      <c r="Z332" s="10">
        <v>8302</v>
      </c>
      <c r="AA332" s="10"/>
      <c r="AB332" s="10"/>
      <c r="AC332" s="10">
        <v>1</v>
      </c>
      <c r="AD332" s="10"/>
      <c r="AE332" s="10">
        <v>310</v>
      </c>
      <c r="AF332" s="11">
        <v>0.5</v>
      </c>
      <c r="AG332" s="10">
        <f t="shared" si="33"/>
        <v>155</v>
      </c>
      <c r="AH332" s="11">
        <v>0.18</v>
      </c>
      <c r="AI332" s="10">
        <f t="shared" si="34"/>
        <v>182.9</v>
      </c>
      <c r="AJ332" s="11">
        <v>0.2</v>
      </c>
      <c r="AK332" s="10">
        <f t="shared" si="35"/>
        <v>36.58</v>
      </c>
      <c r="AL332" s="10">
        <f t="shared" si="36"/>
        <v>219.48</v>
      </c>
      <c r="AM332" s="10">
        <f t="shared" si="37"/>
        <v>90.52</v>
      </c>
      <c r="AN332" s="11">
        <f t="shared" si="38"/>
        <v>0.292</v>
      </c>
      <c r="AO332" s="10" t="s">
        <v>221</v>
      </c>
      <c r="AP332" s="10"/>
      <c r="AQ332" s="10" t="s">
        <v>217</v>
      </c>
      <c r="AR332" s="10"/>
      <c r="AS332" s="10" t="s">
        <v>463</v>
      </c>
      <c r="AT332" s="10" t="s">
        <v>558</v>
      </c>
    </row>
    <row r="333" ht="15.75" customHeight="1" spans="1:46">
      <c r="A333" s="10" t="s">
        <v>598</v>
      </c>
      <c r="B333" s="10" t="s">
        <v>67</v>
      </c>
      <c r="C333" s="10" t="s">
        <v>435</v>
      </c>
      <c r="D333" s="10" t="s">
        <v>436</v>
      </c>
      <c r="E333" s="10" t="s">
        <v>554</v>
      </c>
      <c r="F333" s="10" t="s">
        <v>599</v>
      </c>
      <c r="G333" s="10"/>
      <c r="H333" s="10" t="s">
        <v>458</v>
      </c>
      <c r="I333" s="10" t="s">
        <v>519</v>
      </c>
      <c r="J333" s="10" t="s">
        <v>443</v>
      </c>
      <c r="K333" s="10" t="s">
        <v>594</v>
      </c>
      <c r="L333" s="10"/>
      <c r="M333" s="10"/>
      <c r="N333" s="10"/>
      <c r="O333" s="10"/>
      <c r="P333" s="10"/>
      <c r="Q333" s="10" t="s">
        <v>57</v>
      </c>
      <c r="R333" s="10">
        <v>2227</v>
      </c>
      <c r="S333" s="10">
        <v>2</v>
      </c>
      <c r="T333" s="10"/>
      <c r="U333" s="10">
        <v>0.23</v>
      </c>
      <c r="V333" s="10" t="s">
        <v>461</v>
      </c>
      <c r="W333" s="10"/>
      <c r="X333" s="10"/>
      <c r="Y333" s="10" t="s">
        <v>601</v>
      </c>
      <c r="Z333" s="10">
        <v>8302</v>
      </c>
      <c r="AA333" s="10"/>
      <c r="AB333" s="10"/>
      <c r="AC333" s="10">
        <v>1</v>
      </c>
      <c r="AD333" s="10"/>
      <c r="AE333" s="10">
        <v>295</v>
      </c>
      <c r="AF333" s="11">
        <v>0.5</v>
      </c>
      <c r="AG333" s="10">
        <f t="shared" si="33"/>
        <v>147.5</v>
      </c>
      <c r="AH333" s="11">
        <v>0.18</v>
      </c>
      <c r="AI333" s="10">
        <f t="shared" si="34"/>
        <v>174.05</v>
      </c>
      <c r="AJ333" s="11">
        <v>0.2</v>
      </c>
      <c r="AK333" s="10">
        <f t="shared" si="35"/>
        <v>34.81</v>
      </c>
      <c r="AL333" s="10">
        <f t="shared" si="36"/>
        <v>208.86</v>
      </c>
      <c r="AM333" s="10">
        <f t="shared" si="37"/>
        <v>86.14</v>
      </c>
      <c r="AN333" s="11">
        <f t="shared" si="38"/>
        <v>0.292</v>
      </c>
      <c r="AO333" s="10" t="s">
        <v>221</v>
      </c>
      <c r="AP333" s="10"/>
      <c r="AQ333" s="10" t="s">
        <v>217</v>
      </c>
      <c r="AR333" s="10"/>
      <c r="AS333" s="10" t="s">
        <v>463</v>
      </c>
      <c r="AT333" s="10" t="s">
        <v>558</v>
      </c>
    </row>
    <row r="334" ht="15.75" customHeight="1" spans="1:46">
      <c r="A334" s="10" t="s">
        <v>598</v>
      </c>
      <c r="B334" s="10" t="s">
        <v>71</v>
      </c>
      <c r="C334" s="10" t="s">
        <v>435</v>
      </c>
      <c r="D334" s="10" t="s">
        <v>436</v>
      </c>
      <c r="E334" s="10" t="s">
        <v>554</v>
      </c>
      <c r="F334" s="10" t="s">
        <v>599</v>
      </c>
      <c r="G334" s="10"/>
      <c r="H334" s="10" t="s">
        <v>458</v>
      </c>
      <c r="I334" s="10" t="s">
        <v>472</v>
      </c>
      <c r="J334" s="10" t="s">
        <v>443</v>
      </c>
      <c r="K334" s="10" t="s">
        <v>594</v>
      </c>
      <c r="L334" s="10"/>
      <c r="M334" s="10"/>
      <c r="N334" s="10"/>
      <c r="O334" s="10"/>
      <c r="P334" s="10"/>
      <c r="Q334" s="10" t="s">
        <v>57</v>
      </c>
      <c r="R334" s="10">
        <v>2228</v>
      </c>
      <c r="S334" s="10">
        <v>2</v>
      </c>
      <c r="T334" s="10"/>
      <c r="U334" s="10">
        <v>0.23</v>
      </c>
      <c r="V334" s="10" t="s">
        <v>461</v>
      </c>
      <c r="W334" s="10"/>
      <c r="X334" s="10"/>
      <c r="Y334" s="10" t="s">
        <v>602</v>
      </c>
      <c r="Z334" s="10">
        <v>8302</v>
      </c>
      <c r="AA334" s="10"/>
      <c r="AB334" s="10"/>
      <c r="AC334" s="10">
        <v>1</v>
      </c>
      <c r="AD334" s="10"/>
      <c r="AE334" s="10">
        <v>285</v>
      </c>
      <c r="AF334" s="11">
        <v>0.5</v>
      </c>
      <c r="AG334" s="10">
        <f t="shared" si="33"/>
        <v>142.5</v>
      </c>
      <c r="AH334" s="11">
        <v>0.18</v>
      </c>
      <c r="AI334" s="10">
        <f t="shared" si="34"/>
        <v>168.15</v>
      </c>
      <c r="AJ334" s="11">
        <v>0.2</v>
      </c>
      <c r="AK334" s="10">
        <f t="shared" si="35"/>
        <v>33.63</v>
      </c>
      <c r="AL334" s="10">
        <f t="shared" si="36"/>
        <v>201.78</v>
      </c>
      <c r="AM334" s="10">
        <f t="shared" si="37"/>
        <v>83.22</v>
      </c>
      <c r="AN334" s="11">
        <f t="shared" si="38"/>
        <v>0.292</v>
      </c>
      <c r="AO334" s="10" t="s">
        <v>221</v>
      </c>
      <c r="AP334" s="10"/>
      <c r="AQ334" s="10" t="s">
        <v>217</v>
      </c>
      <c r="AR334" s="10"/>
      <c r="AS334" s="10" t="s">
        <v>463</v>
      </c>
      <c r="AT334" s="10" t="s">
        <v>558</v>
      </c>
    </row>
    <row r="335" ht="15.75" customHeight="1" spans="1:46">
      <c r="A335" s="10" t="s">
        <v>603</v>
      </c>
      <c r="B335" s="10" t="s">
        <v>46</v>
      </c>
      <c r="C335" s="10" t="s">
        <v>435</v>
      </c>
      <c r="D335" s="10" t="s">
        <v>436</v>
      </c>
      <c r="E335" s="10" t="s">
        <v>554</v>
      </c>
      <c r="F335" s="10" t="s">
        <v>604</v>
      </c>
      <c r="G335" s="10"/>
      <c r="H335" s="10" t="s">
        <v>458</v>
      </c>
      <c r="I335" s="10" t="s">
        <v>521</v>
      </c>
      <c r="J335" s="10" t="s">
        <v>443</v>
      </c>
      <c r="K335" s="10" t="s">
        <v>594</v>
      </c>
      <c r="L335" s="10"/>
      <c r="M335" s="10"/>
      <c r="N335" s="10"/>
      <c r="O335" s="10"/>
      <c r="P335" s="10"/>
      <c r="Q335" s="10" t="s">
        <v>57</v>
      </c>
      <c r="R335" s="10">
        <v>7218</v>
      </c>
      <c r="S335" s="10"/>
      <c r="T335" s="10"/>
      <c r="U335" s="10"/>
      <c r="V335" s="10"/>
      <c r="W335" s="10"/>
      <c r="X335" s="10"/>
      <c r="Y335" s="10" t="s">
        <v>605</v>
      </c>
      <c r="Z335" s="10"/>
      <c r="AA335" s="10"/>
      <c r="AB335" s="10"/>
      <c r="AC335" s="10"/>
      <c r="AD335" s="10"/>
      <c r="AE335" s="10"/>
      <c r="AF335" s="11">
        <v>0.5</v>
      </c>
      <c r="AG335" s="10">
        <f t="shared" si="33"/>
        <v>0</v>
      </c>
      <c r="AH335" s="11">
        <v>0.18</v>
      </c>
      <c r="AI335" s="10">
        <f t="shared" si="34"/>
        <v>0</v>
      </c>
      <c r="AJ335" s="11">
        <v>0.2</v>
      </c>
      <c r="AK335" s="10">
        <f t="shared" si="35"/>
        <v>0</v>
      </c>
      <c r="AL335" s="10">
        <f t="shared" si="36"/>
        <v>0</v>
      </c>
      <c r="AM335" s="10">
        <f t="shared" si="37"/>
        <v>0</v>
      </c>
      <c r="AN335" s="11" t="e">
        <f t="shared" si="38"/>
        <v>#DIV/0!</v>
      </c>
      <c r="AO335" s="10" t="s">
        <v>221</v>
      </c>
      <c r="AP335" s="10"/>
      <c r="AQ335" s="10"/>
      <c r="AR335" s="10"/>
      <c r="AS335" s="10"/>
      <c r="AT335" s="10" t="s">
        <v>558</v>
      </c>
    </row>
    <row r="336" ht="15.75" customHeight="1" spans="1:46">
      <c r="A336" s="10" t="s">
        <v>603</v>
      </c>
      <c r="B336" s="10" t="s">
        <v>67</v>
      </c>
      <c r="C336" s="10" t="s">
        <v>435</v>
      </c>
      <c r="D336" s="10" t="s">
        <v>436</v>
      </c>
      <c r="E336" s="10" t="s">
        <v>554</v>
      </c>
      <c r="F336" s="10" t="s">
        <v>604</v>
      </c>
      <c r="G336" s="10"/>
      <c r="H336" s="10" t="s">
        <v>458</v>
      </c>
      <c r="I336" s="10" t="s">
        <v>519</v>
      </c>
      <c r="J336" s="10" t="s">
        <v>443</v>
      </c>
      <c r="K336" s="10" t="s">
        <v>594</v>
      </c>
      <c r="L336" s="10"/>
      <c r="M336" s="10"/>
      <c r="N336" s="10"/>
      <c r="O336" s="10"/>
      <c r="P336" s="10"/>
      <c r="Q336" s="10" t="s">
        <v>57</v>
      </c>
      <c r="R336" s="10">
        <v>7217</v>
      </c>
      <c r="S336" s="10"/>
      <c r="T336" s="10"/>
      <c r="U336" s="10"/>
      <c r="V336" s="10"/>
      <c r="W336" s="10"/>
      <c r="X336" s="10"/>
      <c r="Y336" s="10" t="s">
        <v>606</v>
      </c>
      <c r="Z336" s="10"/>
      <c r="AA336" s="10"/>
      <c r="AB336" s="10"/>
      <c r="AC336" s="10"/>
      <c r="AD336" s="10"/>
      <c r="AE336" s="10"/>
      <c r="AF336" s="11">
        <v>0.5</v>
      </c>
      <c r="AG336" s="10">
        <f t="shared" si="33"/>
        <v>0</v>
      </c>
      <c r="AH336" s="11">
        <v>0.18</v>
      </c>
      <c r="AI336" s="10">
        <f t="shared" si="34"/>
        <v>0</v>
      </c>
      <c r="AJ336" s="11">
        <v>0.2</v>
      </c>
      <c r="AK336" s="10">
        <f t="shared" si="35"/>
        <v>0</v>
      </c>
      <c r="AL336" s="10">
        <f t="shared" si="36"/>
        <v>0</v>
      </c>
      <c r="AM336" s="10">
        <f t="shared" si="37"/>
        <v>0</v>
      </c>
      <c r="AN336" s="11" t="e">
        <f t="shared" si="38"/>
        <v>#DIV/0!</v>
      </c>
      <c r="AO336" s="10" t="s">
        <v>221</v>
      </c>
      <c r="AP336" s="10"/>
      <c r="AQ336" s="10"/>
      <c r="AR336" s="10"/>
      <c r="AS336" s="10"/>
      <c r="AT336" s="10" t="s">
        <v>558</v>
      </c>
    </row>
    <row r="337" ht="15.75" customHeight="1" spans="1:46">
      <c r="A337" s="10" t="s">
        <v>603</v>
      </c>
      <c r="B337" s="10" t="s">
        <v>71</v>
      </c>
      <c r="C337" s="10" t="s">
        <v>435</v>
      </c>
      <c r="D337" s="10" t="s">
        <v>436</v>
      </c>
      <c r="E337" s="10" t="s">
        <v>554</v>
      </c>
      <c r="F337" s="10" t="s">
        <v>604</v>
      </c>
      <c r="G337" s="10"/>
      <c r="H337" s="10" t="s">
        <v>458</v>
      </c>
      <c r="I337" s="10" t="s">
        <v>472</v>
      </c>
      <c r="J337" s="10" t="s">
        <v>443</v>
      </c>
      <c r="K337" s="10" t="s">
        <v>594</v>
      </c>
      <c r="L337" s="10"/>
      <c r="M337" s="10"/>
      <c r="N337" s="10"/>
      <c r="O337" s="10"/>
      <c r="P337" s="10"/>
      <c r="Q337" s="10" t="s">
        <v>57</v>
      </c>
      <c r="R337" s="10">
        <v>7216</v>
      </c>
      <c r="S337" s="10"/>
      <c r="T337" s="10"/>
      <c r="U337" s="10"/>
      <c r="V337" s="10"/>
      <c r="W337" s="10"/>
      <c r="X337" s="10"/>
      <c r="Y337" s="10" t="s">
        <v>607</v>
      </c>
      <c r="Z337" s="10"/>
      <c r="AA337" s="10"/>
      <c r="AB337" s="10"/>
      <c r="AC337" s="10"/>
      <c r="AD337" s="10"/>
      <c r="AE337" s="10"/>
      <c r="AF337" s="11">
        <v>0.5</v>
      </c>
      <c r="AG337" s="10">
        <f t="shared" si="33"/>
        <v>0</v>
      </c>
      <c r="AH337" s="11">
        <v>0.18</v>
      </c>
      <c r="AI337" s="10">
        <f t="shared" si="34"/>
        <v>0</v>
      </c>
      <c r="AJ337" s="11">
        <v>0.2</v>
      </c>
      <c r="AK337" s="10">
        <f t="shared" si="35"/>
        <v>0</v>
      </c>
      <c r="AL337" s="10">
        <f t="shared" si="36"/>
        <v>0</v>
      </c>
      <c r="AM337" s="10">
        <f t="shared" si="37"/>
        <v>0</v>
      </c>
      <c r="AN337" s="11" t="e">
        <f t="shared" si="38"/>
        <v>#DIV/0!</v>
      </c>
      <c r="AO337" s="10" t="s">
        <v>221</v>
      </c>
      <c r="AP337" s="10"/>
      <c r="AQ337" s="10"/>
      <c r="AR337" s="10"/>
      <c r="AS337" s="10"/>
      <c r="AT337" s="10" t="s">
        <v>558</v>
      </c>
    </row>
    <row r="338" ht="15.75" customHeight="1" spans="1:46">
      <c r="A338" s="10" t="s">
        <v>608</v>
      </c>
      <c r="B338" s="10" t="s">
        <v>46</v>
      </c>
      <c r="C338" s="10" t="s">
        <v>435</v>
      </c>
      <c r="D338" s="10" t="s">
        <v>436</v>
      </c>
      <c r="E338" s="10" t="s">
        <v>554</v>
      </c>
      <c r="F338" s="10" t="s">
        <v>609</v>
      </c>
      <c r="G338" s="10"/>
      <c r="H338" s="10" t="s">
        <v>458</v>
      </c>
      <c r="I338" s="10" t="s">
        <v>521</v>
      </c>
      <c r="J338" s="10" t="s">
        <v>443</v>
      </c>
      <c r="K338" s="10" t="s">
        <v>594</v>
      </c>
      <c r="L338" s="10"/>
      <c r="M338" s="10"/>
      <c r="N338" s="10"/>
      <c r="O338" s="10"/>
      <c r="P338" s="10"/>
      <c r="Q338" s="10" t="s">
        <v>57</v>
      </c>
      <c r="R338" s="10">
        <v>4790</v>
      </c>
      <c r="S338" s="10"/>
      <c r="T338" s="10"/>
      <c r="U338" s="10"/>
      <c r="V338" s="10"/>
      <c r="W338" s="10"/>
      <c r="X338" s="10"/>
      <c r="Y338" s="10" t="s">
        <v>610</v>
      </c>
      <c r="Z338" s="10"/>
      <c r="AA338" s="10"/>
      <c r="AB338" s="10"/>
      <c r="AC338" s="10"/>
      <c r="AD338" s="10"/>
      <c r="AE338" s="10"/>
      <c r="AF338" s="11">
        <v>0.5</v>
      </c>
      <c r="AG338" s="10">
        <f t="shared" si="33"/>
        <v>0</v>
      </c>
      <c r="AH338" s="11">
        <v>0.18</v>
      </c>
      <c r="AI338" s="10">
        <f t="shared" si="34"/>
        <v>0</v>
      </c>
      <c r="AJ338" s="11">
        <v>0.2</v>
      </c>
      <c r="AK338" s="10">
        <f t="shared" si="35"/>
        <v>0</v>
      </c>
      <c r="AL338" s="10">
        <f t="shared" si="36"/>
        <v>0</v>
      </c>
      <c r="AM338" s="10">
        <f t="shared" si="37"/>
        <v>0</v>
      </c>
      <c r="AN338" s="11" t="e">
        <f t="shared" si="38"/>
        <v>#DIV/0!</v>
      </c>
      <c r="AO338" s="10" t="s">
        <v>221</v>
      </c>
      <c r="AP338" s="10"/>
      <c r="AQ338" s="10"/>
      <c r="AR338" s="10"/>
      <c r="AS338" s="10"/>
      <c r="AT338" s="10" t="s">
        <v>558</v>
      </c>
    </row>
    <row r="339" ht="15.75" customHeight="1" spans="1:46">
      <c r="A339" s="10" t="s">
        <v>608</v>
      </c>
      <c r="B339" s="10" t="s">
        <v>67</v>
      </c>
      <c r="C339" s="10" t="s">
        <v>435</v>
      </c>
      <c r="D339" s="10" t="s">
        <v>436</v>
      </c>
      <c r="E339" s="10" t="s">
        <v>554</v>
      </c>
      <c r="F339" s="10" t="s">
        <v>609</v>
      </c>
      <c r="G339" s="10"/>
      <c r="H339" s="10" t="s">
        <v>458</v>
      </c>
      <c r="I339" s="10" t="s">
        <v>519</v>
      </c>
      <c r="J339" s="10" t="s">
        <v>443</v>
      </c>
      <c r="K339" s="10" t="s">
        <v>594</v>
      </c>
      <c r="L339" s="10"/>
      <c r="M339" s="10"/>
      <c r="N339" s="10"/>
      <c r="O339" s="10"/>
      <c r="P339" s="10"/>
      <c r="Q339" s="10" t="s">
        <v>57</v>
      </c>
      <c r="R339" s="10">
        <v>4789</v>
      </c>
      <c r="S339" s="10"/>
      <c r="T339" s="10"/>
      <c r="U339" s="10"/>
      <c r="V339" s="10"/>
      <c r="W339" s="10"/>
      <c r="X339" s="10"/>
      <c r="Y339" s="10" t="s">
        <v>611</v>
      </c>
      <c r="Z339" s="10"/>
      <c r="AA339" s="10"/>
      <c r="AB339" s="10"/>
      <c r="AC339" s="10"/>
      <c r="AD339" s="10"/>
      <c r="AE339" s="10"/>
      <c r="AF339" s="11">
        <v>0.5</v>
      </c>
      <c r="AG339" s="10">
        <f t="shared" si="33"/>
        <v>0</v>
      </c>
      <c r="AH339" s="11">
        <v>0.18</v>
      </c>
      <c r="AI339" s="10">
        <f t="shared" si="34"/>
        <v>0</v>
      </c>
      <c r="AJ339" s="11">
        <v>0.2</v>
      </c>
      <c r="AK339" s="10">
        <f t="shared" si="35"/>
        <v>0</v>
      </c>
      <c r="AL339" s="10">
        <f t="shared" si="36"/>
        <v>0</v>
      </c>
      <c r="AM339" s="10">
        <f t="shared" si="37"/>
        <v>0</v>
      </c>
      <c r="AN339" s="11" t="e">
        <f t="shared" si="38"/>
        <v>#DIV/0!</v>
      </c>
      <c r="AO339" s="10" t="s">
        <v>221</v>
      </c>
      <c r="AP339" s="10"/>
      <c r="AQ339" s="10"/>
      <c r="AR339" s="10"/>
      <c r="AS339" s="10"/>
      <c r="AT339" s="10" t="s">
        <v>558</v>
      </c>
    </row>
    <row r="340" ht="15.75" customHeight="1" spans="1:46">
      <c r="A340" s="10" t="s">
        <v>608</v>
      </c>
      <c r="B340" s="10" t="s">
        <v>71</v>
      </c>
      <c r="C340" s="10" t="s">
        <v>435</v>
      </c>
      <c r="D340" s="10" t="s">
        <v>436</v>
      </c>
      <c r="E340" s="10" t="s">
        <v>554</v>
      </c>
      <c r="F340" s="10" t="s">
        <v>609</v>
      </c>
      <c r="G340" s="10"/>
      <c r="H340" s="10" t="s">
        <v>458</v>
      </c>
      <c r="I340" s="10" t="s">
        <v>472</v>
      </c>
      <c r="J340" s="10" t="s">
        <v>443</v>
      </c>
      <c r="K340" s="10" t="s">
        <v>594</v>
      </c>
      <c r="L340" s="10"/>
      <c r="M340" s="10"/>
      <c r="N340" s="10"/>
      <c r="O340" s="10"/>
      <c r="P340" s="10"/>
      <c r="Q340" s="10" t="s">
        <v>57</v>
      </c>
      <c r="R340" s="10">
        <v>4788</v>
      </c>
      <c r="S340" s="10"/>
      <c r="T340" s="10"/>
      <c r="U340" s="10"/>
      <c r="V340" s="10"/>
      <c r="W340" s="10"/>
      <c r="X340" s="10"/>
      <c r="Y340" s="10" t="s">
        <v>612</v>
      </c>
      <c r="Z340" s="10"/>
      <c r="AA340" s="10"/>
      <c r="AB340" s="10"/>
      <c r="AC340" s="10"/>
      <c r="AD340" s="10"/>
      <c r="AE340" s="10"/>
      <c r="AF340" s="11">
        <v>0.5</v>
      </c>
      <c r="AG340" s="10">
        <f t="shared" si="33"/>
        <v>0</v>
      </c>
      <c r="AH340" s="11">
        <v>0.18</v>
      </c>
      <c r="AI340" s="10">
        <f t="shared" si="34"/>
        <v>0</v>
      </c>
      <c r="AJ340" s="11">
        <v>0.2</v>
      </c>
      <c r="AK340" s="10">
        <f t="shared" si="35"/>
        <v>0</v>
      </c>
      <c r="AL340" s="10">
        <f t="shared" si="36"/>
        <v>0</v>
      </c>
      <c r="AM340" s="10">
        <f t="shared" si="37"/>
        <v>0</v>
      </c>
      <c r="AN340" s="11" t="e">
        <f t="shared" si="38"/>
        <v>#DIV/0!</v>
      </c>
      <c r="AO340" s="10" t="s">
        <v>221</v>
      </c>
      <c r="AP340" s="10"/>
      <c r="AQ340" s="10"/>
      <c r="AR340" s="10"/>
      <c r="AS340" s="10"/>
      <c r="AT340" s="10" t="s">
        <v>558</v>
      </c>
    </row>
    <row r="341" ht="15.75" customHeight="1" spans="1:46">
      <c r="A341" s="10" t="s">
        <v>613</v>
      </c>
      <c r="B341" s="10" t="s">
        <v>46</v>
      </c>
      <c r="C341" s="10" t="s">
        <v>435</v>
      </c>
      <c r="D341" s="10" t="s">
        <v>436</v>
      </c>
      <c r="E341" s="10" t="s">
        <v>554</v>
      </c>
      <c r="F341" s="10" t="s">
        <v>614</v>
      </c>
      <c r="G341" s="10"/>
      <c r="H341" s="10" t="s">
        <v>458</v>
      </c>
      <c r="I341" s="10" t="s">
        <v>521</v>
      </c>
      <c r="J341" s="10" t="s">
        <v>443</v>
      </c>
      <c r="K341" s="10" t="s">
        <v>594</v>
      </c>
      <c r="L341" s="10"/>
      <c r="M341" s="10"/>
      <c r="N341" s="10"/>
      <c r="O341" s="10"/>
      <c r="P341" s="10"/>
      <c r="Q341" s="10" t="s">
        <v>57</v>
      </c>
      <c r="R341" s="10">
        <v>5071</v>
      </c>
      <c r="S341" s="10"/>
      <c r="T341" s="10"/>
      <c r="U341" s="10"/>
      <c r="V341" s="10"/>
      <c r="W341" s="10"/>
      <c r="X341" s="10"/>
      <c r="Y341" s="10" t="s">
        <v>615</v>
      </c>
      <c r="Z341" s="10"/>
      <c r="AA341" s="10"/>
      <c r="AB341" s="10"/>
      <c r="AC341" s="10"/>
      <c r="AD341" s="10"/>
      <c r="AE341" s="10"/>
      <c r="AF341" s="11">
        <v>0.5</v>
      </c>
      <c r="AG341" s="10">
        <f t="shared" si="33"/>
        <v>0</v>
      </c>
      <c r="AH341" s="11">
        <v>0.18</v>
      </c>
      <c r="AI341" s="10">
        <f t="shared" si="34"/>
        <v>0</v>
      </c>
      <c r="AJ341" s="11">
        <v>0.2</v>
      </c>
      <c r="AK341" s="10">
        <f t="shared" si="35"/>
        <v>0</v>
      </c>
      <c r="AL341" s="10">
        <f t="shared" si="36"/>
        <v>0</v>
      </c>
      <c r="AM341" s="10">
        <f t="shared" si="37"/>
        <v>0</v>
      </c>
      <c r="AN341" s="11" t="e">
        <f t="shared" si="38"/>
        <v>#DIV/0!</v>
      </c>
      <c r="AO341" s="10" t="s">
        <v>221</v>
      </c>
      <c r="AP341" s="10"/>
      <c r="AQ341" s="10"/>
      <c r="AR341" s="10"/>
      <c r="AS341" s="10"/>
      <c r="AT341" s="10" t="s">
        <v>558</v>
      </c>
    </row>
    <row r="342" ht="15.75" customHeight="1" spans="1:46">
      <c r="A342" s="10" t="s">
        <v>613</v>
      </c>
      <c r="B342" s="10" t="s">
        <v>67</v>
      </c>
      <c r="C342" s="10" t="s">
        <v>435</v>
      </c>
      <c r="D342" s="10" t="s">
        <v>436</v>
      </c>
      <c r="E342" s="10" t="s">
        <v>554</v>
      </c>
      <c r="F342" s="10" t="s">
        <v>614</v>
      </c>
      <c r="G342" s="10"/>
      <c r="H342" s="10" t="s">
        <v>458</v>
      </c>
      <c r="I342" s="10" t="s">
        <v>519</v>
      </c>
      <c r="J342" s="10" t="s">
        <v>443</v>
      </c>
      <c r="K342" s="10" t="s">
        <v>594</v>
      </c>
      <c r="L342" s="10"/>
      <c r="M342" s="10"/>
      <c r="N342" s="10"/>
      <c r="O342" s="10"/>
      <c r="P342" s="10"/>
      <c r="Q342" s="10" t="s">
        <v>57</v>
      </c>
      <c r="R342" s="10">
        <v>5070</v>
      </c>
      <c r="S342" s="10"/>
      <c r="T342" s="10"/>
      <c r="U342" s="10"/>
      <c r="V342" s="10"/>
      <c r="W342" s="10"/>
      <c r="X342" s="10"/>
      <c r="Y342" s="10" t="s">
        <v>616</v>
      </c>
      <c r="Z342" s="10"/>
      <c r="AA342" s="10"/>
      <c r="AB342" s="10"/>
      <c r="AC342" s="10"/>
      <c r="AD342" s="10"/>
      <c r="AE342" s="10"/>
      <c r="AF342" s="11">
        <v>0.5</v>
      </c>
      <c r="AG342" s="10">
        <f t="shared" si="33"/>
        <v>0</v>
      </c>
      <c r="AH342" s="11">
        <v>0.18</v>
      </c>
      <c r="AI342" s="10">
        <f t="shared" si="34"/>
        <v>0</v>
      </c>
      <c r="AJ342" s="11">
        <v>0.2</v>
      </c>
      <c r="AK342" s="10">
        <f t="shared" si="35"/>
        <v>0</v>
      </c>
      <c r="AL342" s="10">
        <f t="shared" si="36"/>
        <v>0</v>
      </c>
      <c r="AM342" s="10">
        <f t="shared" si="37"/>
        <v>0</v>
      </c>
      <c r="AN342" s="11" t="e">
        <f t="shared" si="38"/>
        <v>#DIV/0!</v>
      </c>
      <c r="AO342" s="10" t="s">
        <v>221</v>
      </c>
      <c r="AP342" s="10"/>
      <c r="AQ342" s="10"/>
      <c r="AR342" s="10"/>
      <c r="AS342" s="10"/>
      <c r="AT342" s="10" t="s">
        <v>558</v>
      </c>
    </row>
    <row r="343" ht="15.75" customHeight="1" spans="1:46">
      <c r="A343" s="10" t="s">
        <v>613</v>
      </c>
      <c r="B343" s="10" t="s">
        <v>71</v>
      </c>
      <c r="C343" s="10" t="s">
        <v>435</v>
      </c>
      <c r="D343" s="10" t="s">
        <v>436</v>
      </c>
      <c r="E343" s="10" t="s">
        <v>554</v>
      </c>
      <c r="F343" s="10" t="s">
        <v>614</v>
      </c>
      <c r="G343" s="10"/>
      <c r="H343" s="10" t="s">
        <v>458</v>
      </c>
      <c r="I343" s="10" t="s">
        <v>472</v>
      </c>
      <c r="J343" s="10" t="s">
        <v>443</v>
      </c>
      <c r="K343" s="10" t="s">
        <v>594</v>
      </c>
      <c r="L343" s="10"/>
      <c r="M343" s="10"/>
      <c r="N343" s="10"/>
      <c r="O343" s="10"/>
      <c r="P343" s="10"/>
      <c r="Q343" s="10" t="s">
        <v>57</v>
      </c>
      <c r="R343" s="10">
        <v>5069</v>
      </c>
      <c r="S343" s="10"/>
      <c r="T343" s="10"/>
      <c r="U343" s="10"/>
      <c r="V343" s="10"/>
      <c r="W343" s="10"/>
      <c r="X343" s="10"/>
      <c r="Y343" s="10" t="s">
        <v>617</v>
      </c>
      <c r="Z343" s="10"/>
      <c r="AA343" s="10"/>
      <c r="AB343" s="10"/>
      <c r="AC343" s="10"/>
      <c r="AD343" s="10"/>
      <c r="AE343" s="10"/>
      <c r="AF343" s="11">
        <v>0.5</v>
      </c>
      <c r="AG343" s="10">
        <f t="shared" ref="AG343:AG406" si="39">ROUND(AE343-(AE343*AF343),2)</f>
        <v>0</v>
      </c>
      <c r="AH343" s="11">
        <v>0.18</v>
      </c>
      <c r="AI343" s="10">
        <f t="shared" si="34"/>
        <v>0</v>
      </c>
      <c r="AJ343" s="11">
        <v>0.2</v>
      </c>
      <c r="AK343" s="10">
        <f t="shared" si="35"/>
        <v>0</v>
      </c>
      <c r="AL343" s="10">
        <f t="shared" si="36"/>
        <v>0</v>
      </c>
      <c r="AM343" s="10">
        <f t="shared" si="37"/>
        <v>0</v>
      </c>
      <c r="AN343" s="11" t="e">
        <f t="shared" si="38"/>
        <v>#DIV/0!</v>
      </c>
      <c r="AO343" s="10" t="s">
        <v>221</v>
      </c>
      <c r="AP343" s="10"/>
      <c r="AQ343" s="10"/>
      <c r="AR343" s="10"/>
      <c r="AS343" s="10"/>
      <c r="AT343" s="10" t="s">
        <v>558</v>
      </c>
    </row>
    <row r="344" ht="15.75" customHeight="1" spans="1:46">
      <c r="A344" s="10" t="s">
        <v>618</v>
      </c>
      <c r="B344" s="10" t="s">
        <v>46</v>
      </c>
      <c r="C344" s="10" t="s">
        <v>435</v>
      </c>
      <c r="D344" s="10" t="s">
        <v>436</v>
      </c>
      <c r="E344" s="10" t="s">
        <v>554</v>
      </c>
      <c r="F344" s="10" t="s">
        <v>619</v>
      </c>
      <c r="G344" s="10"/>
      <c r="H344" s="10"/>
      <c r="I344" s="10"/>
      <c r="J344" s="10" t="s">
        <v>443</v>
      </c>
      <c r="K344" s="10" t="s">
        <v>620</v>
      </c>
      <c r="L344" s="10"/>
      <c r="M344" s="10"/>
      <c r="N344" s="10"/>
      <c r="O344" s="10"/>
      <c r="P344" s="10"/>
      <c r="Q344" s="10" t="s">
        <v>57</v>
      </c>
      <c r="R344" s="10">
        <v>7091</v>
      </c>
      <c r="S344" s="10">
        <v>2</v>
      </c>
      <c r="T344" s="10"/>
      <c r="U344" s="10">
        <v>0.23</v>
      </c>
      <c r="V344" s="10" t="s">
        <v>461</v>
      </c>
      <c r="W344" s="10"/>
      <c r="X344" s="10"/>
      <c r="Y344" s="10" t="s">
        <v>621</v>
      </c>
      <c r="Z344" s="10">
        <v>8302</v>
      </c>
      <c r="AA344" s="10"/>
      <c r="AB344" s="10"/>
      <c r="AC344" s="10">
        <v>1</v>
      </c>
      <c r="AD344" s="10"/>
      <c r="AE344" s="10">
        <v>450</v>
      </c>
      <c r="AF344" s="11">
        <v>0.5</v>
      </c>
      <c r="AG344" s="10">
        <f t="shared" si="39"/>
        <v>225</v>
      </c>
      <c r="AH344" s="11">
        <v>0.18</v>
      </c>
      <c r="AI344" s="10">
        <f t="shared" si="34"/>
        <v>265.5</v>
      </c>
      <c r="AJ344" s="11">
        <v>0.2</v>
      </c>
      <c r="AK344" s="10">
        <f t="shared" si="35"/>
        <v>53.1</v>
      </c>
      <c r="AL344" s="10">
        <f t="shared" si="36"/>
        <v>318.6</v>
      </c>
      <c r="AM344" s="10">
        <f t="shared" si="37"/>
        <v>131.4</v>
      </c>
      <c r="AN344" s="11">
        <f t="shared" si="38"/>
        <v>0.292</v>
      </c>
      <c r="AO344" s="10" t="s">
        <v>221</v>
      </c>
      <c r="AP344" s="10"/>
      <c r="AQ344" s="10" t="s">
        <v>217</v>
      </c>
      <c r="AR344" s="10"/>
      <c r="AS344" s="10" t="s">
        <v>463</v>
      </c>
      <c r="AT344" s="10" t="s">
        <v>558</v>
      </c>
    </row>
    <row r="345" ht="15.75" customHeight="1" spans="1:46">
      <c r="A345" t="s">
        <v>622</v>
      </c>
      <c r="B345" t="s">
        <v>46</v>
      </c>
      <c r="C345" t="s">
        <v>435</v>
      </c>
      <c r="D345" t="s">
        <v>436</v>
      </c>
      <c r="E345" t="s">
        <v>554</v>
      </c>
      <c r="F345" t="s">
        <v>623</v>
      </c>
      <c r="J345" t="s">
        <v>443</v>
      </c>
      <c r="K345" t="s">
        <v>476</v>
      </c>
      <c r="Q345" t="s">
        <v>57</v>
      </c>
      <c r="R345">
        <v>6841</v>
      </c>
      <c r="S345">
        <v>2</v>
      </c>
      <c r="U345">
        <v>0.23</v>
      </c>
      <c r="V345" t="s">
        <v>461</v>
      </c>
      <c r="Y345" t="s">
        <v>624</v>
      </c>
      <c r="Z345">
        <v>8302</v>
      </c>
      <c r="AC345">
        <v>1</v>
      </c>
      <c r="AE345">
        <v>625</v>
      </c>
      <c r="AF345" s="4">
        <v>0.5</v>
      </c>
      <c r="AG345">
        <f t="shared" si="39"/>
        <v>312.5</v>
      </c>
      <c r="AH345" s="4">
        <v>0.18</v>
      </c>
      <c r="AI345">
        <f t="shared" si="34"/>
        <v>368.75</v>
      </c>
      <c r="AJ345" s="4">
        <v>0.2</v>
      </c>
      <c r="AK345">
        <f t="shared" si="35"/>
        <v>73.75</v>
      </c>
      <c r="AL345">
        <f t="shared" si="36"/>
        <v>442.5</v>
      </c>
      <c r="AM345">
        <f t="shared" si="37"/>
        <v>182.5</v>
      </c>
      <c r="AN345" s="4">
        <f t="shared" si="38"/>
        <v>0.292</v>
      </c>
      <c r="AO345" t="s">
        <v>221</v>
      </c>
      <c r="AQ345" t="s">
        <v>217</v>
      </c>
      <c r="AS345" t="s">
        <v>463</v>
      </c>
      <c r="AT345" t="s">
        <v>221</v>
      </c>
    </row>
    <row r="346" ht="15.75" customHeight="1" spans="1:46">
      <c r="A346" t="s">
        <v>625</v>
      </c>
      <c r="B346" t="s">
        <v>46</v>
      </c>
      <c r="C346" t="s">
        <v>435</v>
      </c>
      <c r="D346" t="s">
        <v>436</v>
      </c>
      <c r="E346" t="s">
        <v>554</v>
      </c>
      <c r="F346" t="s">
        <v>626</v>
      </c>
      <c r="H346" t="s">
        <v>458</v>
      </c>
      <c r="I346" t="s">
        <v>521</v>
      </c>
      <c r="J346" t="s">
        <v>443</v>
      </c>
      <c r="K346" t="s">
        <v>627</v>
      </c>
      <c r="Q346" t="s">
        <v>57</v>
      </c>
      <c r="R346">
        <v>2515</v>
      </c>
      <c r="S346">
        <v>2</v>
      </c>
      <c r="U346">
        <v>0.23</v>
      </c>
      <c r="V346" t="s">
        <v>461</v>
      </c>
      <c r="Y346" t="s">
        <v>628</v>
      </c>
      <c r="Z346">
        <v>8302</v>
      </c>
      <c r="AC346">
        <v>1</v>
      </c>
      <c r="AE346">
        <v>370</v>
      </c>
      <c r="AF346" s="4">
        <v>0.5</v>
      </c>
      <c r="AG346">
        <f t="shared" si="39"/>
        <v>185</v>
      </c>
      <c r="AH346" s="4">
        <v>0.18</v>
      </c>
      <c r="AI346">
        <f t="shared" si="34"/>
        <v>218.3</v>
      </c>
      <c r="AJ346" s="4">
        <v>0.2</v>
      </c>
      <c r="AK346">
        <f t="shared" si="35"/>
        <v>43.66</v>
      </c>
      <c r="AL346">
        <f t="shared" si="36"/>
        <v>261.96</v>
      </c>
      <c r="AM346">
        <f t="shared" si="37"/>
        <v>108.04</v>
      </c>
      <c r="AN346" s="4">
        <f t="shared" si="38"/>
        <v>0.292</v>
      </c>
      <c r="AO346" t="s">
        <v>221</v>
      </c>
      <c r="AQ346" t="s">
        <v>217</v>
      </c>
      <c r="AS346" t="s">
        <v>463</v>
      </c>
      <c r="AT346" t="s">
        <v>221</v>
      </c>
    </row>
    <row r="347" ht="15.75" customHeight="1" spans="1:46">
      <c r="A347" t="s">
        <v>625</v>
      </c>
      <c r="B347" t="s">
        <v>67</v>
      </c>
      <c r="C347" t="s">
        <v>435</v>
      </c>
      <c r="D347" t="s">
        <v>436</v>
      </c>
      <c r="E347" t="s">
        <v>554</v>
      </c>
      <c r="F347" t="s">
        <v>626</v>
      </c>
      <c r="H347" t="s">
        <v>458</v>
      </c>
      <c r="I347" t="s">
        <v>519</v>
      </c>
      <c r="J347" t="s">
        <v>443</v>
      </c>
      <c r="K347" t="s">
        <v>627</v>
      </c>
      <c r="Q347" t="s">
        <v>57</v>
      </c>
      <c r="R347">
        <v>2514</v>
      </c>
      <c r="S347">
        <v>2</v>
      </c>
      <c r="U347">
        <v>0.23</v>
      </c>
      <c r="V347" t="s">
        <v>461</v>
      </c>
      <c r="Y347" t="s">
        <v>629</v>
      </c>
      <c r="Z347">
        <v>8302</v>
      </c>
      <c r="AC347">
        <v>1</v>
      </c>
      <c r="AE347">
        <v>360</v>
      </c>
      <c r="AF347" s="4">
        <v>0.5</v>
      </c>
      <c r="AG347">
        <f t="shared" si="39"/>
        <v>180</v>
      </c>
      <c r="AH347" s="4">
        <v>0.18</v>
      </c>
      <c r="AI347">
        <f t="shared" si="34"/>
        <v>212.4</v>
      </c>
      <c r="AJ347" s="4">
        <v>0.2</v>
      </c>
      <c r="AK347">
        <f t="shared" si="35"/>
        <v>42.48</v>
      </c>
      <c r="AL347">
        <f t="shared" si="36"/>
        <v>254.88</v>
      </c>
      <c r="AM347">
        <f t="shared" si="37"/>
        <v>105.12</v>
      </c>
      <c r="AN347" s="4">
        <f t="shared" si="38"/>
        <v>0.292</v>
      </c>
      <c r="AO347" t="s">
        <v>221</v>
      </c>
      <c r="AQ347" t="s">
        <v>217</v>
      </c>
      <c r="AS347" t="s">
        <v>463</v>
      </c>
      <c r="AT347" t="s">
        <v>221</v>
      </c>
    </row>
    <row r="348" ht="15.75" customHeight="1" spans="1:46">
      <c r="A348" t="s">
        <v>625</v>
      </c>
      <c r="B348" t="s">
        <v>71</v>
      </c>
      <c r="C348" t="s">
        <v>435</v>
      </c>
      <c r="D348" t="s">
        <v>436</v>
      </c>
      <c r="E348" t="s">
        <v>554</v>
      </c>
      <c r="F348" t="s">
        <v>626</v>
      </c>
      <c r="H348" t="s">
        <v>458</v>
      </c>
      <c r="I348" t="s">
        <v>472</v>
      </c>
      <c r="J348" t="s">
        <v>443</v>
      </c>
      <c r="K348" t="s">
        <v>627</v>
      </c>
      <c r="Q348" t="s">
        <v>57</v>
      </c>
      <c r="R348">
        <v>2513</v>
      </c>
      <c r="S348">
        <v>2</v>
      </c>
      <c r="U348">
        <v>0.23</v>
      </c>
      <c r="V348" t="s">
        <v>461</v>
      </c>
      <c r="Y348" t="s">
        <v>630</v>
      </c>
      <c r="Z348">
        <v>8302</v>
      </c>
      <c r="AC348">
        <v>1</v>
      </c>
      <c r="AE348">
        <v>350</v>
      </c>
      <c r="AF348" s="4">
        <v>0.5</v>
      </c>
      <c r="AG348">
        <f t="shared" si="39"/>
        <v>175</v>
      </c>
      <c r="AH348" s="4">
        <v>0.18</v>
      </c>
      <c r="AI348">
        <f t="shared" si="34"/>
        <v>206.5</v>
      </c>
      <c r="AJ348" s="4">
        <v>0.2</v>
      </c>
      <c r="AK348">
        <f t="shared" si="35"/>
        <v>41.3</v>
      </c>
      <c r="AL348">
        <f t="shared" si="36"/>
        <v>247.8</v>
      </c>
      <c r="AM348">
        <f t="shared" si="37"/>
        <v>102.2</v>
      </c>
      <c r="AN348" s="4">
        <f t="shared" si="38"/>
        <v>0.292</v>
      </c>
      <c r="AO348" t="s">
        <v>221</v>
      </c>
      <c r="AQ348" t="s">
        <v>217</v>
      </c>
      <c r="AS348" t="s">
        <v>463</v>
      </c>
      <c r="AT348" t="s">
        <v>221</v>
      </c>
    </row>
    <row r="349" ht="15.75" customHeight="1" spans="1:46">
      <c r="A349" s="10" t="s">
        <v>631</v>
      </c>
      <c r="B349" s="10" t="s">
        <v>46</v>
      </c>
      <c r="C349" s="10" t="s">
        <v>435</v>
      </c>
      <c r="D349" s="10" t="s">
        <v>436</v>
      </c>
      <c r="E349" s="10" t="s">
        <v>554</v>
      </c>
      <c r="F349" s="10" t="s">
        <v>632</v>
      </c>
      <c r="G349" s="10"/>
      <c r="H349" s="10" t="s">
        <v>458</v>
      </c>
      <c r="I349" s="10" t="s">
        <v>521</v>
      </c>
      <c r="J349" s="10" t="s">
        <v>443</v>
      </c>
      <c r="K349" s="10" t="s">
        <v>633</v>
      </c>
      <c r="L349" s="10"/>
      <c r="M349" s="10"/>
      <c r="N349" s="10"/>
      <c r="O349" s="10"/>
      <c r="P349" s="10"/>
      <c r="Q349" s="10" t="s">
        <v>57</v>
      </c>
      <c r="R349" s="10">
        <v>7097</v>
      </c>
      <c r="S349" s="10"/>
      <c r="T349" s="10"/>
      <c r="U349" s="10"/>
      <c r="V349" s="10"/>
      <c r="W349" s="10"/>
      <c r="X349" s="10"/>
      <c r="Y349" s="10" t="s">
        <v>634</v>
      </c>
      <c r="Z349" s="10">
        <v>8302</v>
      </c>
      <c r="AA349" s="10"/>
      <c r="AB349" s="10"/>
      <c r="AC349" s="10"/>
      <c r="AD349" s="10"/>
      <c r="AE349" s="10"/>
      <c r="AF349" s="11">
        <v>0.5</v>
      </c>
      <c r="AG349" s="10">
        <f t="shared" si="39"/>
        <v>0</v>
      </c>
      <c r="AH349" s="11">
        <v>0.18</v>
      </c>
      <c r="AI349" s="10">
        <f t="shared" si="34"/>
        <v>0</v>
      </c>
      <c r="AJ349" s="11">
        <v>0.2</v>
      </c>
      <c r="AK349" s="10">
        <f t="shared" si="35"/>
        <v>0</v>
      </c>
      <c r="AL349" s="10">
        <f t="shared" si="36"/>
        <v>0</v>
      </c>
      <c r="AM349" s="10">
        <f t="shared" si="37"/>
        <v>0</v>
      </c>
      <c r="AN349" s="11" t="e">
        <f t="shared" si="38"/>
        <v>#DIV/0!</v>
      </c>
      <c r="AO349" s="10" t="s">
        <v>221</v>
      </c>
      <c r="AP349" s="10"/>
      <c r="AQ349" s="10" t="s">
        <v>217</v>
      </c>
      <c r="AR349" s="10"/>
      <c r="AS349" s="10"/>
      <c r="AT349" s="10" t="s">
        <v>558</v>
      </c>
    </row>
    <row r="350" ht="15.75" customHeight="1" spans="1:46">
      <c r="A350" s="10" t="s">
        <v>631</v>
      </c>
      <c r="B350" s="10" t="s">
        <v>67</v>
      </c>
      <c r="C350" s="10" t="s">
        <v>435</v>
      </c>
      <c r="D350" s="10" t="s">
        <v>436</v>
      </c>
      <c r="E350" s="10" t="s">
        <v>554</v>
      </c>
      <c r="F350" s="10" t="s">
        <v>632</v>
      </c>
      <c r="G350" s="10"/>
      <c r="H350" s="10" t="s">
        <v>458</v>
      </c>
      <c r="I350" s="10" t="s">
        <v>519</v>
      </c>
      <c r="J350" s="10" t="s">
        <v>443</v>
      </c>
      <c r="K350" s="10" t="s">
        <v>633</v>
      </c>
      <c r="L350" s="10"/>
      <c r="M350" s="10"/>
      <c r="N350" s="10"/>
      <c r="O350" s="10"/>
      <c r="P350" s="10"/>
      <c r="Q350" s="10" t="s">
        <v>57</v>
      </c>
      <c r="R350" s="10">
        <v>7096</v>
      </c>
      <c r="S350" s="10"/>
      <c r="T350" s="10"/>
      <c r="U350" s="10"/>
      <c r="V350" s="10"/>
      <c r="W350" s="10"/>
      <c r="X350" s="10"/>
      <c r="Y350" s="10" t="s">
        <v>635</v>
      </c>
      <c r="Z350" s="10">
        <v>8302</v>
      </c>
      <c r="AA350" s="10"/>
      <c r="AB350" s="10"/>
      <c r="AC350" s="10"/>
      <c r="AD350" s="10"/>
      <c r="AE350" s="10"/>
      <c r="AF350" s="11">
        <v>0.5</v>
      </c>
      <c r="AG350" s="10">
        <f t="shared" si="39"/>
        <v>0</v>
      </c>
      <c r="AH350" s="11">
        <v>0.18</v>
      </c>
      <c r="AI350" s="10">
        <f t="shared" si="34"/>
        <v>0</v>
      </c>
      <c r="AJ350" s="11">
        <v>0.2</v>
      </c>
      <c r="AK350" s="10">
        <f t="shared" si="35"/>
        <v>0</v>
      </c>
      <c r="AL350" s="10">
        <f t="shared" si="36"/>
        <v>0</v>
      </c>
      <c r="AM350" s="10">
        <f t="shared" si="37"/>
        <v>0</v>
      </c>
      <c r="AN350" s="11" t="e">
        <f t="shared" si="38"/>
        <v>#DIV/0!</v>
      </c>
      <c r="AO350" s="10" t="s">
        <v>221</v>
      </c>
      <c r="AP350" s="10"/>
      <c r="AQ350" s="10" t="s">
        <v>217</v>
      </c>
      <c r="AR350" s="10"/>
      <c r="AS350" s="10"/>
      <c r="AT350" s="10" t="s">
        <v>558</v>
      </c>
    </row>
    <row r="351" ht="15.75" customHeight="1" spans="1:46">
      <c r="A351" t="s">
        <v>636</v>
      </c>
      <c r="B351" t="s">
        <v>46</v>
      </c>
      <c r="C351" t="s">
        <v>435</v>
      </c>
      <c r="D351" t="s">
        <v>436</v>
      </c>
      <c r="E351" t="s">
        <v>637</v>
      </c>
      <c r="F351" t="s">
        <v>638</v>
      </c>
      <c r="H351" t="s">
        <v>458</v>
      </c>
      <c r="I351" t="s">
        <v>639</v>
      </c>
      <c r="J351" t="s">
        <v>443</v>
      </c>
      <c r="K351" t="s">
        <v>640</v>
      </c>
      <c r="Q351" t="s">
        <v>57</v>
      </c>
      <c r="R351" t="s">
        <v>641</v>
      </c>
      <c r="S351">
        <v>2</v>
      </c>
      <c r="U351">
        <v>0.23</v>
      </c>
      <c r="V351" t="s">
        <v>461</v>
      </c>
      <c r="Y351" t="s">
        <v>642</v>
      </c>
      <c r="Z351">
        <v>8302</v>
      </c>
      <c r="AC351">
        <v>1</v>
      </c>
      <c r="AE351">
        <v>513</v>
      </c>
      <c r="AF351" s="4">
        <v>0.5</v>
      </c>
      <c r="AG351">
        <f t="shared" si="39"/>
        <v>256.5</v>
      </c>
      <c r="AH351" s="4">
        <v>0.18</v>
      </c>
      <c r="AI351">
        <f t="shared" si="34"/>
        <v>302.67</v>
      </c>
      <c r="AJ351" s="4">
        <v>0.2</v>
      </c>
      <c r="AK351">
        <f t="shared" si="35"/>
        <v>60.53</v>
      </c>
      <c r="AL351">
        <f t="shared" si="36"/>
        <v>363.2</v>
      </c>
      <c r="AM351">
        <f t="shared" si="37"/>
        <v>149.8</v>
      </c>
      <c r="AN351" s="4">
        <f t="shared" si="38"/>
        <v>0.292007797270955</v>
      </c>
      <c r="AO351" t="s">
        <v>221</v>
      </c>
      <c r="AQ351" t="s">
        <v>217</v>
      </c>
      <c r="AS351" t="s">
        <v>463</v>
      </c>
      <c r="AT351" t="s">
        <v>221</v>
      </c>
    </row>
    <row r="352" ht="15.75" customHeight="1" spans="1:46">
      <c r="A352" t="s">
        <v>636</v>
      </c>
      <c r="B352" t="s">
        <v>67</v>
      </c>
      <c r="C352" t="s">
        <v>435</v>
      </c>
      <c r="D352" t="s">
        <v>436</v>
      </c>
      <c r="E352" t="s">
        <v>637</v>
      </c>
      <c r="F352" t="s">
        <v>638</v>
      </c>
      <c r="H352" t="s">
        <v>458</v>
      </c>
      <c r="I352" t="s">
        <v>519</v>
      </c>
      <c r="J352" t="s">
        <v>443</v>
      </c>
      <c r="K352" t="s">
        <v>640</v>
      </c>
      <c r="Q352" t="s">
        <v>57</v>
      </c>
      <c r="R352" t="s">
        <v>643</v>
      </c>
      <c r="S352">
        <v>2</v>
      </c>
      <c r="U352">
        <v>0.23</v>
      </c>
      <c r="V352" t="s">
        <v>461</v>
      </c>
      <c r="Y352" t="s">
        <v>644</v>
      </c>
      <c r="Z352">
        <v>8302</v>
      </c>
      <c r="AC352">
        <v>1</v>
      </c>
      <c r="AE352">
        <v>516</v>
      </c>
      <c r="AF352" s="4">
        <v>0.5</v>
      </c>
      <c r="AG352">
        <f t="shared" si="39"/>
        <v>258</v>
      </c>
      <c r="AH352" s="4">
        <v>0.18</v>
      </c>
      <c r="AI352">
        <f t="shared" si="34"/>
        <v>304.44</v>
      </c>
      <c r="AJ352" s="4">
        <v>0.2</v>
      </c>
      <c r="AK352">
        <f t="shared" si="35"/>
        <v>60.89</v>
      </c>
      <c r="AL352">
        <f t="shared" si="36"/>
        <v>365.33</v>
      </c>
      <c r="AM352">
        <f t="shared" si="37"/>
        <v>150.67</v>
      </c>
      <c r="AN352" s="4">
        <f t="shared" si="38"/>
        <v>0.291996124031008</v>
      </c>
      <c r="AO352" t="s">
        <v>221</v>
      </c>
      <c r="AQ352" t="s">
        <v>217</v>
      </c>
      <c r="AS352" t="s">
        <v>463</v>
      </c>
      <c r="AT352" t="s">
        <v>221</v>
      </c>
    </row>
    <row r="353" ht="15.75" customHeight="1" spans="1:46">
      <c r="A353" t="s">
        <v>636</v>
      </c>
      <c r="B353" t="s">
        <v>71</v>
      </c>
      <c r="C353" t="s">
        <v>435</v>
      </c>
      <c r="D353" t="s">
        <v>436</v>
      </c>
      <c r="E353" t="s">
        <v>637</v>
      </c>
      <c r="F353" t="s">
        <v>638</v>
      </c>
      <c r="H353" t="s">
        <v>458</v>
      </c>
      <c r="I353" t="s">
        <v>521</v>
      </c>
      <c r="J353" t="s">
        <v>443</v>
      </c>
      <c r="K353" t="s">
        <v>640</v>
      </c>
      <c r="Q353" t="s">
        <v>57</v>
      </c>
      <c r="R353" t="s">
        <v>645</v>
      </c>
      <c r="S353">
        <v>2</v>
      </c>
      <c r="U353">
        <v>0.23</v>
      </c>
      <c r="V353" t="s">
        <v>461</v>
      </c>
      <c r="Y353" t="s">
        <v>646</v>
      </c>
      <c r="Z353">
        <v>8302</v>
      </c>
      <c r="AC353">
        <v>1</v>
      </c>
      <c r="AE353">
        <v>540</v>
      </c>
      <c r="AF353" s="4">
        <v>0.5</v>
      </c>
      <c r="AG353">
        <f t="shared" si="39"/>
        <v>270</v>
      </c>
      <c r="AH353" s="4">
        <v>0.18</v>
      </c>
      <c r="AI353">
        <f t="shared" si="34"/>
        <v>318.6</v>
      </c>
      <c r="AJ353" s="4">
        <v>0.2</v>
      </c>
      <c r="AK353">
        <f t="shared" si="35"/>
        <v>63.72</v>
      </c>
      <c r="AL353">
        <f t="shared" si="36"/>
        <v>382.32</v>
      </c>
      <c r="AM353">
        <f t="shared" si="37"/>
        <v>157.68</v>
      </c>
      <c r="AN353" s="4">
        <f t="shared" si="38"/>
        <v>0.292</v>
      </c>
      <c r="AO353" t="s">
        <v>221</v>
      </c>
      <c r="AQ353" t="s">
        <v>217</v>
      </c>
      <c r="AS353" t="s">
        <v>463</v>
      </c>
      <c r="AT353" t="s">
        <v>221</v>
      </c>
    </row>
    <row r="354" ht="15.75" customHeight="1" spans="1:46">
      <c r="A354" t="s">
        <v>647</v>
      </c>
      <c r="B354" t="s">
        <v>46</v>
      </c>
      <c r="C354" t="s">
        <v>435</v>
      </c>
      <c r="D354" t="s">
        <v>436</v>
      </c>
      <c r="E354" t="s">
        <v>637</v>
      </c>
      <c r="F354" t="s">
        <v>648</v>
      </c>
      <c r="H354" t="s">
        <v>458</v>
      </c>
      <c r="I354" t="s">
        <v>639</v>
      </c>
      <c r="J354" t="s">
        <v>443</v>
      </c>
      <c r="K354" t="s">
        <v>640</v>
      </c>
      <c r="Q354" t="s">
        <v>57</v>
      </c>
      <c r="R354" t="s">
        <v>649</v>
      </c>
      <c r="S354">
        <v>2</v>
      </c>
      <c r="U354">
        <v>0.23</v>
      </c>
      <c r="V354" t="s">
        <v>461</v>
      </c>
      <c r="Y354" t="s">
        <v>650</v>
      </c>
      <c r="Z354">
        <v>8302</v>
      </c>
      <c r="AC354">
        <v>1</v>
      </c>
      <c r="AE354">
        <v>513</v>
      </c>
      <c r="AF354" s="4">
        <v>0.5</v>
      </c>
      <c r="AG354">
        <f t="shared" si="39"/>
        <v>256.5</v>
      </c>
      <c r="AH354" s="4">
        <v>0.18</v>
      </c>
      <c r="AI354">
        <f t="shared" si="34"/>
        <v>302.67</v>
      </c>
      <c r="AJ354" s="4">
        <v>0.2</v>
      </c>
      <c r="AK354">
        <f t="shared" si="35"/>
        <v>60.53</v>
      </c>
      <c r="AL354">
        <f t="shared" si="36"/>
        <v>363.2</v>
      </c>
      <c r="AM354">
        <f t="shared" si="37"/>
        <v>149.8</v>
      </c>
      <c r="AN354" s="4">
        <f t="shared" si="38"/>
        <v>0.292007797270955</v>
      </c>
      <c r="AO354" t="s">
        <v>221</v>
      </c>
      <c r="AQ354" t="s">
        <v>217</v>
      </c>
      <c r="AS354" t="s">
        <v>463</v>
      </c>
      <c r="AT354" t="s">
        <v>221</v>
      </c>
    </row>
    <row r="355" ht="15.75" customHeight="1" spans="1:46">
      <c r="A355" t="s">
        <v>647</v>
      </c>
      <c r="B355" t="s">
        <v>67</v>
      </c>
      <c r="C355" t="s">
        <v>435</v>
      </c>
      <c r="D355" t="s">
        <v>436</v>
      </c>
      <c r="E355" t="s">
        <v>637</v>
      </c>
      <c r="F355" t="s">
        <v>648</v>
      </c>
      <c r="H355" t="s">
        <v>458</v>
      </c>
      <c r="I355" t="s">
        <v>519</v>
      </c>
      <c r="J355" t="s">
        <v>443</v>
      </c>
      <c r="K355" t="s">
        <v>640</v>
      </c>
      <c r="Q355" t="s">
        <v>57</v>
      </c>
      <c r="R355" t="s">
        <v>651</v>
      </c>
      <c r="S355">
        <v>2</v>
      </c>
      <c r="U355">
        <v>0.23</v>
      </c>
      <c r="V355" t="s">
        <v>461</v>
      </c>
      <c r="Y355" t="s">
        <v>652</v>
      </c>
      <c r="Z355">
        <v>8302</v>
      </c>
      <c r="AC355">
        <v>1</v>
      </c>
      <c r="AE355">
        <v>516</v>
      </c>
      <c r="AF355" s="4">
        <v>0.5</v>
      </c>
      <c r="AG355">
        <f t="shared" si="39"/>
        <v>258</v>
      </c>
      <c r="AH355" s="4">
        <v>0.18</v>
      </c>
      <c r="AI355">
        <f t="shared" si="34"/>
        <v>304.44</v>
      </c>
      <c r="AJ355" s="4">
        <v>0.2</v>
      </c>
      <c r="AK355">
        <f t="shared" si="35"/>
        <v>60.89</v>
      </c>
      <c r="AL355">
        <f t="shared" si="36"/>
        <v>365.33</v>
      </c>
      <c r="AM355">
        <f t="shared" si="37"/>
        <v>150.67</v>
      </c>
      <c r="AN355" s="4">
        <f t="shared" si="38"/>
        <v>0.291996124031008</v>
      </c>
      <c r="AO355" t="s">
        <v>221</v>
      </c>
      <c r="AQ355" t="s">
        <v>217</v>
      </c>
      <c r="AS355" t="s">
        <v>463</v>
      </c>
      <c r="AT355" t="s">
        <v>221</v>
      </c>
    </row>
    <row r="356" ht="15.75" customHeight="1" spans="1:46">
      <c r="A356" t="s">
        <v>647</v>
      </c>
      <c r="B356" t="s">
        <v>71</v>
      </c>
      <c r="C356" t="s">
        <v>435</v>
      </c>
      <c r="D356" t="s">
        <v>436</v>
      </c>
      <c r="E356" t="s">
        <v>637</v>
      </c>
      <c r="F356" t="s">
        <v>648</v>
      </c>
      <c r="H356" t="s">
        <v>458</v>
      </c>
      <c r="I356" t="s">
        <v>521</v>
      </c>
      <c r="J356" t="s">
        <v>443</v>
      </c>
      <c r="K356" t="s">
        <v>640</v>
      </c>
      <c r="Q356" t="s">
        <v>57</v>
      </c>
      <c r="R356" t="s">
        <v>653</v>
      </c>
      <c r="S356">
        <v>2</v>
      </c>
      <c r="U356">
        <v>0.23</v>
      </c>
      <c r="V356" t="s">
        <v>461</v>
      </c>
      <c r="Y356" t="s">
        <v>654</v>
      </c>
      <c r="Z356">
        <v>8302</v>
      </c>
      <c r="AC356">
        <v>1</v>
      </c>
      <c r="AE356">
        <v>540</v>
      </c>
      <c r="AF356" s="4">
        <v>0.5</v>
      </c>
      <c r="AG356">
        <f t="shared" si="39"/>
        <v>270</v>
      </c>
      <c r="AH356" s="4">
        <v>0.18</v>
      </c>
      <c r="AI356">
        <f t="shared" si="34"/>
        <v>318.6</v>
      </c>
      <c r="AJ356" s="4">
        <v>0.2</v>
      </c>
      <c r="AK356">
        <f t="shared" si="35"/>
        <v>63.72</v>
      </c>
      <c r="AL356">
        <f t="shared" si="36"/>
        <v>382.32</v>
      </c>
      <c r="AM356">
        <f t="shared" si="37"/>
        <v>157.68</v>
      </c>
      <c r="AN356" s="4">
        <f t="shared" si="38"/>
        <v>0.292</v>
      </c>
      <c r="AO356" t="s">
        <v>221</v>
      </c>
      <c r="AQ356" t="s">
        <v>217</v>
      </c>
      <c r="AS356" t="s">
        <v>463</v>
      </c>
      <c r="AT356" t="s">
        <v>221</v>
      </c>
    </row>
    <row r="357" ht="15.75" customHeight="1" spans="1:46">
      <c r="A357" t="s">
        <v>655</v>
      </c>
      <c r="B357" t="s">
        <v>46</v>
      </c>
      <c r="C357" t="s">
        <v>435</v>
      </c>
      <c r="D357" t="s">
        <v>436</v>
      </c>
      <c r="E357" t="s">
        <v>637</v>
      </c>
      <c r="F357" t="s">
        <v>656</v>
      </c>
      <c r="H357" t="s">
        <v>458</v>
      </c>
      <c r="I357" t="s">
        <v>519</v>
      </c>
      <c r="J357" t="s">
        <v>443</v>
      </c>
      <c r="K357" t="s">
        <v>640</v>
      </c>
      <c r="Q357" t="s">
        <v>57</v>
      </c>
      <c r="R357" t="s">
        <v>657</v>
      </c>
      <c r="Y357" t="s">
        <v>658</v>
      </c>
      <c r="Z357">
        <v>8302</v>
      </c>
      <c r="AC357">
        <v>1</v>
      </c>
      <c r="AE357">
        <v>1160</v>
      </c>
      <c r="AF357" s="4">
        <v>0.5</v>
      </c>
      <c r="AG357">
        <f t="shared" si="39"/>
        <v>580</v>
      </c>
      <c r="AH357" s="4">
        <v>0.18</v>
      </c>
      <c r="AI357">
        <f t="shared" si="34"/>
        <v>684.4</v>
      </c>
      <c r="AJ357" s="4">
        <v>0.2</v>
      </c>
      <c r="AK357">
        <f t="shared" si="35"/>
        <v>136.88</v>
      </c>
      <c r="AL357">
        <f t="shared" si="36"/>
        <v>821.28</v>
      </c>
      <c r="AM357">
        <f t="shared" si="37"/>
        <v>338.72</v>
      </c>
      <c r="AN357" s="4">
        <f t="shared" si="38"/>
        <v>0.292</v>
      </c>
      <c r="AO357" t="s">
        <v>221</v>
      </c>
      <c r="AQ357" t="s">
        <v>217</v>
      </c>
      <c r="AS357" t="s">
        <v>463</v>
      </c>
      <c r="AT357" t="s">
        <v>221</v>
      </c>
    </row>
    <row r="358" ht="15.75" customHeight="1" spans="1:46">
      <c r="A358" t="s">
        <v>659</v>
      </c>
      <c r="B358" t="s">
        <v>46</v>
      </c>
      <c r="C358" t="s">
        <v>435</v>
      </c>
      <c r="D358" t="s">
        <v>436</v>
      </c>
      <c r="E358" t="s">
        <v>637</v>
      </c>
      <c r="F358" t="s">
        <v>660</v>
      </c>
      <c r="H358" t="s">
        <v>441</v>
      </c>
      <c r="I358" t="s">
        <v>442</v>
      </c>
      <c r="J358" t="s">
        <v>443</v>
      </c>
      <c r="K358" t="s">
        <v>640</v>
      </c>
      <c r="Q358" t="s">
        <v>57</v>
      </c>
      <c r="R358" t="s">
        <v>661</v>
      </c>
      <c r="S358">
        <v>1</v>
      </c>
      <c r="U358">
        <v>0.46</v>
      </c>
      <c r="V358" t="s">
        <v>461</v>
      </c>
      <c r="W358" t="s">
        <v>121</v>
      </c>
      <c r="X358" t="s">
        <v>556</v>
      </c>
      <c r="Y358" t="s">
        <v>662</v>
      </c>
      <c r="Z358">
        <v>8302</v>
      </c>
      <c r="AC358">
        <v>1</v>
      </c>
      <c r="AE358">
        <v>860</v>
      </c>
      <c r="AF358" s="4">
        <v>0.5</v>
      </c>
      <c r="AG358">
        <f t="shared" si="39"/>
        <v>430</v>
      </c>
      <c r="AH358" s="4">
        <v>0.18</v>
      </c>
      <c r="AI358">
        <f t="shared" si="34"/>
        <v>507.4</v>
      </c>
      <c r="AJ358" s="4">
        <v>0.2</v>
      </c>
      <c r="AK358">
        <f t="shared" si="35"/>
        <v>101.48</v>
      </c>
      <c r="AL358">
        <f t="shared" si="36"/>
        <v>608.88</v>
      </c>
      <c r="AM358">
        <f t="shared" si="37"/>
        <v>251.12</v>
      </c>
      <c r="AN358" s="4">
        <f t="shared" si="38"/>
        <v>0.292</v>
      </c>
      <c r="AO358" t="s">
        <v>221</v>
      </c>
      <c r="AQ358" t="s">
        <v>217</v>
      </c>
      <c r="AS358" t="s">
        <v>463</v>
      </c>
      <c r="AT358" t="s">
        <v>221</v>
      </c>
    </row>
    <row r="359" ht="15.75" customHeight="1" spans="1:46">
      <c r="A359" t="s">
        <v>663</v>
      </c>
      <c r="B359" t="s">
        <v>46</v>
      </c>
      <c r="C359" t="s">
        <v>435</v>
      </c>
      <c r="D359" t="s">
        <v>436</v>
      </c>
      <c r="E359" t="s">
        <v>637</v>
      </c>
      <c r="F359" t="s">
        <v>664</v>
      </c>
      <c r="H359" t="s">
        <v>441</v>
      </c>
      <c r="I359" t="s">
        <v>442</v>
      </c>
      <c r="J359" t="s">
        <v>443</v>
      </c>
      <c r="K359" t="s">
        <v>640</v>
      </c>
      <c r="Q359" t="s">
        <v>57</v>
      </c>
      <c r="R359" t="s">
        <v>665</v>
      </c>
      <c r="S359">
        <v>1</v>
      </c>
      <c r="Y359" t="s">
        <v>666</v>
      </c>
      <c r="Z359">
        <v>8302</v>
      </c>
      <c r="AC359">
        <v>1</v>
      </c>
      <c r="AE359">
        <v>655</v>
      </c>
      <c r="AF359" s="4">
        <v>0.5</v>
      </c>
      <c r="AG359">
        <f t="shared" si="39"/>
        <v>327.5</v>
      </c>
      <c r="AH359" s="4">
        <v>0.18</v>
      </c>
      <c r="AI359">
        <f t="shared" si="34"/>
        <v>386.45</v>
      </c>
      <c r="AJ359" s="4">
        <v>0.2</v>
      </c>
      <c r="AK359">
        <f t="shared" si="35"/>
        <v>77.29</v>
      </c>
      <c r="AL359">
        <f t="shared" si="36"/>
        <v>463.74</v>
      </c>
      <c r="AM359">
        <f t="shared" si="37"/>
        <v>191.26</v>
      </c>
      <c r="AN359" s="4">
        <f t="shared" si="38"/>
        <v>0.292</v>
      </c>
      <c r="AO359" t="s">
        <v>221</v>
      </c>
      <c r="AQ359" t="s">
        <v>217</v>
      </c>
      <c r="AS359" t="s">
        <v>463</v>
      </c>
      <c r="AT359" t="s">
        <v>221</v>
      </c>
    </row>
    <row r="360" ht="15.75" customHeight="1" spans="1:46">
      <c r="A360" t="s">
        <v>667</v>
      </c>
      <c r="B360" t="s">
        <v>46</v>
      </c>
      <c r="C360" t="s">
        <v>435</v>
      </c>
      <c r="D360" t="s">
        <v>436</v>
      </c>
      <c r="E360" t="s">
        <v>637</v>
      </c>
      <c r="F360" t="s">
        <v>668</v>
      </c>
      <c r="H360" t="s">
        <v>441</v>
      </c>
      <c r="I360" t="s">
        <v>442</v>
      </c>
      <c r="J360" t="s">
        <v>443</v>
      </c>
      <c r="K360" t="s">
        <v>640</v>
      </c>
      <c r="Q360" t="s">
        <v>57</v>
      </c>
      <c r="R360" t="s">
        <v>669</v>
      </c>
      <c r="Y360" t="s">
        <v>670</v>
      </c>
      <c r="Z360">
        <v>8302</v>
      </c>
      <c r="AC360">
        <v>1</v>
      </c>
      <c r="AE360">
        <v>940</v>
      </c>
      <c r="AF360" s="4">
        <v>0.5</v>
      </c>
      <c r="AG360">
        <f t="shared" si="39"/>
        <v>470</v>
      </c>
      <c r="AH360" s="4">
        <v>0.18</v>
      </c>
      <c r="AI360">
        <f t="shared" si="34"/>
        <v>554.6</v>
      </c>
      <c r="AJ360" s="4">
        <v>0.2</v>
      </c>
      <c r="AK360">
        <f t="shared" si="35"/>
        <v>110.92</v>
      </c>
      <c r="AL360">
        <f t="shared" si="36"/>
        <v>665.52</v>
      </c>
      <c r="AM360">
        <f t="shared" si="37"/>
        <v>274.48</v>
      </c>
      <c r="AN360" s="4">
        <f t="shared" si="38"/>
        <v>0.292</v>
      </c>
      <c r="AO360" t="s">
        <v>221</v>
      </c>
      <c r="AQ360" t="s">
        <v>217</v>
      </c>
      <c r="AS360" t="s">
        <v>463</v>
      </c>
      <c r="AT360" t="s">
        <v>221</v>
      </c>
    </row>
    <row r="361" ht="15.75" customHeight="1" spans="1:46">
      <c r="A361" t="s">
        <v>671</v>
      </c>
      <c r="B361" t="s">
        <v>46</v>
      </c>
      <c r="C361" t="s">
        <v>435</v>
      </c>
      <c r="D361" t="s">
        <v>672</v>
      </c>
      <c r="E361" t="s">
        <v>437</v>
      </c>
      <c r="F361" t="s">
        <v>673</v>
      </c>
      <c r="H361" t="s">
        <v>217</v>
      </c>
      <c r="I361" t="s">
        <v>674</v>
      </c>
      <c r="J361" t="s">
        <v>675</v>
      </c>
      <c r="K361" t="s">
        <v>676</v>
      </c>
      <c r="Q361" t="s">
        <v>57</v>
      </c>
      <c r="R361">
        <v>9293321</v>
      </c>
      <c r="S361">
        <v>2</v>
      </c>
      <c r="Y361" t="s">
        <v>677</v>
      </c>
      <c r="Z361">
        <v>8302</v>
      </c>
      <c r="AC361">
        <v>1</v>
      </c>
      <c r="AE361">
        <v>465</v>
      </c>
      <c r="AF361" s="4">
        <v>0.5</v>
      </c>
      <c r="AG361">
        <f t="shared" si="39"/>
        <v>232.5</v>
      </c>
      <c r="AH361" s="4">
        <v>0.18</v>
      </c>
      <c r="AI361">
        <f t="shared" si="34"/>
        <v>274.35</v>
      </c>
      <c r="AJ361" s="4">
        <v>0.2</v>
      </c>
      <c r="AK361">
        <f t="shared" si="35"/>
        <v>54.87</v>
      </c>
      <c r="AL361">
        <f t="shared" si="36"/>
        <v>329.22</v>
      </c>
      <c r="AM361">
        <f t="shared" si="37"/>
        <v>135.78</v>
      </c>
      <c r="AN361" s="4">
        <f t="shared" si="38"/>
        <v>0.292</v>
      </c>
      <c r="AO361" t="s">
        <v>221</v>
      </c>
      <c r="AQ361" t="s">
        <v>217</v>
      </c>
      <c r="AS361" t="s">
        <v>678</v>
      </c>
      <c r="AT361" t="s">
        <v>221</v>
      </c>
    </row>
    <row r="362" ht="15.75" customHeight="1" spans="1:46">
      <c r="A362" t="s">
        <v>671</v>
      </c>
      <c r="B362" t="s">
        <v>67</v>
      </c>
      <c r="C362" t="s">
        <v>435</v>
      </c>
      <c r="D362" t="s">
        <v>672</v>
      </c>
      <c r="E362" t="s">
        <v>437</v>
      </c>
      <c r="F362" t="s">
        <v>673</v>
      </c>
      <c r="H362" t="s">
        <v>217</v>
      </c>
      <c r="I362" t="s">
        <v>674</v>
      </c>
      <c r="J362" t="s">
        <v>675</v>
      </c>
      <c r="K362" t="s">
        <v>679</v>
      </c>
      <c r="Q362" t="s">
        <v>57</v>
      </c>
      <c r="R362">
        <v>9215435</v>
      </c>
      <c r="S362">
        <v>2</v>
      </c>
      <c r="Y362" t="s">
        <v>677</v>
      </c>
      <c r="Z362">
        <v>8302</v>
      </c>
      <c r="AC362">
        <v>1</v>
      </c>
      <c r="AE362">
        <v>465</v>
      </c>
      <c r="AF362" s="4">
        <v>0.5</v>
      </c>
      <c r="AG362">
        <f t="shared" si="39"/>
        <v>232.5</v>
      </c>
      <c r="AH362" s="4">
        <v>0.18</v>
      </c>
      <c r="AI362">
        <f t="shared" si="34"/>
        <v>274.35</v>
      </c>
      <c r="AJ362" s="4">
        <v>0.2</v>
      </c>
      <c r="AK362">
        <f t="shared" si="35"/>
        <v>54.87</v>
      </c>
      <c r="AL362">
        <f t="shared" si="36"/>
        <v>329.22</v>
      </c>
      <c r="AM362">
        <f t="shared" si="37"/>
        <v>135.78</v>
      </c>
      <c r="AN362" s="4">
        <f t="shared" si="38"/>
        <v>0.292</v>
      </c>
      <c r="AO362" t="s">
        <v>221</v>
      </c>
      <c r="AQ362" t="s">
        <v>217</v>
      </c>
      <c r="AS362" t="s">
        <v>678</v>
      </c>
      <c r="AT362" t="s">
        <v>221</v>
      </c>
    </row>
    <row r="363" ht="15.75" customHeight="1" spans="1:46">
      <c r="A363" t="s">
        <v>671</v>
      </c>
      <c r="B363" t="s">
        <v>71</v>
      </c>
      <c r="C363" t="s">
        <v>435</v>
      </c>
      <c r="D363" t="s">
        <v>672</v>
      </c>
      <c r="E363" t="s">
        <v>437</v>
      </c>
      <c r="F363" t="s">
        <v>673</v>
      </c>
      <c r="H363" t="s">
        <v>217</v>
      </c>
      <c r="I363" t="s">
        <v>674</v>
      </c>
      <c r="J363" t="s">
        <v>675</v>
      </c>
      <c r="K363" t="s">
        <v>680</v>
      </c>
      <c r="Q363" t="s">
        <v>57</v>
      </c>
      <c r="R363">
        <v>9215436</v>
      </c>
      <c r="S363">
        <v>2</v>
      </c>
      <c r="Y363" t="s">
        <v>677</v>
      </c>
      <c r="Z363">
        <v>8302</v>
      </c>
      <c r="AC363">
        <v>1</v>
      </c>
      <c r="AE363">
        <v>487</v>
      </c>
      <c r="AF363" s="4">
        <v>0.5</v>
      </c>
      <c r="AG363">
        <f t="shared" si="39"/>
        <v>243.5</v>
      </c>
      <c r="AH363" s="4">
        <v>0.18</v>
      </c>
      <c r="AI363">
        <f t="shared" si="34"/>
        <v>287.33</v>
      </c>
      <c r="AJ363" s="4">
        <v>0.2</v>
      </c>
      <c r="AK363">
        <f t="shared" si="35"/>
        <v>57.47</v>
      </c>
      <c r="AL363">
        <f t="shared" si="36"/>
        <v>344.8</v>
      </c>
      <c r="AM363">
        <f t="shared" si="37"/>
        <v>142.2</v>
      </c>
      <c r="AN363" s="4">
        <f t="shared" si="38"/>
        <v>0.291991786447639</v>
      </c>
      <c r="AO363" t="s">
        <v>221</v>
      </c>
      <c r="AQ363" t="s">
        <v>217</v>
      </c>
      <c r="AS363" t="s">
        <v>678</v>
      </c>
      <c r="AT363" t="s">
        <v>221</v>
      </c>
    </row>
    <row r="364" ht="15.75" customHeight="1" spans="1:46">
      <c r="A364" t="s">
        <v>671</v>
      </c>
      <c r="B364" t="s">
        <v>75</v>
      </c>
      <c r="C364" t="s">
        <v>435</v>
      </c>
      <c r="D364" t="s">
        <v>672</v>
      </c>
      <c r="E364" t="s">
        <v>437</v>
      </c>
      <c r="F364" t="s">
        <v>673</v>
      </c>
      <c r="H364" t="s">
        <v>217</v>
      </c>
      <c r="I364" t="s">
        <v>674</v>
      </c>
      <c r="J364" t="s">
        <v>675</v>
      </c>
      <c r="K364" t="s">
        <v>681</v>
      </c>
      <c r="Q364" t="s">
        <v>57</v>
      </c>
      <c r="R364">
        <v>9215437</v>
      </c>
      <c r="S364">
        <v>2</v>
      </c>
      <c r="Y364" t="s">
        <v>677</v>
      </c>
      <c r="Z364">
        <v>8302</v>
      </c>
      <c r="AC364">
        <v>1</v>
      </c>
      <c r="AE364">
        <v>508</v>
      </c>
      <c r="AF364" s="4">
        <v>0.5</v>
      </c>
      <c r="AG364">
        <f t="shared" si="39"/>
        <v>254</v>
      </c>
      <c r="AH364" s="4">
        <v>0.18</v>
      </c>
      <c r="AI364">
        <f t="shared" si="34"/>
        <v>299.72</v>
      </c>
      <c r="AJ364" s="4">
        <v>0.2</v>
      </c>
      <c r="AK364">
        <f t="shared" si="35"/>
        <v>59.94</v>
      </c>
      <c r="AL364">
        <f t="shared" si="36"/>
        <v>359.66</v>
      </c>
      <c r="AM364">
        <f t="shared" si="37"/>
        <v>148.34</v>
      </c>
      <c r="AN364" s="4">
        <f t="shared" si="38"/>
        <v>0.292007874015748</v>
      </c>
      <c r="AO364" t="s">
        <v>221</v>
      </c>
      <c r="AQ364" t="s">
        <v>217</v>
      </c>
      <c r="AS364" t="s">
        <v>678</v>
      </c>
      <c r="AT364" t="s">
        <v>221</v>
      </c>
    </row>
    <row r="365" ht="15.75" customHeight="1" spans="1:46">
      <c r="A365" t="s">
        <v>671</v>
      </c>
      <c r="B365" t="s">
        <v>79</v>
      </c>
      <c r="C365" t="s">
        <v>435</v>
      </c>
      <c r="D365" t="s">
        <v>672</v>
      </c>
      <c r="E365" t="s">
        <v>437</v>
      </c>
      <c r="F365" t="s">
        <v>673</v>
      </c>
      <c r="H365" t="s">
        <v>217</v>
      </c>
      <c r="I365" t="s">
        <v>674</v>
      </c>
      <c r="J365" t="s">
        <v>675</v>
      </c>
      <c r="K365" t="s">
        <v>682</v>
      </c>
      <c r="Q365" t="s">
        <v>57</v>
      </c>
      <c r="R365">
        <v>9209240</v>
      </c>
      <c r="S365">
        <v>2</v>
      </c>
      <c r="Y365" t="s">
        <v>677</v>
      </c>
      <c r="Z365">
        <v>8302</v>
      </c>
      <c r="AC365">
        <v>1</v>
      </c>
      <c r="AE365">
        <v>529</v>
      </c>
      <c r="AF365" s="4">
        <v>0.5</v>
      </c>
      <c r="AG365">
        <f t="shared" si="39"/>
        <v>264.5</v>
      </c>
      <c r="AH365" s="4">
        <v>0.18</v>
      </c>
      <c r="AI365">
        <f t="shared" si="34"/>
        <v>312.11</v>
      </c>
      <c r="AJ365" s="4">
        <v>0.2</v>
      </c>
      <c r="AK365">
        <f t="shared" si="35"/>
        <v>62.42</v>
      </c>
      <c r="AL365">
        <f t="shared" si="36"/>
        <v>374.53</v>
      </c>
      <c r="AM365">
        <f t="shared" si="37"/>
        <v>154.47</v>
      </c>
      <c r="AN365" s="4">
        <f t="shared" si="38"/>
        <v>0.292003780718336</v>
      </c>
      <c r="AO365" t="s">
        <v>221</v>
      </c>
      <c r="AQ365" t="s">
        <v>217</v>
      </c>
      <c r="AS365" t="s">
        <v>678</v>
      </c>
      <c r="AT365" t="s">
        <v>221</v>
      </c>
    </row>
    <row r="366" ht="15.75" customHeight="1" spans="1:46">
      <c r="A366" t="s">
        <v>671</v>
      </c>
      <c r="B366" t="s">
        <v>83</v>
      </c>
      <c r="C366" t="s">
        <v>435</v>
      </c>
      <c r="D366" t="s">
        <v>672</v>
      </c>
      <c r="E366" t="s">
        <v>437</v>
      </c>
      <c r="F366" t="s">
        <v>673</v>
      </c>
      <c r="H366" t="s">
        <v>217</v>
      </c>
      <c r="I366" t="s">
        <v>674</v>
      </c>
      <c r="J366" t="s">
        <v>675</v>
      </c>
      <c r="K366" t="s">
        <v>683</v>
      </c>
      <c r="Q366" t="s">
        <v>57</v>
      </c>
      <c r="R366">
        <v>9209239</v>
      </c>
      <c r="S366">
        <v>2</v>
      </c>
      <c r="Y366" t="s">
        <v>677</v>
      </c>
      <c r="Z366">
        <v>8302</v>
      </c>
      <c r="AC366">
        <v>1</v>
      </c>
      <c r="AE366">
        <v>561</v>
      </c>
      <c r="AF366" s="4">
        <v>0.5</v>
      </c>
      <c r="AG366">
        <f t="shared" si="39"/>
        <v>280.5</v>
      </c>
      <c r="AH366" s="4">
        <v>0.18</v>
      </c>
      <c r="AI366">
        <f t="shared" si="34"/>
        <v>330.99</v>
      </c>
      <c r="AJ366" s="4">
        <v>0.2</v>
      </c>
      <c r="AK366">
        <f t="shared" si="35"/>
        <v>66.2</v>
      </c>
      <c r="AL366">
        <f t="shared" si="36"/>
        <v>397.19</v>
      </c>
      <c r="AM366">
        <f t="shared" si="37"/>
        <v>163.81</v>
      </c>
      <c r="AN366" s="4">
        <f t="shared" si="38"/>
        <v>0.291996434937611</v>
      </c>
      <c r="AO366" t="s">
        <v>221</v>
      </c>
      <c r="AQ366" t="s">
        <v>217</v>
      </c>
      <c r="AS366" t="s">
        <v>678</v>
      </c>
      <c r="AT366" t="s">
        <v>221</v>
      </c>
    </row>
    <row r="367" ht="15.75" customHeight="1" spans="1:46">
      <c r="A367" t="s">
        <v>671</v>
      </c>
      <c r="B367" t="s">
        <v>131</v>
      </c>
      <c r="C367" t="s">
        <v>435</v>
      </c>
      <c r="D367" t="s">
        <v>672</v>
      </c>
      <c r="E367" t="s">
        <v>437</v>
      </c>
      <c r="F367" t="s">
        <v>673</v>
      </c>
      <c r="H367" t="s">
        <v>217</v>
      </c>
      <c r="I367" t="s">
        <v>674</v>
      </c>
      <c r="J367" t="s">
        <v>675</v>
      </c>
      <c r="K367" t="s">
        <v>684</v>
      </c>
      <c r="Q367" t="s">
        <v>57</v>
      </c>
      <c r="R367">
        <v>9193319</v>
      </c>
      <c r="S367">
        <v>2</v>
      </c>
      <c r="Y367" t="s">
        <v>677</v>
      </c>
      <c r="Z367">
        <v>8302</v>
      </c>
      <c r="AC367">
        <v>1</v>
      </c>
      <c r="AE367">
        <v>582</v>
      </c>
      <c r="AF367" s="4">
        <v>0.5</v>
      </c>
      <c r="AG367">
        <f t="shared" si="39"/>
        <v>291</v>
      </c>
      <c r="AH367" s="4">
        <v>0.18</v>
      </c>
      <c r="AI367">
        <f t="shared" si="34"/>
        <v>343.38</v>
      </c>
      <c r="AJ367" s="4">
        <v>0.2</v>
      </c>
      <c r="AK367">
        <f t="shared" si="35"/>
        <v>68.68</v>
      </c>
      <c r="AL367">
        <f t="shared" si="36"/>
        <v>412.06</v>
      </c>
      <c r="AM367">
        <f t="shared" si="37"/>
        <v>169.94</v>
      </c>
      <c r="AN367" s="4">
        <f t="shared" si="38"/>
        <v>0.291993127147766</v>
      </c>
      <c r="AO367" t="s">
        <v>221</v>
      </c>
      <c r="AQ367" t="s">
        <v>217</v>
      </c>
      <c r="AS367" t="s">
        <v>678</v>
      </c>
      <c r="AT367" t="s">
        <v>221</v>
      </c>
    </row>
    <row r="368" ht="15.75" customHeight="1" spans="1:46">
      <c r="A368" t="s">
        <v>685</v>
      </c>
      <c r="B368" t="s">
        <v>46</v>
      </c>
      <c r="C368" t="s">
        <v>435</v>
      </c>
      <c r="D368" t="s">
        <v>672</v>
      </c>
      <c r="E368" t="s">
        <v>437</v>
      </c>
      <c r="F368" t="s">
        <v>686</v>
      </c>
      <c r="H368" t="s">
        <v>217</v>
      </c>
      <c r="I368" t="s">
        <v>687</v>
      </c>
      <c r="J368" t="s">
        <v>675</v>
      </c>
      <c r="K368" t="s">
        <v>680</v>
      </c>
      <c r="Q368" t="s">
        <v>57</v>
      </c>
      <c r="R368">
        <v>9318185</v>
      </c>
      <c r="S368">
        <v>2</v>
      </c>
      <c r="Y368" t="s">
        <v>688</v>
      </c>
      <c r="Z368">
        <v>8302</v>
      </c>
      <c r="AC368">
        <v>1</v>
      </c>
      <c r="AE368">
        <v>1229</v>
      </c>
      <c r="AF368" s="4">
        <v>0.5</v>
      </c>
      <c r="AG368">
        <f t="shared" si="39"/>
        <v>614.5</v>
      </c>
      <c r="AH368" s="4">
        <v>0.18</v>
      </c>
      <c r="AI368">
        <f t="shared" si="34"/>
        <v>725.11</v>
      </c>
      <c r="AJ368" s="4">
        <v>0.2</v>
      </c>
      <c r="AK368">
        <f t="shared" si="35"/>
        <v>145.02</v>
      </c>
      <c r="AL368">
        <f t="shared" si="36"/>
        <v>870.13</v>
      </c>
      <c r="AM368">
        <f t="shared" si="37"/>
        <v>358.87</v>
      </c>
      <c r="AN368" s="4">
        <f t="shared" si="38"/>
        <v>0.2920016273393</v>
      </c>
      <c r="AO368" t="s">
        <v>221</v>
      </c>
      <c r="AQ368" t="s">
        <v>217</v>
      </c>
      <c r="AS368" t="s">
        <v>678</v>
      </c>
      <c r="AT368" t="s">
        <v>221</v>
      </c>
    </row>
    <row r="369" ht="15.75" customHeight="1" spans="1:46">
      <c r="A369" t="s">
        <v>685</v>
      </c>
      <c r="B369" t="s">
        <v>67</v>
      </c>
      <c r="C369" t="s">
        <v>435</v>
      </c>
      <c r="D369" t="s">
        <v>672</v>
      </c>
      <c r="E369" t="s">
        <v>437</v>
      </c>
      <c r="F369" t="s">
        <v>686</v>
      </c>
      <c r="H369" t="s">
        <v>217</v>
      </c>
      <c r="I369" t="s">
        <v>687</v>
      </c>
      <c r="J369" t="s">
        <v>675</v>
      </c>
      <c r="K369" t="s">
        <v>681</v>
      </c>
      <c r="Q369" t="s">
        <v>57</v>
      </c>
      <c r="R369">
        <v>9318189</v>
      </c>
      <c r="S369">
        <v>2</v>
      </c>
      <c r="Y369" t="s">
        <v>688</v>
      </c>
      <c r="Z369">
        <v>8302</v>
      </c>
      <c r="AC369">
        <v>1</v>
      </c>
      <c r="AE369">
        <v>1283</v>
      </c>
      <c r="AF369" s="4">
        <v>0.5</v>
      </c>
      <c r="AG369">
        <f t="shared" si="39"/>
        <v>641.5</v>
      </c>
      <c r="AH369" s="4">
        <v>0.18</v>
      </c>
      <c r="AI369">
        <f t="shared" si="34"/>
        <v>756.97</v>
      </c>
      <c r="AJ369" s="4">
        <v>0.2</v>
      </c>
      <c r="AK369">
        <f t="shared" si="35"/>
        <v>151.39</v>
      </c>
      <c r="AL369">
        <f t="shared" si="36"/>
        <v>908.36</v>
      </c>
      <c r="AM369">
        <f t="shared" si="37"/>
        <v>374.64</v>
      </c>
      <c r="AN369" s="4">
        <f t="shared" si="38"/>
        <v>0.292003117692907</v>
      </c>
      <c r="AO369" t="s">
        <v>221</v>
      </c>
      <c r="AQ369" t="s">
        <v>217</v>
      </c>
      <c r="AS369" t="s">
        <v>678</v>
      </c>
      <c r="AT369" t="s">
        <v>221</v>
      </c>
    </row>
    <row r="370" ht="15.75" customHeight="1" spans="1:46">
      <c r="A370" t="s">
        <v>685</v>
      </c>
      <c r="B370" t="s">
        <v>71</v>
      </c>
      <c r="C370" t="s">
        <v>435</v>
      </c>
      <c r="D370" t="s">
        <v>672</v>
      </c>
      <c r="E370" t="s">
        <v>437</v>
      </c>
      <c r="F370" t="s">
        <v>686</v>
      </c>
      <c r="H370" t="s">
        <v>217</v>
      </c>
      <c r="I370" t="s">
        <v>687</v>
      </c>
      <c r="J370" t="s">
        <v>675</v>
      </c>
      <c r="K370" t="s">
        <v>682</v>
      </c>
      <c r="Q370" t="s">
        <v>57</v>
      </c>
      <c r="R370">
        <v>9318193</v>
      </c>
      <c r="S370">
        <v>2</v>
      </c>
      <c r="Y370" t="s">
        <v>688</v>
      </c>
      <c r="Z370">
        <v>8302</v>
      </c>
      <c r="AC370">
        <v>1</v>
      </c>
      <c r="AE370">
        <v>1337</v>
      </c>
      <c r="AF370" s="4">
        <v>0.5</v>
      </c>
      <c r="AG370">
        <f t="shared" si="39"/>
        <v>668.5</v>
      </c>
      <c r="AH370" s="4">
        <v>0.18</v>
      </c>
      <c r="AI370">
        <f t="shared" si="34"/>
        <v>788.83</v>
      </c>
      <c r="AJ370" s="4">
        <v>0.2</v>
      </c>
      <c r="AK370">
        <f t="shared" si="35"/>
        <v>157.77</v>
      </c>
      <c r="AL370">
        <f t="shared" si="36"/>
        <v>946.6</v>
      </c>
      <c r="AM370">
        <f t="shared" si="37"/>
        <v>390.4</v>
      </c>
      <c r="AN370" s="4">
        <f t="shared" si="38"/>
        <v>0.291997008227375</v>
      </c>
      <c r="AO370" t="s">
        <v>221</v>
      </c>
      <c r="AQ370" t="s">
        <v>217</v>
      </c>
      <c r="AS370" t="s">
        <v>678</v>
      </c>
      <c r="AT370" t="s">
        <v>221</v>
      </c>
    </row>
    <row r="371" ht="15.75" customHeight="1" spans="1:46">
      <c r="A371" t="s">
        <v>685</v>
      </c>
      <c r="B371" t="s">
        <v>75</v>
      </c>
      <c r="C371" t="s">
        <v>435</v>
      </c>
      <c r="D371" t="s">
        <v>672</v>
      </c>
      <c r="E371" t="s">
        <v>437</v>
      </c>
      <c r="F371" t="s">
        <v>686</v>
      </c>
      <c r="H371" t="s">
        <v>217</v>
      </c>
      <c r="I371" t="s">
        <v>687</v>
      </c>
      <c r="J371" t="s">
        <v>675</v>
      </c>
      <c r="K371" t="s">
        <v>683</v>
      </c>
      <c r="Q371" t="s">
        <v>57</v>
      </c>
      <c r="R371">
        <v>9318195</v>
      </c>
      <c r="S371">
        <v>2</v>
      </c>
      <c r="Y371" t="s">
        <v>688</v>
      </c>
      <c r="Z371">
        <v>8302</v>
      </c>
      <c r="AC371">
        <v>1</v>
      </c>
      <c r="AE371">
        <v>1392</v>
      </c>
      <c r="AF371" s="4">
        <v>0.5</v>
      </c>
      <c r="AG371">
        <f t="shared" si="39"/>
        <v>696</v>
      </c>
      <c r="AH371" s="4">
        <v>0.18</v>
      </c>
      <c r="AI371">
        <f t="shared" si="34"/>
        <v>821.28</v>
      </c>
      <c r="AJ371" s="4">
        <v>0.2</v>
      </c>
      <c r="AK371">
        <f t="shared" si="35"/>
        <v>164.26</v>
      </c>
      <c r="AL371">
        <f t="shared" si="36"/>
        <v>985.54</v>
      </c>
      <c r="AM371">
        <f t="shared" si="37"/>
        <v>406.46</v>
      </c>
      <c r="AN371" s="4">
        <f t="shared" si="38"/>
        <v>0.291997126436782</v>
      </c>
      <c r="AO371" t="s">
        <v>221</v>
      </c>
      <c r="AQ371" t="s">
        <v>217</v>
      </c>
      <c r="AS371" t="s">
        <v>678</v>
      </c>
      <c r="AT371" t="s">
        <v>221</v>
      </c>
    </row>
    <row r="372" ht="15.75" customHeight="1" spans="1:46">
      <c r="A372" t="s">
        <v>685</v>
      </c>
      <c r="B372" t="s">
        <v>79</v>
      </c>
      <c r="C372" t="s">
        <v>435</v>
      </c>
      <c r="D372" t="s">
        <v>672</v>
      </c>
      <c r="E372" t="s">
        <v>437</v>
      </c>
      <c r="F372" t="s">
        <v>686</v>
      </c>
      <c r="H372" t="s">
        <v>217</v>
      </c>
      <c r="I372" t="s">
        <v>687</v>
      </c>
      <c r="J372" t="s">
        <v>675</v>
      </c>
      <c r="K372" t="s">
        <v>684</v>
      </c>
      <c r="Q372" t="s">
        <v>57</v>
      </c>
      <c r="R372">
        <v>9318197</v>
      </c>
      <c r="S372">
        <v>2</v>
      </c>
      <c r="Y372" t="s">
        <v>688</v>
      </c>
      <c r="Z372">
        <v>8302</v>
      </c>
      <c r="AC372">
        <v>1</v>
      </c>
      <c r="AE372">
        <v>1446</v>
      </c>
      <c r="AF372" s="4">
        <v>0.5</v>
      </c>
      <c r="AG372">
        <f t="shared" si="39"/>
        <v>723</v>
      </c>
      <c r="AH372" s="4">
        <v>0.18</v>
      </c>
      <c r="AI372">
        <f t="shared" si="34"/>
        <v>853.14</v>
      </c>
      <c r="AJ372" s="4">
        <v>0.2</v>
      </c>
      <c r="AK372">
        <f t="shared" si="35"/>
        <v>170.63</v>
      </c>
      <c r="AL372">
        <f t="shared" si="36"/>
        <v>1023.77</v>
      </c>
      <c r="AM372">
        <f t="shared" si="37"/>
        <v>422.23</v>
      </c>
      <c r="AN372" s="4">
        <f t="shared" si="38"/>
        <v>0.291998616874136</v>
      </c>
      <c r="AO372" t="s">
        <v>221</v>
      </c>
      <c r="AQ372" t="s">
        <v>217</v>
      </c>
      <c r="AS372" t="s">
        <v>678</v>
      </c>
      <c r="AT372" t="s">
        <v>221</v>
      </c>
    </row>
    <row r="373" ht="15.75" customHeight="1" spans="1:46">
      <c r="A373" t="s">
        <v>689</v>
      </c>
      <c r="B373" t="s">
        <v>46</v>
      </c>
      <c r="C373" t="s">
        <v>435</v>
      </c>
      <c r="D373" t="s">
        <v>672</v>
      </c>
      <c r="E373" t="s">
        <v>637</v>
      </c>
      <c r="F373" t="s">
        <v>690</v>
      </c>
      <c r="H373" t="s">
        <v>217</v>
      </c>
      <c r="I373" t="s">
        <v>244</v>
      </c>
      <c r="J373" t="s">
        <v>675</v>
      </c>
      <c r="K373" t="s">
        <v>680</v>
      </c>
      <c r="Q373" t="s">
        <v>57</v>
      </c>
      <c r="R373" t="s">
        <v>691</v>
      </c>
      <c r="S373">
        <v>2</v>
      </c>
      <c r="Y373" t="s">
        <v>692</v>
      </c>
      <c r="Z373">
        <v>8302</v>
      </c>
      <c r="AC373">
        <v>1</v>
      </c>
      <c r="AE373">
        <v>1025</v>
      </c>
      <c r="AF373" s="4">
        <v>0.5</v>
      </c>
      <c r="AG373">
        <f t="shared" si="39"/>
        <v>512.5</v>
      </c>
      <c r="AH373" s="4">
        <v>0.18</v>
      </c>
      <c r="AI373">
        <f t="shared" si="34"/>
        <v>604.75</v>
      </c>
      <c r="AJ373" s="4">
        <v>0.2</v>
      </c>
      <c r="AK373">
        <f t="shared" si="35"/>
        <v>120.95</v>
      </c>
      <c r="AL373">
        <f t="shared" si="36"/>
        <v>725.7</v>
      </c>
      <c r="AM373">
        <f t="shared" si="37"/>
        <v>299.3</v>
      </c>
      <c r="AN373" s="4">
        <f t="shared" si="38"/>
        <v>0.292</v>
      </c>
      <c r="AO373" t="s">
        <v>221</v>
      </c>
      <c r="AQ373" t="s">
        <v>217</v>
      </c>
      <c r="AS373" t="s">
        <v>678</v>
      </c>
      <c r="AT373" t="s">
        <v>221</v>
      </c>
    </row>
    <row r="374" ht="15.75" customHeight="1" spans="1:46">
      <c r="A374" t="s">
        <v>689</v>
      </c>
      <c r="B374" t="s">
        <v>67</v>
      </c>
      <c r="C374" t="s">
        <v>435</v>
      </c>
      <c r="D374" t="s">
        <v>672</v>
      </c>
      <c r="E374" t="s">
        <v>637</v>
      </c>
      <c r="F374" t="s">
        <v>690</v>
      </c>
      <c r="H374" t="s">
        <v>217</v>
      </c>
      <c r="I374" t="s">
        <v>244</v>
      </c>
      <c r="J374" t="s">
        <v>675</v>
      </c>
      <c r="K374" t="s">
        <v>681</v>
      </c>
      <c r="Q374" t="s">
        <v>57</v>
      </c>
      <c r="R374" t="s">
        <v>693</v>
      </c>
      <c r="S374">
        <v>2</v>
      </c>
      <c r="Y374" t="s">
        <v>692</v>
      </c>
      <c r="Z374">
        <v>8302</v>
      </c>
      <c r="AC374">
        <v>1</v>
      </c>
      <c r="AE374">
        <v>1070</v>
      </c>
      <c r="AF374" s="4">
        <v>0.5</v>
      </c>
      <c r="AG374">
        <f t="shared" si="39"/>
        <v>535</v>
      </c>
      <c r="AH374" s="4">
        <v>0.18</v>
      </c>
      <c r="AI374">
        <f t="shared" si="34"/>
        <v>631.3</v>
      </c>
      <c r="AJ374" s="4">
        <v>0.2</v>
      </c>
      <c r="AK374">
        <f t="shared" si="35"/>
        <v>126.26</v>
      </c>
      <c r="AL374">
        <f t="shared" si="36"/>
        <v>757.56</v>
      </c>
      <c r="AM374">
        <f t="shared" si="37"/>
        <v>312.44</v>
      </c>
      <c r="AN374" s="4">
        <f t="shared" si="38"/>
        <v>0.292</v>
      </c>
      <c r="AO374" t="s">
        <v>221</v>
      </c>
      <c r="AQ374" t="s">
        <v>217</v>
      </c>
      <c r="AS374" t="s">
        <v>678</v>
      </c>
      <c r="AT374" t="s">
        <v>221</v>
      </c>
    </row>
    <row r="375" ht="15.75" customHeight="1" spans="1:46">
      <c r="A375" t="s">
        <v>689</v>
      </c>
      <c r="B375" t="s">
        <v>71</v>
      </c>
      <c r="C375" t="s">
        <v>435</v>
      </c>
      <c r="D375" t="s">
        <v>672</v>
      </c>
      <c r="E375" t="s">
        <v>637</v>
      </c>
      <c r="F375" t="s">
        <v>690</v>
      </c>
      <c r="H375" t="s">
        <v>217</v>
      </c>
      <c r="I375" t="s">
        <v>244</v>
      </c>
      <c r="J375" t="s">
        <v>675</v>
      </c>
      <c r="K375" t="s">
        <v>682</v>
      </c>
      <c r="Q375" t="s">
        <v>57</v>
      </c>
      <c r="R375" t="s">
        <v>694</v>
      </c>
      <c r="S375">
        <v>2</v>
      </c>
      <c r="Y375" t="s">
        <v>692</v>
      </c>
      <c r="Z375">
        <v>8302</v>
      </c>
      <c r="AC375">
        <v>1</v>
      </c>
      <c r="AE375">
        <v>1125</v>
      </c>
      <c r="AF375" s="4">
        <v>0.5</v>
      </c>
      <c r="AG375">
        <f t="shared" si="39"/>
        <v>562.5</v>
      </c>
      <c r="AH375" s="4">
        <v>0.18</v>
      </c>
      <c r="AI375">
        <f t="shared" si="34"/>
        <v>663.75</v>
      </c>
      <c r="AJ375" s="4">
        <v>0.2</v>
      </c>
      <c r="AK375">
        <f t="shared" si="35"/>
        <v>132.75</v>
      </c>
      <c r="AL375">
        <f t="shared" si="36"/>
        <v>796.5</v>
      </c>
      <c r="AM375">
        <f t="shared" si="37"/>
        <v>328.5</v>
      </c>
      <c r="AN375" s="4">
        <f t="shared" si="38"/>
        <v>0.292</v>
      </c>
      <c r="AO375" t="s">
        <v>221</v>
      </c>
      <c r="AQ375" t="s">
        <v>217</v>
      </c>
      <c r="AS375" t="s">
        <v>678</v>
      </c>
      <c r="AT375" t="s">
        <v>221</v>
      </c>
    </row>
    <row r="376" ht="15.75" customHeight="1" spans="1:46">
      <c r="A376" t="s">
        <v>689</v>
      </c>
      <c r="B376" t="s">
        <v>75</v>
      </c>
      <c r="C376" t="s">
        <v>435</v>
      </c>
      <c r="D376" t="s">
        <v>672</v>
      </c>
      <c r="E376" t="s">
        <v>637</v>
      </c>
      <c r="F376" t="s">
        <v>690</v>
      </c>
      <c r="H376" t="s">
        <v>217</v>
      </c>
      <c r="I376" t="s">
        <v>244</v>
      </c>
      <c r="J376" t="s">
        <v>675</v>
      </c>
      <c r="K376" t="s">
        <v>683</v>
      </c>
      <c r="Q376" t="s">
        <v>57</v>
      </c>
      <c r="R376" t="s">
        <v>695</v>
      </c>
      <c r="S376">
        <v>2</v>
      </c>
      <c r="Y376" t="s">
        <v>692</v>
      </c>
      <c r="Z376">
        <v>8302</v>
      </c>
      <c r="AC376">
        <v>1</v>
      </c>
      <c r="AE376">
        <v>1170</v>
      </c>
      <c r="AF376" s="4">
        <v>0.5</v>
      </c>
      <c r="AG376">
        <f t="shared" si="39"/>
        <v>585</v>
      </c>
      <c r="AH376" s="4">
        <v>0.18</v>
      </c>
      <c r="AI376">
        <f t="shared" si="34"/>
        <v>690.3</v>
      </c>
      <c r="AJ376" s="4">
        <v>0.2</v>
      </c>
      <c r="AK376">
        <f t="shared" si="35"/>
        <v>138.06</v>
      </c>
      <c r="AL376">
        <f t="shared" si="36"/>
        <v>828.36</v>
      </c>
      <c r="AM376">
        <f t="shared" si="37"/>
        <v>341.64</v>
      </c>
      <c r="AN376" s="4">
        <f t="shared" si="38"/>
        <v>0.292</v>
      </c>
      <c r="AO376" t="s">
        <v>221</v>
      </c>
      <c r="AQ376" t="s">
        <v>217</v>
      </c>
      <c r="AS376" t="s">
        <v>678</v>
      </c>
      <c r="AT376" t="s">
        <v>221</v>
      </c>
    </row>
    <row r="377" ht="15.75" customHeight="1" spans="1:46">
      <c r="A377" t="s">
        <v>689</v>
      </c>
      <c r="B377" t="s">
        <v>79</v>
      </c>
      <c r="C377" t="s">
        <v>435</v>
      </c>
      <c r="D377" t="s">
        <v>672</v>
      </c>
      <c r="E377" t="s">
        <v>637</v>
      </c>
      <c r="F377" t="s">
        <v>690</v>
      </c>
      <c r="H377" t="s">
        <v>217</v>
      </c>
      <c r="I377" t="s">
        <v>244</v>
      </c>
      <c r="J377" t="s">
        <v>675</v>
      </c>
      <c r="K377" t="s">
        <v>684</v>
      </c>
      <c r="Q377" t="s">
        <v>57</v>
      </c>
      <c r="R377" t="s">
        <v>696</v>
      </c>
      <c r="S377">
        <v>2</v>
      </c>
      <c r="Y377" t="s">
        <v>692</v>
      </c>
      <c r="Z377">
        <v>8302</v>
      </c>
      <c r="AC377">
        <v>1</v>
      </c>
      <c r="AE377">
        <v>1225</v>
      </c>
      <c r="AF377" s="4">
        <v>0.5</v>
      </c>
      <c r="AG377">
        <f t="shared" si="39"/>
        <v>612.5</v>
      </c>
      <c r="AH377" s="4">
        <v>0.18</v>
      </c>
      <c r="AI377">
        <f t="shared" si="34"/>
        <v>722.75</v>
      </c>
      <c r="AJ377" s="4">
        <v>0.2</v>
      </c>
      <c r="AK377">
        <f t="shared" si="35"/>
        <v>144.55</v>
      </c>
      <c r="AL377">
        <f t="shared" si="36"/>
        <v>867.3</v>
      </c>
      <c r="AM377">
        <f t="shared" si="37"/>
        <v>357.7</v>
      </c>
      <c r="AN377" s="4">
        <f t="shared" si="38"/>
        <v>0.292</v>
      </c>
      <c r="AO377" t="s">
        <v>221</v>
      </c>
      <c r="AQ377" t="s">
        <v>217</v>
      </c>
      <c r="AS377" t="s">
        <v>678</v>
      </c>
      <c r="AT377" t="s">
        <v>221</v>
      </c>
    </row>
    <row r="378" ht="15.75" customHeight="1" spans="1:46">
      <c r="A378" t="s">
        <v>697</v>
      </c>
      <c r="B378" t="s">
        <v>46</v>
      </c>
      <c r="C378" t="s">
        <v>435</v>
      </c>
      <c r="D378" t="s">
        <v>672</v>
      </c>
      <c r="E378" t="s">
        <v>637</v>
      </c>
      <c r="F378" t="s">
        <v>698</v>
      </c>
      <c r="H378" t="s">
        <v>217</v>
      </c>
      <c r="I378" t="s">
        <v>687</v>
      </c>
      <c r="J378" t="s">
        <v>675</v>
      </c>
      <c r="K378" t="s">
        <v>679</v>
      </c>
      <c r="Q378" t="s">
        <v>57</v>
      </c>
      <c r="R378" t="s">
        <v>699</v>
      </c>
      <c r="S378">
        <v>2</v>
      </c>
      <c r="Y378" t="s">
        <v>700</v>
      </c>
      <c r="Z378">
        <v>8302</v>
      </c>
      <c r="AC378">
        <v>1</v>
      </c>
      <c r="AE378">
        <v>410</v>
      </c>
      <c r="AF378" s="4">
        <v>0.5</v>
      </c>
      <c r="AG378">
        <f t="shared" si="39"/>
        <v>205</v>
      </c>
      <c r="AH378" s="4">
        <v>0.18</v>
      </c>
      <c r="AI378">
        <f t="shared" si="34"/>
        <v>241.9</v>
      </c>
      <c r="AJ378" s="4">
        <v>0.2</v>
      </c>
      <c r="AK378">
        <f t="shared" si="35"/>
        <v>48.38</v>
      </c>
      <c r="AL378">
        <f t="shared" si="36"/>
        <v>290.28</v>
      </c>
      <c r="AM378">
        <f t="shared" si="37"/>
        <v>119.72</v>
      </c>
      <c r="AN378" s="4">
        <f t="shared" si="38"/>
        <v>0.292</v>
      </c>
      <c r="AO378" t="s">
        <v>221</v>
      </c>
      <c r="AQ378" t="s">
        <v>217</v>
      </c>
      <c r="AS378" t="s">
        <v>701</v>
      </c>
      <c r="AT378" t="s">
        <v>221</v>
      </c>
    </row>
    <row r="379" ht="15.75" customHeight="1" spans="1:46">
      <c r="A379" t="s">
        <v>697</v>
      </c>
      <c r="B379" t="s">
        <v>67</v>
      </c>
      <c r="C379" t="s">
        <v>435</v>
      </c>
      <c r="D379" t="s">
        <v>672</v>
      </c>
      <c r="E379" t="s">
        <v>637</v>
      </c>
      <c r="F379" t="s">
        <v>698</v>
      </c>
      <c r="H379" t="s">
        <v>217</v>
      </c>
      <c r="I379" t="s">
        <v>687</v>
      </c>
      <c r="J379" t="s">
        <v>675</v>
      </c>
      <c r="K379" t="s">
        <v>680</v>
      </c>
      <c r="Q379" t="s">
        <v>57</v>
      </c>
      <c r="R379" t="s">
        <v>702</v>
      </c>
      <c r="S379">
        <v>2</v>
      </c>
      <c r="Y379" t="s">
        <v>700</v>
      </c>
      <c r="Z379">
        <v>8302</v>
      </c>
      <c r="AC379">
        <v>1</v>
      </c>
      <c r="AE379">
        <v>430</v>
      </c>
      <c r="AF379" s="4">
        <v>0.5</v>
      </c>
      <c r="AG379">
        <f t="shared" si="39"/>
        <v>215</v>
      </c>
      <c r="AH379" s="4">
        <v>0.18</v>
      </c>
      <c r="AI379">
        <f t="shared" si="34"/>
        <v>253.7</v>
      </c>
      <c r="AJ379" s="4">
        <v>0.2</v>
      </c>
      <c r="AK379">
        <f t="shared" si="35"/>
        <v>50.74</v>
      </c>
      <c r="AL379">
        <f t="shared" si="36"/>
        <v>304.44</v>
      </c>
      <c r="AM379">
        <f t="shared" si="37"/>
        <v>125.56</v>
      </c>
      <c r="AN379" s="4">
        <f t="shared" si="38"/>
        <v>0.292</v>
      </c>
      <c r="AO379" t="s">
        <v>221</v>
      </c>
      <c r="AQ379" t="s">
        <v>217</v>
      </c>
      <c r="AS379" t="s">
        <v>701</v>
      </c>
      <c r="AT379" t="s">
        <v>221</v>
      </c>
    </row>
    <row r="380" ht="15.75" customHeight="1" spans="1:46">
      <c r="A380" t="s">
        <v>697</v>
      </c>
      <c r="B380" t="s">
        <v>71</v>
      </c>
      <c r="C380" t="s">
        <v>435</v>
      </c>
      <c r="D380" t="s">
        <v>672</v>
      </c>
      <c r="E380" t="s">
        <v>637</v>
      </c>
      <c r="F380" t="s">
        <v>698</v>
      </c>
      <c r="H380" t="s">
        <v>217</v>
      </c>
      <c r="I380" t="s">
        <v>687</v>
      </c>
      <c r="J380" t="s">
        <v>675</v>
      </c>
      <c r="K380" t="s">
        <v>681</v>
      </c>
      <c r="Q380" t="s">
        <v>57</v>
      </c>
      <c r="R380" t="s">
        <v>703</v>
      </c>
      <c r="S380">
        <v>2</v>
      </c>
      <c r="Y380" t="s">
        <v>700</v>
      </c>
      <c r="Z380">
        <v>8302</v>
      </c>
      <c r="AC380">
        <v>1</v>
      </c>
      <c r="AE380">
        <v>445</v>
      </c>
      <c r="AF380" s="4">
        <v>0.5</v>
      </c>
      <c r="AG380">
        <f t="shared" si="39"/>
        <v>222.5</v>
      </c>
      <c r="AH380" s="4">
        <v>0.18</v>
      </c>
      <c r="AI380">
        <f t="shared" si="34"/>
        <v>262.55</v>
      </c>
      <c r="AJ380" s="4">
        <v>0.2</v>
      </c>
      <c r="AK380">
        <f t="shared" si="35"/>
        <v>52.51</v>
      </c>
      <c r="AL380">
        <f t="shared" si="36"/>
        <v>315.06</v>
      </c>
      <c r="AM380">
        <f t="shared" si="37"/>
        <v>129.94</v>
      </c>
      <c r="AN380" s="4">
        <f t="shared" si="38"/>
        <v>0.292</v>
      </c>
      <c r="AO380" t="s">
        <v>221</v>
      </c>
      <c r="AQ380" t="s">
        <v>217</v>
      </c>
      <c r="AS380" t="s">
        <v>701</v>
      </c>
      <c r="AT380" t="s">
        <v>221</v>
      </c>
    </row>
    <row r="381" ht="15.75" customHeight="1" spans="1:46">
      <c r="A381" t="s">
        <v>697</v>
      </c>
      <c r="B381" t="s">
        <v>75</v>
      </c>
      <c r="C381" t="s">
        <v>435</v>
      </c>
      <c r="D381" t="s">
        <v>672</v>
      </c>
      <c r="E381" t="s">
        <v>637</v>
      </c>
      <c r="F381" t="s">
        <v>698</v>
      </c>
      <c r="H381" t="s">
        <v>217</v>
      </c>
      <c r="I381" t="s">
        <v>687</v>
      </c>
      <c r="J381" t="s">
        <v>675</v>
      </c>
      <c r="K381" t="s">
        <v>682</v>
      </c>
      <c r="Q381" t="s">
        <v>57</v>
      </c>
      <c r="R381" t="s">
        <v>704</v>
      </c>
      <c r="S381">
        <v>2</v>
      </c>
      <c r="Y381" t="s">
        <v>700</v>
      </c>
      <c r="Z381">
        <v>8302</v>
      </c>
      <c r="AC381">
        <v>1</v>
      </c>
      <c r="AE381">
        <v>465</v>
      </c>
      <c r="AF381" s="4">
        <v>0.5</v>
      </c>
      <c r="AG381">
        <f t="shared" si="39"/>
        <v>232.5</v>
      </c>
      <c r="AH381" s="4">
        <v>0.18</v>
      </c>
      <c r="AI381">
        <f t="shared" si="34"/>
        <v>274.35</v>
      </c>
      <c r="AJ381" s="4">
        <v>0.2</v>
      </c>
      <c r="AK381">
        <f t="shared" si="35"/>
        <v>54.87</v>
      </c>
      <c r="AL381">
        <f t="shared" si="36"/>
        <v>329.22</v>
      </c>
      <c r="AM381">
        <f t="shared" si="37"/>
        <v>135.78</v>
      </c>
      <c r="AN381" s="4">
        <f t="shared" si="38"/>
        <v>0.292</v>
      </c>
      <c r="AO381" t="s">
        <v>221</v>
      </c>
      <c r="AQ381" t="s">
        <v>217</v>
      </c>
      <c r="AS381" t="s">
        <v>701</v>
      </c>
      <c r="AT381" t="s">
        <v>221</v>
      </c>
    </row>
    <row r="382" ht="15.75" customHeight="1" spans="1:46">
      <c r="A382" t="s">
        <v>697</v>
      </c>
      <c r="B382" t="s">
        <v>79</v>
      </c>
      <c r="C382" t="s">
        <v>435</v>
      </c>
      <c r="D382" t="s">
        <v>672</v>
      </c>
      <c r="E382" t="s">
        <v>637</v>
      </c>
      <c r="F382" t="s">
        <v>698</v>
      </c>
      <c r="H382" t="s">
        <v>217</v>
      </c>
      <c r="I382" t="s">
        <v>687</v>
      </c>
      <c r="J382" t="s">
        <v>675</v>
      </c>
      <c r="K382" t="s">
        <v>683</v>
      </c>
      <c r="Q382" t="s">
        <v>57</v>
      </c>
      <c r="R382" t="s">
        <v>705</v>
      </c>
      <c r="S382">
        <v>2</v>
      </c>
      <c r="Y382" t="s">
        <v>700</v>
      </c>
      <c r="Z382">
        <v>8302</v>
      </c>
      <c r="AC382">
        <v>1</v>
      </c>
      <c r="AE382">
        <v>490</v>
      </c>
      <c r="AF382" s="4">
        <v>0.5</v>
      </c>
      <c r="AG382">
        <f t="shared" si="39"/>
        <v>245</v>
      </c>
      <c r="AH382" s="4">
        <v>0.18</v>
      </c>
      <c r="AI382">
        <f t="shared" si="34"/>
        <v>289.1</v>
      </c>
      <c r="AJ382" s="4">
        <v>0.2</v>
      </c>
      <c r="AK382">
        <f t="shared" si="35"/>
        <v>57.82</v>
      </c>
      <c r="AL382">
        <f t="shared" si="36"/>
        <v>346.92</v>
      </c>
      <c r="AM382">
        <f t="shared" si="37"/>
        <v>143.08</v>
      </c>
      <c r="AN382" s="4">
        <f t="shared" si="38"/>
        <v>0.292</v>
      </c>
      <c r="AO382" t="s">
        <v>221</v>
      </c>
      <c r="AQ382" t="s">
        <v>217</v>
      </c>
      <c r="AS382" t="s">
        <v>701</v>
      </c>
      <c r="AT382" t="s">
        <v>221</v>
      </c>
    </row>
    <row r="383" ht="15.75" customHeight="1" spans="1:46">
      <c r="A383" t="s">
        <v>697</v>
      </c>
      <c r="B383" t="s">
        <v>83</v>
      </c>
      <c r="C383" t="s">
        <v>435</v>
      </c>
      <c r="D383" t="s">
        <v>672</v>
      </c>
      <c r="E383" t="s">
        <v>637</v>
      </c>
      <c r="F383" t="s">
        <v>698</v>
      </c>
      <c r="H383" t="s">
        <v>217</v>
      </c>
      <c r="I383" t="s">
        <v>687</v>
      </c>
      <c r="J383" t="s">
        <v>675</v>
      </c>
      <c r="K383" t="s">
        <v>684</v>
      </c>
      <c r="Q383" t="s">
        <v>57</v>
      </c>
      <c r="R383" t="s">
        <v>706</v>
      </c>
      <c r="S383">
        <v>2</v>
      </c>
      <c r="Y383" t="s">
        <v>700</v>
      </c>
      <c r="Z383">
        <v>8302</v>
      </c>
      <c r="AC383">
        <v>1</v>
      </c>
      <c r="AE383">
        <v>510</v>
      </c>
      <c r="AF383" s="4">
        <v>0.5</v>
      </c>
      <c r="AG383">
        <f t="shared" si="39"/>
        <v>255</v>
      </c>
      <c r="AH383" s="4">
        <v>0.18</v>
      </c>
      <c r="AI383">
        <f t="shared" si="34"/>
        <v>300.9</v>
      </c>
      <c r="AJ383" s="4">
        <v>0.2</v>
      </c>
      <c r="AK383">
        <f t="shared" si="35"/>
        <v>60.18</v>
      </c>
      <c r="AL383">
        <f t="shared" si="36"/>
        <v>361.08</v>
      </c>
      <c r="AM383">
        <f t="shared" si="37"/>
        <v>148.92</v>
      </c>
      <c r="AN383" s="4">
        <f t="shared" si="38"/>
        <v>0.292</v>
      </c>
      <c r="AO383" t="s">
        <v>221</v>
      </c>
      <c r="AQ383" t="s">
        <v>217</v>
      </c>
      <c r="AS383" t="s">
        <v>701</v>
      </c>
      <c r="AT383" t="s">
        <v>221</v>
      </c>
    </row>
    <row r="384" ht="15.75" customHeight="1" spans="1:46">
      <c r="A384" t="s">
        <v>707</v>
      </c>
      <c r="B384" t="s">
        <v>46</v>
      </c>
      <c r="C384" t="s">
        <v>435</v>
      </c>
      <c r="D384" t="s">
        <v>672</v>
      </c>
      <c r="E384" t="s">
        <v>637</v>
      </c>
      <c r="F384" t="s">
        <v>708</v>
      </c>
      <c r="H384" t="s">
        <v>217</v>
      </c>
      <c r="I384" t="s">
        <v>674</v>
      </c>
      <c r="J384" t="s">
        <v>675</v>
      </c>
      <c r="K384" t="s">
        <v>679</v>
      </c>
      <c r="Q384" t="s">
        <v>57</v>
      </c>
      <c r="R384" t="s">
        <v>709</v>
      </c>
      <c r="S384">
        <v>2</v>
      </c>
      <c r="Y384" t="s">
        <v>710</v>
      </c>
      <c r="Z384">
        <v>8302</v>
      </c>
      <c r="AC384">
        <v>1</v>
      </c>
      <c r="AE384">
        <v>450</v>
      </c>
      <c r="AF384" s="4">
        <v>0.5</v>
      </c>
      <c r="AG384">
        <f t="shared" si="39"/>
        <v>225</v>
      </c>
      <c r="AH384" s="4">
        <v>0.18</v>
      </c>
      <c r="AI384">
        <f t="shared" si="34"/>
        <v>265.5</v>
      </c>
      <c r="AJ384" s="4">
        <v>0.2</v>
      </c>
      <c r="AK384">
        <f t="shared" si="35"/>
        <v>53.1</v>
      </c>
      <c r="AL384">
        <f t="shared" si="36"/>
        <v>318.6</v>
      </c>
      <c r="AM384">
        <f t="shared" si="37"/>
        <v>131.4</v>
      </c>
      <c r="AN384" s="4">
        <f t="shared" si="38"/>
        <v>0.292</v>
      </c>
      <c r="AO384" t="s">
        <v>221</v>
      </c>
      <c r="AQ384" t="s">
        <v>217</v>
      </c>
      <c r="AS384" t="s">
        <v>711</v>
      </c>
      <c r="AT384" t="s">
        <v>221</v>
      </c>
    </row>
    <row r="385" ht="15.75" customHeight="1" spans="1:46">
      <c r="A385" t="s">
        <v>707</v>
      </c>
      <c r="B385" t="s">
        <v>67</v>
      </c>
      <c r="C385" t="s">
        <v>435</v>
      </c>
      <c r="D385" t="s">
        <v>672</v>
      </c>
      <c r="E385" t="s">
        <v>637</v>
      </c>
      <c r="F385" t="s">
        <v>708</v>
      </c>
      <c r="H385" t="s">
        <v>217</v>
      </c>
      <c r="I385" t="s">
        <v>674</v>
      </c>
      <c r="J385" t="s">
        <v>675</v>
      </c>
      <c r="K385" t="s">
        <v>680</v>
      </c>
      <c r="Q385" t="s">
        <v>57</v>
      </c>
      <c r="R385" t="s">
        <v>712</v>
      </c>
      <c r="S385">
        <v>2</v>
      </c>
      <c r="Y385" t="s">
        <v>710</v>
      </c>
      <c r="Z385">
        <v>8302</v>
      </c>
      <c r="AC385">
        <v>1</v>
      </c>
      <c r="AE385">
        <v>475</v>
      </c>
      <c r="AF385" s="4">
        <v>0.5</v>
      </c>
      <c r="AG385">
        <f t="shared" si="39"/>
        <v>237.5</v>
      </c>
      <c r="AH385" s="4">
        <v>0.18</v>
      </c>
      <c r="AI385">
        <f t="shared" si="34"/>
        <v>280.25</v>
      </c>
      <c r="AJ385" s="4">
        <v>0.2</v>
      </c>
      <c r="AK385">
        <f t="shared" si="35"/>
        <v>56.05</v>
      </c>
      <c r="AL385">
        <f t="shared" si="36"/>
        <v>336.3</v>
      </c>
      <c r="AM385">
        <f t="shared" si="37"/>
        <v>138.7</v>
      </c>
      <c r="AN385" s="4">
        <f t="shared" si="38"/>
        <v>0.292</v>
      </c>
      <c r="AO385" t="s">
        <v>221</v>
      </c>
      <c r="AQ385" t="s">
        <v>217</v>
      </c>
      <c r="AS385" t="s">
        <v>711</v>
      </c>
      <c r="AT385" t="s">
        <v>221</v>
      </c>
    </row>
    <row r="386" ht="15.75" customHeight="1" spans="1:46">
      <c r="A386" t="s">
        <v>707</v>
      </c>
      <c r="B386" t="s">
        <v>71</v>
      </c>
      <c r="C386" t="s">
        <v>435</v>
      </c>
      <c r="D386" t="s">
        <v>672</v>
      </c>
      <c r="E386" t="s">
        <v>637</v>
      </c>
      <c r="F386" t="s">
        <v>708</v>
      </c>
      <c r="H386" t="s">
        <v>217</v>
      </c>
      <c r="I386" t="s">
        <v>674</v>
      </c>
      <c r="J386" t="s">
        <v>675</v>
      </c>
      <c r="K386" t="s">
        <v>681</v>
      </c>
      <c r="Q386" t="s">
        <v>57</v>
      </c>
      <c r="R386" t="s">
        <v>713</v>
      </c>
      <c r="S386">
        <v>2</v>
      </c>
      <c r="Y386" t="s">
        <v>710</v>
      </c>
      <c r="Z386">
        <v>8302</v>
      </c>
      <c r="AC386">
        <v>1</v>
      </c>
      <c r="AE386">
        <v>495</v>
      </c>
      <c r="AF386" s="4">
        <v>0.5</v>
      </c>
      <c r="AG386">
        <f t="shared" si="39"/>
        <v>247.5</v>
      </c>
      <c r="AH386" s="4">
        <v>0.18</v>
      </c>
      <c r="AI386">
        <f t="shared" ref="AI386:AI449" si="40">ROUND(AG386+(AG386*AH386),2)</f>
        <v>292.05</v>
      </c>
      <c r="AJ386" s="4">
        <v>0.2</v>
      </c>
      <c r="AK386">
        <f t="shared" ref="AK386:AK449" si="41">ROUND(AI386*AJ386,2)</f>
        <v>58.41</v>
      </c>
      <c r="AL386">
        <f t="shared" ref="AL386:AL449" si="42">AI386+AK386</f>
        <v>350.46</v>
      </c>
      <c r="AM386">
        <f t="shared" ref="AM386:AM449" si="43">AE386-AL386</f>
        <v>144.54</v>
      </c>
      <c r="AN386" s="4">
        <f t="shared" ref="AN386:AN449" si="44">AM386/AE386</f>
        <v>0.292</v>
      </c>
      <c r="AO386" t="s">
        <v>221</v>
      </c>
      <c r="AQ386" t="s">
        <v>217</v>
      </c>
      <c r="AS386" t="s">
        <v>711</v>
      </c>
      <c r="AT386" t="s">
        <v>221</v>
      </c>
    </row>
    <row r="387" ht="15.75" customHeight="1" spans="1:46">
      <c r="A387" t="s">
        <v>707</v>
      </c>
      <c r="B387" t="s">
        <v>75</v>
      </c>
      <c r="C387" t="s">
        <v>435</v>
      </c>
      <c r="D387" t="s">
        <v>672</v>
      </c>
      <c r="E387" t="s">
        <v>637</v>
      </c>
      <c r="F387" t="s">
        <v>708</v>
      </c>
      <c r="H387" t="s">
        <v>217</v>
      </c>
      <c r="I387" t="s">
        <v>674</v>
      </c>
      <c r="J387" t="s">
        <v>675</v>
      </c>
      <c r="K387" t="s">
        <v>682</v>
      </c>
      <c r="Q387" t="s">
        <v>57</v>
      </c>
      <c r="R387" t="s">
        <v>714</v>
      </c>
      <c r="S387">
        <v>2</v>
      </c>
      <c r="Y387" t="s">
        <v>710</v>
      </c>
      <c r="Z387">
        <v>8302</v>
      </c>
      <c r="AC387">
        <v>1</v>
      </c>
      <c r="AE387">
        <v>515</v>
      </c>
      <c r="AF387" s="4">
        <v>0.5</v>
      </c>
      <c r="AG387">
        <f t="shared" si="39"/>
        <v>257.5</v>
      </c>
      <c r="AH387" s="4">
        <v>0.18</v>
      </c>
      <c r="AI387">
        <f t="shared" si="40"/>
        <v>303.85</v>
      </c>
      <c r="AJ387" s="4">
        <v>0.2</v>
      </c>
      <c r="AK387">
        <f t="shared" si="41"/>
        <v>60.77</v>
      </c>
      <c r="AL387">
        <f t="shared" si="42"/>
        <v>364.62</v>
      </c>
      <c r="AM387">
        <f t="shared" si="43"/>
        <v>150.38</v>
      </c>
      <c r="AN387" s="4">
        <f t="shared" si="44"/>
        <v>0.292</v>
      </c>
      <c r="AO387" t="s">
        <v>221</v>
      </c>
      <c r="AQ387" t="s">
        <v>217</v>
      </c>
      <c r="AS387" t="s">
        <v>711</v>
      </c>
      <c r="AT387" t="s">
        <v>221</v>
      </c>
    </row>
    <row r="388" ht="15.75" customHeight="1" spans="1:46">
      <c r="A388" t="s">
        <v>707</v>
      </c>
      <c r="B388" t="s">
        <v>79</v>
      </c>
      <c r="C388" t="s">
        <v>435</v>
      </c>
      <c r="D388" t="s">
        <v>672</v>
      </c>
      <c r="E388" t="s">
        <v>637</v>
      </c>
      <c r="F388" t="s">
        <v>708</v>
      </c>
      <c r="H388" t="s">
        <v>217</v>
      </c>
      <c r="I388" t="s">
        <v>674</v>
      </c>
      <c r="J388" t="s">
        <v>675</v>
      </c>
      <c r="K388" t="s">
        <v>683</v>
      </c>
      <c r="Q388" t="s">
        <v>57</v>
      </c>
      <c r="R388" t="s">
        <v>715</v>
      </c>
      <c r="S388">
        <v>2</v>
      </c>
      <c r="Y388" t="s">
        <v>710</v>
      </c>
      <c r="Z388">
        <v>8302</v>
      </c>
      <c r="AC388">
        <v>1</v>
      </c>
      <c r="AE388">
        <v>545</v>
      </c>
      <c r="AF388" s="4">
        <v>0.5</v>
      </c>
      <c r="AG388">
        <f t="shared" si="39"/>
        <v>272.5</v>
      </c>
      <c r="AH388" s="4">
        <v>0.18</v>
      </c>
      <c r="AI388">
        <f t="shared" si="40"/>
        <v>321.55</v>
      </c>
      <c r="AJ388" s="4">
        <v>0.2</v>
      </c>
      <c r="AK388">
        <f t="shared" si="41"/>
        <v>64.31</v>
      </c>
      <c r="AL388">
        <f t="shared" si="42"/>
        <v>385.86</v>
      </c>
      <c r="AM388">
        <f t="shared" si="43"/>
        <v>159.14</v>
      </c>
      <c r="AN388" s="4">
        <f t="shared" si="44"/>
        <v>0.292</v>
      </c>
      <c r="AO388" t="s">
        <v>221</v>
      </c>
      <c r="AQ388" t="s">
        <v>217</v>
      </c>
      <c r="AS388" t="s">
        <v>711</v>
      </c>
      <c r="AT388" t="s">
        <v>221</v>
      </c>
    </row>
    <row r="389" ht="15.75" customHeight="1" spans="1:46">
      <c r="A389" t="s">
        <v>707</v>
      </c>
      <c r="B389" t="s">
        <v>83</v>
      </c>
      <c r="C389" t="s">
        <v>435</v>
      </c>
      <c r="D389" t="s">
        <v>672</v>
      </c>
      <c r="E389" t="s">
        <v>637</v>
      </c>
      <c r="F389" t="s">
        <v>708</v>
      </c>
      <c r="H389" t="s">
        <v>217</v>
      </c>
      <c r="I389" t="s">
        <v>674</v>
      </c>
      <c r="J389" t="s">
        <v>675</v>
      </c>
      <c r="K389" t="s">
        <v>684</v>
      </c>
      <c r="Q389" t="s">
        <v>57</v>
      </c>
      <c r="R389" t="s">
        <v>716</v>
      </c>
      <c r="S389">
        <v>2</v>
      </c>
      <c r="Y389" t="s">
        <v>710</v>
      </c>
      <c r="Z389">
        <v>8302</v>
      </c>
      <c r="AC389">
        <v>1</v>
      </c>
      <c r="AE389">
        <v>565</v>
      </c>
      <c r="AF389" s="4">
        <v>0.5</v>
      </c>
      <c r="AG389">
        <f t="shared" si="39"/>
        <v>282.5</v>
      </c>
      <c r="AH389" s="4">
        <v>0.18</v>
      </c>
      <c r="AI389">
        <f t="shared" si="40"/>
        <v>333.35</v>
      </c>
      <c r="AJ389" s="4">
        <v>0.2</v>
      </c>
      <c r="AK389">
        <f t="shared" si="41"/>
        <v>66.67</v>
      </c>
      <c r="AL389">
        <f t="shared" si="42"/>
        <v>400.02</v>
      </c>
      <c r="AM389">
        <f t="shared" si="43"/>
        <v>164.98</v>
      </c>
      <c r="AN389" s="4">
        <f t="shared" si="44"/>
        <v>0.292</v>
      </c>
      <c r="AO389" t="s">
        <v>221</v>
      </c>
      <c r="AQ389" t="s">
        <v>217</v>
      </c>
      <c r="AS389" t="s">
        <v>711</v>
      </c>
      <c r="AT389" t="s">
        <v>221</v>
      </c>
    </row>
    <row r="390" ht="15.75" customHeight="1" spans="1:46">
      <c r="A390" s="13" t="s">
        <v>717</v>
      </c>
      <c r="B390" s="13" t="s">
        <v>46</v>
      </c>
      <c r="C390" s="13" t="s">
        <v>435</v>
      </c>
      <c r="D390" s="13" t="s">
        <v>672</v>
      </c>
      <c r="E390" s="13" t="s">
        <v>637</v>
      </c>
      <c r="F390" s="13" t="s">
        <v>718</v>
      </c>
      <c r="G390" s="13"/>
      <c r="H390" s="13" t="s">
        <v>217</v>
      </c>
      <c r="I390" s="13" t="s">
        <v>719</v>
      </c>
      <c r="J390" s="13" t="s">
        <v>675</v>
      </c>
      <c r="K390" s="13" t="s">
        <v>680</v>
      </c>
      <c r="L390" s="13"/>
      <c r="M390" s="13"/>
      <c r="N390" s="13"/>
      <c r="O390" s="13"/>
      <c r="P390" s="13"/>
      <c r="Q390" s="13" t="s">
        <v>57</v>
      </c>
      <c r="R390" s="13" t="s">
        <v>720</v>
      </c>
      <c r="S390" s="13">
        <v>2</v>
      </c>
      <c r="T390" s="13"/>
      <c r="U390" s="13"/>
      <c r="V390" s="13"/>
      <c r="W390" s="13"/>
      <c r="X390" s="13"/>
      <c r="Y390" s="13" t="s">
        <v>721</v>
      </c>
      <c r="Z390" s="13">
        <v>8302</v>
      </c>
      <c r="AA390" s="13"/>
      <c r="AB390" s="13"/>
      <c r="AC390" s="13">
        <v>1</v>
      </c>
      <c r="AD390" s="13"/>
      <c r="AE390" s="13">
        <v>2435</v>
      </c>
      <c r="AF390" s="14">
        <v>0.5</v>
      </c>
      <c r="AG390" s="13">
        <f t="shared" si="39"/>
        <v>1217.5</v>
      </c>
      <c r="AH390" s="14">
        <v>0.18</v>
      </c>
      <c r="AI390" s="13">
        <f t="shared" si="40"/>
        <v>1436.65</v>
      </c>
      <c r="AJ390" s="14">
        <v>0.2</v>
      </c>
      <c r="AK390" s="13">
        <f t="shared" si="41"/>
        <v>287.33</v>
      </c>
      <c r="AL390" s="13">
        <f t="shared" si="42"/>
        <v>1723.98</v>
      </c>
      <c r="AM390" s="13">
        <f t="shared" si="43"/>
        <v>711.02</v>
      </c>
      <c r="AN390" s="14">
        <f t="shared" si="44"/>
        <v>0.292</v>
      </c>
      <c r="AO390" s="13" t="s">
        <v>221</v>
      </c>
      <c r="AP390" s="13"/>
      <c r="AQ390" t="s">
        <v>217</v>
      </c>
      <c r="AR390" s="13"/>
      <c r="AS390" t="s">
        <v>711</v>
      </c>
      <c r="AT390" s="13" t="s">
        <v>558</v>
      </c>
    </row>
    <row r="391" ht="15.75" customHeight="1" spans="1:46">
      <c r="A391" s="13" t="s">
        <v>717</v>
      </c>
      <c r="B391" s="13" t="s">
        <v>67</v>
      </c>
      <c r="C391" s="13" t="s">
        <v>435</v>
      </c>
      <c r="D391" s="13" t="s">
        <v>672</v>
      </c>
      <c r="E391" s="13" t="s">
        <v>637</v>
      </c>
      <c r="F391" s="13" t="s">
        <v>718</v>
      </c>
      <c r="G391" s="13"/>
      <c r="H391" s="13" t="s">
        <v>217</v>
      </c>
      <c r="I391" s="13" t="s">
        <v>719</v>
      </c>
      <c r="J391" s="13" t="s">
        <v>675</v>
      </c>
      <c r="K391" s="13" t="s">
        <v>681</v>
      </c>
      <c r="L391" s="13"/>
      <c r="M391" s="13"/>
      <c r="N391" s="13"/>
      <c r="O391" s="13"/>
      <c r="P391" s="13"/>
      <c r="Q391" s="13" t="s">
        <v>57</v>
      </c>
      <c r="R391" s="13" t="s">
        <v>722</v>
      </c>
      <c r="S391" s="13">
        <v>2</v>
      </c>
      <c r="T391" s="13"/>
      <c r="U391" s="13"/>
      <c r="V391" s="13"/>
      <c r="W391" s="13"/>
      <c r="X391" s="13"/>
      <c r="Y391" s="13" t="s">
        <v>721</v>
      </c>
      <c r="Z391" s="13">
        <v>8302</v>
      </c>
      <c r="AA391" s="13"/>
      <c r="AB391" s="13"/>
      <c r="AC391" s="13">
        <v>1</v>
      </c>
      <c r="AD391" s="13"/>
      <c r="AE391" s="13">
        <v>2435</v>
      </c>
      <c r="AF391" s="14">
        <v>0.5</v>
      </c>
      <c r="AG391" s="13">
        <f t="shared" si="39"/>
        <v>1217.5</v>
      </c>
      <c r="AH391" s="14">
        <v>0.18</v>
      </c>
      <c r="AI391" s="13">
        <f t="shared" si="40"/>
        <v>1436.65</v>
      </c>
      <c r="AJ391" s="14">
        <v>0.2</v>
      </c>
      <c r="AK391" s="13">
        <f t="shared" si="41"/>
        <v>287.33</v>
      </c>
      <c r="AL391" s="13">
        <f t="shared" si="42"/>
        <v>1723.98</v>
      </c>
      <c r="AM391" s="13">
        <f t="shared" si="43"/>
        <v>711.02</v>
      </c>
      <c r="AN391" s="14">
        <f t="shared" si="44"/>
        <v>0.292</v>
      </c>
      <c r="AO391" s="13" t="s">
        <v>221</v>
      </c>
      <c r="AP391" s="13"/>
      <c r="AQ391" t="s">
        <v>217</v>
      </c>
      <c r="AR391" s="13"/>
      <c r="AS391" t="s">
        <v>711</v>
      </c>
      <c r="AT391" s="13" t="s">
        <v>558</v>
      </c>
    </row>
    <row r="392" ht="15.75" customHeight="1" spans="1:46">
      <c r="A392" s="13" t="s">
        <v>717</v>
      </c>
      <c r="B392" s="13" t="s">
        <v>71</v>
      </c>
      <c r="C392" s="13" t="s">
        <v>435</v>
      </c>
      <c r="D392" s="13" t="s">
        <v>672</v>
      </c>
      <c r="E392" s="13" t="s">
        <v>637</v>
      </c>
      <c r="F392" s="13" t="s">
        <v>718</v>
      </c>
      <c r="G392" s="13"/>
      <c r="H392" s="13" t="s">
        <v>217</v>
      </c>
      <c r="I392" s="13" t="s">
        <v>719</v>
      </c>
      <c r="J392" s="13" t="s">
        <v>675</v>
      </c>
      <c r="K392" s="13" t="s">
        <v>682</v>
      </c>
      <c r="L392" s="13"/>
      <c r="M392" s="13"/>
      <c r="N392" s="13"/>
      <c r="O392" s="13"/>
      <c r="P392" s="13"/>
      <c r="Q392" s="13" t="s">
        <v>57</v>
      </c>
      <c r="R392" s="13" t="s">
        <v>723</v>
      </c>
      <c r="S392" s="13">
        <v>2</v>
      </c>
      <c r="T392" s="13"/>
      <c r="U392" s="13"/>
      <c r="V392" s="13"/>
      <c r="W392" s="13"/>
      <c r="X392" s="13"/>
      <c r="Y392" s="13" t="s">
        <v>721</v>
      </c>
      <c r="Z392" s="13">
        <v>8302</v>
      </c>
      <c r="AA392" s="13"/>
      <c r="AB392" s="13"/>
      <c r="AC392" s="13">
        <v>1</v>
      </c>
      <c r="AD392" s="13"/>
      <c r="AE392" s="13">
        <v>2575</v>
      </c>
      <c r="AF392" s="14">
        <v>0.5</v>
      </c>
      <c r="AG392" s="13">
        <f t="shared" si="39"/>
        <v>1287.5</v>
      </c>
      <c r="AH392" s="14">
        <v>0.18</v>
      </c>
      <c r="AI392" s="13">
        <f t="shared" si="40"/>
        <v>1519.25</v>
      </c>
      <c r="AJ392" s="14">
        <v>0.2</v>
      </c>
      <c r="AK392" s="13">
        <f t="shared" si="41"/>
        <v>303.85</v>
      </c>
      <c r="AL392" s="13">
        <f t="shared" si="42"/>
        <v>1823.1</v>
      </c>
      <c r="AM392" s="13">
        <f t="shared" si="43"/>
        <v>751.9</v>
      </c>
      <c r="AN392" s="14">
        <f t="shared" si="44"/>
        <v>0.292</v>
      </c>
      <c r="AO392" s="13" t="s">
        <v>221</v>
      </c>
      <c r="AP392" s="13"/>
      <c r="AQ392" t="s">
        <v>217</v>
      </c>
      <c r="AR392" s="13"/>
      <c r="AS392" t="s">
        <v>711</v>
      </c>
      <c r="AT392" s="13" t="s">
        <v>558</v>
      </c>
    </row>
    <row r="393" ht="15.75" customHeight="1" spans="1:46">
      <c r="A393" s="13" t="s">
        <v>717</v>
      </c>
      <c r="B393" s="13" t="s">
        <v>75</v>
      </c>
      <c r="C393" s="13" t="s">
        <v>435</v>
      </c>
      <c r="D393" s="13" t="s">
        <v>672</v>
      </c>
      <c r="E393" s="13" t="s">
        <v>637</v>
      </c>
      <c r="F393" s="13" t="s">
        <v>718</v>
      </c>
      <c r="G393" s="13"/>
      <c r="H393" s="13" t="s">
        <v>217</v>
      </c>
      <c r="I393" s="13" t="s">
        <v>719</v>
      </c>
      <c r="J393" s="13" t="s">
        <v>675</v>
      </c>
      <c r="K393" s="13" t="s">
        <v>683</v>
      </c>
      <c r="L393" s="13"/>
      <c r="M393" s="13"/>
      <c r="N393" s="13"/>
      <c r="O393" s="13"/>
      <c r="P393" s="13"/>
      <c r="Q393" s="13" t="s">
        <v>57</v>
      </c>
      <c r="R393" s="13" t="s">
        <v>724</v>
      </c>
      <c r="S393" s="13">
        <v>2</v>
      </c>
      <c r="T393" s="13"/>
      <c r="U393" s="13"/>
      <c r="V393" s="13"/>
      <c r="W393" s="13"/>
      <c r="X393" s="13"/>
      <c r="Y393" s="13" t="s">
        <v>721</v>
      </c>
      <c r="Z393" s="13">
        <v>8302</v>
      </c>
      <c r="AA393" s="13"/>
      <c r="AB393" s="13"/>
      <c r="AC393" s="13">
        <v>1</v>
      </c>
      <c r="AD393" s="13"/>
      <c r="AE393" s="13">
        <v>2575</v>
      </c>
      <c r="AF393" s="14">
        <v>0.5</v>
      </c>
      <c r="AG393" s="13">
        <f t="shared" si="39"/>
        <v>1287.5</v>
      </c>
      <c r="AH393" s="14">
        <v>0.18</v>
      </c>
      <c r="AI393" s="13">
        <f t="shared" si="40"/>
        <v>1519.25</v>
      </c>
      <c r="AJ393" s="14">
        <v>0.2</v>
      </c>
      <c r="AK393" s="13">
        <f t="shared" si="41"/>
        <v>303.85</v>
      </c>
      <c r="AL393" s="13">
        <f t="shared" si="42"/>
        <v>1823.1</v>
      </c>
      <c r="AM393" s="13">
        <f t="shared" si="43"/>
        <v>751.9</v>
      </c>
      <c r="AN393" s="14">
        <f t="shared" si="44"/>
        <v>0.292</v>
      </c>
      <c r="AO393" s="13" t="s">
        <v>221</v>
      </c>
      <c r="AP393" s="13"/>
      <c r="AQ393" t="s">
        <v>217</v>
      </c>
      <c r="AR393" s="13"/>
      <c r="AS393" t="s">
        <v>711</v>
      </c>
      <c r="AT393" s="13" t="s">
        <v>558</v>
      </c>
    </row>
    <row r="394" ht="15.75" customHeight="1" spans="1:46">
      <c r="A394" s="13" t="s">
        <v>717</v>
      </c>
      <c r="B394" s="13" t="s">
        <v>79</v>
      </c>
      <c r="C394" s="13" t="s">
        <v>435</v>
      </c>
      <c r="D394" s="13" t="s">
        <v>672</v>
      </c>
      <c r="E394" s="13" t="s">
        <v>637</v>
      </c>
      <c r="F394" s="13" t="s">
        <v>718</v>
      </c>
      <c r="G394" s="13"/>
      <c r="H394" s="13" t="s">
        <v>217</v>
      </c>
      <c r="I394" s="13" t="s">
        <v>719</v>
      </c>
      <c r="J394" s="13" t="s">
        <v>675</v>
      </c>
      <c r="K394" s="13" t="s">
        <v>684</v>
      </c>
      <c r="L394" s="13"/>
      <c r="M394" s="13"/>
      <c r="N394" s="13"/>
      <c r="O394" s="13"/>
      <c r="P394" s="13"/>
      <c r="Q394" s="13" t="s">
        <v>57</v>
      </c>
      <c r="R394" s="13" t="s">
        <v>725</v>
      </c>
      <c r="S394" s="13">
        <v>2</v>
      </c>
      <c r="T394" s="13"/>
      <c r="U394" s="13"/>
      <c r="V394" s="13"/>
      <c r="W394" s="13"/>
      <c r="X394" s="13"/>
      <c r="Y394" s="13" t="s">
        <v>721</v>
      </c>
      <c r="Z394" s="13">
        <v>8302</v>
      </c>
      <c r="AA394" s="13"/>
      <c r="AB394" s="13"/>
      <c r="AC394" s="13">
        <v>1</v>
      </c>
      <c r="AD394" s="13"/>
      <c r="AE394" s="13">
        <v>2575</v>
      </c>
      <c r="AF394" s="14">
        <v>0.5</v>
      </c>
      <c r="AG394" s="13">
        <f t="shared" si="39"/>
        <v>1287.5</v>
      </c>
      <c r="AH394" s="14">
        <v>0.18</v>
      </c>
      <c r="AI394" s="13">
        <f t="shared" si="40"/>
        <v>1519.25</v>
      </c>
      <c r="AJ394" s="14">
        <v>0.2</v>
      </c>
      <c r="AK394" s="13">
        <f t="shared" si="41"/>
        <v>303.85</v>
      </c>
      <c r="AL394" s="13">
        <f t="shared" si="42"/>
        <v>1823.1</v>
      </c>
      <c r="AM394" s="13">
        <f t="shared" si="43"/>
        <v>751.9</v>
      </c>
      <c r="AN394" s="14">
        <f t="shared" si="44"/>
        <v>0.292</v>
      </c>
      <c r="AO394" s="13" t="s">
        <v>221</v>
      </c>
      <c r="AP394" s="13"/>
      <c r="AQ394" t="s">
        <v>217</v>
      </c>
      <c r="AR394" s="13"/>
      <c r="AS394" t="s">
        <v>711</v>
      </c>
      <c r="AT394" s="13" t="s">
        <v>558</v>
      </c>
    </row>
    <row r="395" ht="15.75" customHeight="1" spans="1:46">
      <c r="A395" t="s">
        <v>726</v>
      </c>
      <c r="B395" t="s">
        <v>46</v>
      </c>
      <c r="C395" t="s">
        <v>435</v>
      </c>
      <c r="D395" t="s">
        <v>672</v>
      </c>
      <c r="E395" t="s">
        <v>637</v>
      </c>
      <c r="F395" t="s">
        <v>727</v>
      </c>
      <c r="H395" t="s">
        <v>217</v>
      </c>
      <c r="I395" t="s">
        <v>687</v>
      </c>
      <c r="J395" t="s">
        <v>675</v>
      </c>
      <c r="K395" t="s">
        <v>680</v>
      </c>
      <c r="Q395" t="s">
        <v>57</v>
      </c>
      <c r="R395" t="s">
        <v>728</v>
      </c>
      <c r="S395">
        <v>2</v>
      </c>
      <c r="Y395" t="s">
        <v>729</v>
      </c>
      <c r="Z395">
        <v>8302</v>
      </c>
      <c r="AC395">
        <v>1</v>
      </c>
      <c r="AE395">
        <v>2435</v>
      </c>
      <c r="AF395" s="4">
        <v>0.5</v>
      </c>
      <c r="AG395">
        <f t="shared" si="39"/>
        <v>1217.5</v>
      </c>
      <c r="AH395" s="4">
        <v>0.18</v>
      </c>
      <c r="AI395">
        <f t="shared" si="40"/>
        <v>1436.65</v>
      </c>
      <c r="AJ395" s="4">
        <v>0.2</v>
      </c>
      <c r="AK395">
        <f t="shared" si="41"/>
        <v>287.33</v>
      </c>
      <c r="AL395">
        <f t="shared" si="42"/>
        <v>1723.98</v>
      </c>
      <c r="AM395">
        <f t="shared" si="43"/>
        <v>711.02</v>
      </c>
      <c r="AN395" s="4">
        <f t="shared" si="44"/>
        <v>0.292</v>
      </c>
      <c r="AO395" t="s">
        <v>221</v>
      </c>
      <c r="AQ395" t="s">
        <v>217</v>
      </c>
      <c r="AS395" t="s">
        <v>678</v>
      </c>
      <c r="AT395" t="s">
        <v>221</v>
      </c>
    </row>
    <row r="396" ht="15.75" customHeight="1" spans="1:46">
      <c r="A396" t="s">
        <v>726</v>
      </c>
      <c r="B396" t="s">
        <v>67</v>
      </c>
      <c r="C396" t="s">
        <v>435</v>
      </c>
      <c r="D396" t="s">
        <v>672</v>
      </c>
      <c r="E396" t="s">
        <v>637</v>
      </c>
      <c r="F396" t="s">
        <v>727</v>
      </c>
      <c r="H396" t="s">
        <v>217</v>
      </c>
      <c r="I396" t="s">
        <v>687</v>
      </c>
      <c r="J396" t="s">
        <v>675</v>
      </c>
      <c r="K396" t="s">
        <v>681</v>
      </c>
      <c r="Q396" t="s">
        <v>57</v>
      </c>
      <c r="R396" t="s">
        <v>730</v>
      </c>
      <c r="S396">
        <v>2</v>
      </c>
      <c r="Y396" t="s">
        <v>729</v>
      </c>
      <c r="Z396">
        <v>8302</v>
      </c>
      <c r="AC396">
        <v>1</v>
      </c>
      <c r="AE396">
        <v>2435</v>
      </c>
      <c r="AF396" s="4">
        <v>0.5</v>
      </c>
      <c r="AG396">
        <f t="shared" si="39"/>
        <v>1217.5</v>
      </c>
      <c r="AH396" s="4">
        <v>0.18</v>
      </c>
      <c r="AI396">
        <f t="shared" si="40"/>
        <v>1436.65</v>
      </c>
      <c r="AJ396" s="4">
        <v>0.2</v>
      </c>
      <c r="AK396">
        <f t="shared" si="41"/>
        <v>287.33</v>
      </c>
      <c r="AL396">
        <f t="shared" si="42"/>
        <v>1723.98</v>
      </c>
      <c r="AM396">
        <f t="shared" si="43"/>
        <v>711.02</v>
      </c>
      <c r="AN396" s="4">
        <f t="shared" si="44"/>
        <v>0.292</v>
      </c>
      <c r="AO396" t="s">
        <v>221</v>
      </c>
      <c r="AQ396" t="s">
        <v>217</v>
      </c>
      <c r="AS396" t="s">
        <v>678</v>
      </c>
      <c r="AT396" t="s">
        <v>221</v>
      </c>
    </row>
    <row r="397" ht="15.75" customHeight="1" spans="1:46">
      <c r="A397" t="s">
        <v>726</v>
      </c>
      <c r="B397" t="s">
        <v>71</v>
      </c>
      <c r="C397" t="s">
        <v>435</v>
      </c>
      <c r="D397" t="s">
        <v>672</v>
      </c>
      <c r="E397" t="s">
        <v>637</v>
      </c>
      <c r="F397" t="s">
        <v>727</v>
      </c>
      <c r="H397" t="s">
        <v>217</v>
      </c>
      <c r="I397" t="s">
        <v>687</v>
      </c>
      <c r="J397" t="s">
        <v>675</v>
      </c>
      <c r="K397" t="s">
        <v>682</v>
      </c>
      <c r="Q397" t="s">
        <v>57</v>
      </c>
      <c r="R397" t="s">
        <v>731</v>
      </c>
      <c r="S397">
        <v>2</v>
      </c>
      <c r="Y397" t="s">
        <v>729</v>
      </c>
      <c r="Z397">
        <v>8302</v>
      </c>
      <c r="AC397">
        <v>1</v>
      </c>
      <c r="AE397">
        <v>2575</v>
      </c>
      <c r="AF397" s="4">
        <v>0.5</v>
      </c>
      <c r="AG397">
        <f t="shared" si="39"/>
        <v>1287.5</v>
      </c>
      <c r="AH397" s="4">
        <v>0.18</v>
      </c>
      <c r="AI397">
        <f t="shared" si="40"/>
        <v>1519.25</v>
      </c>
      <c r="AJ397" s="4">
        <v>0.2</v>
      </c>
      <c r="AK397">
        <f t="shared" si="41"/>
        <v>303.85</v>
      </c>
      <c r="AL397">
        <f t="shared" si="42"/>
        <v>1823.1</v>
      </c>
      <c r="AM397">
        <f t="shared" si="43"/>
        <v>751.9</v>
      </c>
      <c r="AN397" s="4">
        <f t="shared" si="44"/>
        <v>0.292</v>
      </c>
      <c r="AO397" t="s">
        <v>221</v>
      </c>
      <c r="AQ397" t="s">
        <v>217</v>
      </c>
      <c r="AS397" t="s">
        <v>678</v>
      </c>
      <c r="AT397" t="s">
        <v>221</v>
      </c>
    </row>
    <row r="398" ht="15.75" customHeight="1" spans="1:46">
      <c r="A398" t="s">
        <v>726</v>
      </c>
      <c r="B398" t="s">
        <v>75</v>
      </c>
      <c r="C398" t="s">
        <v>435</v>
      </c>
      <c r="D398" t="s">
        <v>672</v>
      </c>
      <c r="E398" t="s">
        <v>637</v>
      </c>
      <c r="F398" t="s">
        <v>727</v>
      </c>
      <c r="H398" t="s">
        <v>217</v>
      </c>
      <c r="I398" t="s">
        <v>687</v>
      </c>
      <c r="J398" t="s">
        <v>675</v>
      </c>
      <c r="K398" t="s">
        <v>683</v>
      </c>
      <c r="Q398" t="s">
        <v>57</v>
      </c>
      <c r="R398" t="s">
        <v>732</v>
      </c>
      <c r="S398">
        <v>2</v>
      </c>
      <c r="Y398" t="s">
        <v>729</v>
      </c>
      <c r="Z398">
        <v>8302</v>
      </c>
      <c r="AC398">
        <v>1</v>
      </c>
      <c r="AE398">
        <v>2575</v>
      </c>
      <c r="AF398" s="4">
        <v>0.5</v>
      </c>
      <c r="AG398">
        <f t="shared" si="39"/>
        <v>1287.5</v>
      </c>
      <c r="AH398" s="4">
        <v>0.18</v>
      </c>
      <c r="AI398">
        <f t="shared" si="40"/>
        <v>1519.25</v>
      </c>
      <c r="AJ398" s="4">
        <v>0.2</v>
      </c>
      <c r="AK398">
        <f t="shared" si="41"/>
        <v>303.85</v>
      </c>
      <c r="AL398">
        <f t="shared" si="42"/>
        <v>1823.1</v>
      </c>
      <c r="AM398">
        <f t="shared" si="43"/>
        <v>751.9</v>
      </c>
      <c r="AN398" s="4">
        <f t="shared" si="44"/>
        <v>0.292</v>
      </c>
      <c r="AO398" t="s">
        <v>221</v>
      </c>
      <c r="AQ398" t="s">
        <v>217</v>
      </c>
      <c r="AS398" t="s">
        <v>678</v>
      </c>
      <c r="AT398" t="s">
        <v>221</v>
      </c>
    </row>
    <row r="399" ht="15.75" customHeight="1" spans="1:46">
      <c r="A399" t="s">
        <v>726</v>
      </c>
      <c r="B399" t="s">
        <v>79</v>
      </c>
      <c r="C399" t="s">
        <v>435</v>
      </c>
      <c r="D399" t="s">
        <v>672</v>
      </c>
      <c r="E399" t="s">
        <v>637</v>
      </c>
      <c r="F399" t="s">
        <v>727</v>
      </c>
      <c r="H399" t="s">
        <v>217</v>
      </c>
      <c r="I399" t="s">
        <v>687</v>
      </c>
      <c r="J399" t="s">
        <v>675</v>
      </c>
      <c r="K399" t="s">
        <v>684</v>
      </c>
      <c r="Q399" t="s">
        <v>57</v>
      </c>
      <c r="R399" t="s">
        <v>733</v>
      </c>
      <c r="S399">
        <v>2</v>
      </c>
      <c r="Y399" t="s">
        <v>729</v>
      </c>
      <c r="Z399">
        <v>8302</v>
      </c>
      <c r="AC399">
        <v>1</v>
      </c>
      <c r="AE399">
        <v>2575</v>
      </c>
      <c r="AF399" s="4">
        <v>0.5</v>
      </c>
      <c r="AG399">
        <f t="shared" si="39"/>
        <v>1287.5</v>
      </c>
      <c r="AH399" s="4">
        <v>0.18</v>
      </c>
      <c r="AI399">
        <f t="shared" si="40"/>
        <v>1519.25</v>
      </c>
      <c r="AJ399" s="4">
        <v>0.2</v>
      </c>
      <c r="AK399">
        <f t="shared" si="41"/>
        <v>303.85</v>
      </c>
      <c r="AL399">
        <f t="shared" si="42"/>
        <v>1823.1</v>
      </c>
      <c r="AM399">
        <f t="shared" si="43"/>
        <v>751.9</v>
      </c>
      <c r="AN399" s="4">
        <f t="shared" si="44"/>
        <v>0.292</v>
      </c>
      <c r="AO399" t="s">
        <v>221</v>
      </c>
      <c r="AQ399" t="s">
        <v>217</v>
      </c>
      <c r="AS399" t="s">
        <v>678</v>
      </c>
      <c r="AT399" t="s">
        <v>221</v>
      </c>
    </row>
    <row r="400" ht="15.75" customHeight="1" spans="1:46">
      <c r="A400" t="s">
        <v>734</v>
      </c>
      <c r="B400" t="s">
        <v>46</v>
      </c>
      <c r="C400" t="s">
        <v>435</v>
      </c>
      <c r="D400" t="s">
        <v>672</v>
      </c>
      <c r="E400" t="s">
        <v>735</v>
      </c>
      <c r="F400" t="s">
        <v>736</v>
      </c>
      <c r="H400" t="s">
        <v>217</v>
      </c>
      <c r="I400" t="s">
        <v>674</v>
      </c>
      <c r="J400" t="s">
        <v>675</v>
      </c>
      <c r="K400" t="s">
        <v>679</v>
      </c>
      <c r="Q400" t="s">
        <v>57</v>
      </c>
      <c r="R400" t="s">
        <v>737</v>
      </c>
      <c r="S400">
        <v>2</v>
      </c>
      <c r="Y400" t="s">
        <v>738</v>
      </c>
      <c r="Z400">
        <v>8302</v>
      </c>
      <c r="AC400">
        <v>1</v>
      </c>
      <c r="AE400">
        <v>359</v>
      </c>
      <c r="AF400" s="4">
        <v>0.5</v>
      </c>
      <c r="AG400">
        <f t="shared" si="39"/>
        <v>179.5</v>
      </c>
      <c r="AH400" s="4">
        <v>0.18</v>
      </c>
      <c r="AI400">
        <f t="shared" si="40"/>
        <v>211.81</v>
      </c>
      <c r="AJ400" s="4">
        <v>0.2</v>
      </c>
      <c r="AK400">
        <f t="shared" si="41"/>
        <v>42.36</v>
      </c>
      <c r="AL400">
        <f t="shared" si="42"/>
        <v>254.17</v>
      </c>
      <c r="AM400">
        <f t="shared" si="43"/>
        <v>104.83</v>
      </c>
      <c r="AN400" s="4">
        <f t="shared" si="44"/>
        <v>0.292005571030641</v>
      </c>
      <c r="AO400" t="s">
        <v>221</v>
      </c>
      <c r="AQ400" t="s">
        <v>217</v>
      </c>
      <c r="AS400" t="s">
        <v>678</v>
      </c>
      <c r="AT400" t="s">
        <v>221</v>
      </c>
    </row>
    <row r="401" ht="15.75" customHeight="1" spans="1:46">
      <c r="A401" t="s">
        <v>734</v>
      </c>
      <c r="B401" t="s">
        <v>67</v>
      </c>
      <c r="C401" t="s">
        <v>435</v>
      </c>
      <c r="D401" t="s">
        <v>672</v>
      </c>
      <c r="E401" t="s">
        <v>735</v>
      </c>
      <c r="F401" t="s">
        <v>736</v>
      </c>
      <c r="H401" t="s">
        <v>217</v>
      </c>
      <c r="I401" t="s">
        <v>674</v>
      </c>
      <c r="J401" t="s">
        <v>675</v>
      </c>
      <c r="K401" t="s">
        <v>680</v>
      </c>
      <c r="Q401" t="s">
        <v>57</v>
      </c>
      <c r="R401" t="s">
        <v>739</v>
      </c>
      <c r="Y401" t="s">
        <v>738</v>
      </c>
      <c r="Z401">
        <v>8302</v>
      </c>
      <c r="AC401">
        <v>1</v>
      </c>
      <c r="AE401">
        <v>429</v>
      </c>
      <c r="AF401" s="4">
        <v>0.5</v>
      </c>
      <c r="AG401">
        <f t="shared" si="39"/>
        <v>214.5</v>
      </c>
      <c r="AH401" s="4">
        <v>0.18</v>
      </c>
      <c r="AI401">
        <f t="shared" si="40"/>
        <v>253.11</v>
      </c>
      <c r="AJ401" s="4">
        <v>0.2</v>
      </c>
      <c r="AK401">
        <f t="shared" si="41"/>
        <v>50.62</v>
      </c>
      <c r="AL401">
        <f t="shared" si="42"/>
        <v>303.73</v>
      </c>
      <c r="AM401">
        <f t="shared" si="43"/>
        <v>125.27</v>
      </c>
      <c r="AN401" s="4">
        <f t="shared" si="44"/>
        <v>0.292004662004662</v>
      </c>
      <c r="AO401" t="s">
        <v>221</v>
      </c>
      <c r="AQ401" t="s">
        <v>217</v>
      </c>
      <c r="AS401" t="s">
        <v>678</v>
      </c>
      <c r="AT401" t="s">
        <v>221</v>
      </c>
    </row>
    <row r="402" ht="15.75" customHeight="1" spans="1:46">
      <c r="A402" t="s">
        <v>734</v>
      </c>
      <c r="B402" t="s">
        <v>71</v>
      </c>
      <c r="C402" t="s">
        <v>435</v>
      </c>
      <c r="D402" t="s">
        <v>672</v>
      </c>
      <c r="E402" t="s">
        <v>735</v>
      </c>
      <c r="F402" t="s">
        <v>736</v>
      </c>
      <c r="H402" t="s">
        <v>217</v>
      </c>
      <c r="I402" t="s">
        <v>674</v>
      </c>
      <c r="J402" t="s">
        <v>675</v>
      </c>
      <c r="K402" t="s">
        <v>681</v>
      </c>
      <c r="Q402" t="s">
        <v>57</v>
      </c>
      <c r="R402" t="s">
        <v>740</v>
      </c>
      <c r="Y402" t="s">
        <v>738</v>
      </c>
      <c r="Z402">
        <v>8302</v>
      </c>
      <c r="AC402">
        <v>1</v>
      </c>
      <c r="AE402">
        <v>499</v>
      </c>
      <c r="AF402" s="4">
        <v>0.5</v>
      </c>
      <c r="AG402">
        <f t="shared" si="39"/>
        <v>249.5</v>
      </c>
      <c r="AH402" s="4">
        <v>0.18</v>
      </c>
      <c r="AI402">
        <f t="shared" si="40"/>
        <v>294.41</v>
      </c>
      <c r="AJ402" s="4">
        <v>0.2</v>
      </c>
      <c r="AK402">
        <f t="shared" si="41"/>
        <v>58.88</v>
      </c>
      <c r="AL402">
        <f t="shared" si="42"/>
        <v>353.29</v>
      </c>
      <c r="AM402">
        <f t="shared" si="43"/>
        <v>145.71</v>
      </c>
      <c r="AN402" s="4">
        <f t="shared" si="44"/>
        <v>0.292004008016032</v>
      </c>
      <c r="AO402" t="s">
        <v>221</v>
      </c>
      <c r="AQ402" t="s">
        <v>217</v>
      </c>
      <c r="AS402" t="s">
        <v>678</v>
      </c>
      <c r="AT402" t="s">
        <v>221</v>
      </c>
    </row>
    <row r="403" ht="15.75" customHeight="1" spans="1:46">
      <c r="A403" t="s">
        <v>734</v>
      </c>
      <c r="B403" t="s">
        <v>75</v>
      </c>
      <c r="C403" t="s">
        <v>435</v>
      </c>
      <c r="D403" t="s">
        <v>672</v>
      </c>
      <c r="E403" t="s">
        <v>735</v>
      </c>
      <c r="F403" t="s">
        <v>736</v>
      </c>
      <c r="H403" t="s">
        <v>217</v>
      </c>
      <c r="I403" t="s">
        <v>674</v>
      </c>
      <c r="J403" t="s">
        <v>675</v>
      </c>
      <c r="K403" t="s">
        <v>682</v>
      </c>
      <c r="Q403" t="s">
        <v>57</v>
      </c>
      <c r="R403" t="s">
        <v>741</v>
      </c>
      <c r="Y403" t="s">
        <v>738</v>
      </c>
      <c r="Z403">
        <v>8302</v>
      </c>
      <c r="AC403">
        <v>1</v>
      </c>
      <c r="AE403">
        <v>569</v>
      </c>
      <c r="AF403" s="4">
        <v>0.5</v>
      </c>
      <c r="AG403">
        <f t="shared" si="39"/>
        <v>284.5</v>
      </c>
      <c r="AH403" s="4">
        <v>0.18</v>
      </c>
      <c r="AI403">
        <f t="shared" si="40"/>
        <v>335.71</v>
      </c>
      <c r="AJ403" s="4">
        <v>0.2</v>
      </c>
      <c r="AK403">
        <f t="shared" si="41"/>
        <v>67.14</v>
      </c>
      <c r="AL403">
        <f t="shared" si="42"/>
        <v>402.85</v>
      </c>
      <c r="AM403">
        <f t="shared" si="43"/>
        <v>166.15</v>
      </c>
      <c r="AN403" s="4">
        <f t="shared" si="44"/>
        <v>0.292003514938489</v>
      </c>
      <c r="AO403" t="s">
        <v>221</v>
      </c>
      <c r="AQ403" t="s">
        <v>217</v>
      </c>
      <c r="AS403" t="s">
        <v>678</v>
      </c>
      <c r="AT403" t="s">
        <v>221</v>
      </c>
    </row>
    <row r="404" ht="15.75" customHeight="1" spans="1:46">
      <c r="A404" t="s">
        <v>734</v>
      </c>
      <c r="B404" t="s">
        <v>79</v>
      </c>
      <c r="C404" t="s">
        <v>435</v>
      </c>
      <c r="D404" t="s">
        <v>672</v>
      </c>
      <c r="E404" t="s">
        <v>735</v>
      </c>
      <c r="F404" t="s">
        <v>736</v>
      </c>
      <c r="H404" t="s">
        <v>217</v>
      </c>
      <c r="I404" t="s">
        <v>674</v>
      </c>
      <c r="J404" t="s">
        <v>675</v>
      </c>
      <c r="K404" t="s">
        <v>683</v>
      </c>
      <c r="Q404" t="s">
        <v>57</v>
      </c>
      <c r="R404" t="s">
        <v>742</v>
      </c>
      <c r="Y404" t="s">
        <v>738</v>
      </c>
      <c r="Z404">
        <v>8302</v>
      </c>
      <c r="AC404">
        <v>1</v>
      </c>
      <c r="AE404">
        <v>639</v>
      </c>
      <c r="AF404" s="4">
        <v>0.5</v>
      </c>
      <c r="AG404">
        <f t="shared" si="39"/>
        <v>319.5</v>
      </c>
      <c r="AH404" s="4">
        <v>0.18</v>
      </c>
      <c r="AI404">
        <f t="shared" si="40"/>
        <v>377.01</v>
      </c>
      <c r="AJ404" s="4">
        <v>0.2</v>
      </c>
      <c r="AK404">
        <f t="shared" si="41"/>
        <v>75.4</v>
      </c>
      <c r="AL404">
        <f t="shared" si="42"/>
        <v>452.41</v>
      </c>
      <c r="AM404">
        <f t="shared" si="43"/>
        <v>186.59</v>
      </c>
      <c r="AN404" s="4">
        <f t="shared" si="44"/>
        <v>0.292003129890454</v>
      </c>
      <c r="AO404" t="s">
        <v>221</v>
      </c>
      <c r="AQ404" t="s">
        <v>217</v>
      </c>
      <c r="AS404" t="s">
        <v>678</v>
      </c>
      <c r="AT404" t="s">
        <v>221</v>
      </c>
    </row>
    <row r="405" ht="15.75" customHeight="1" spans="1:46">
      <c r="A405" t="s">
        <v>734</v>
      </c>
      <c r="B405" t="s">
        <v>83</v>
      </c>
      <c r="C405" t="s">
        <v>435</v>
      </c>
      <c r="D405" t="s">
        <v>672</v>
      </c>
      <c r="E405" t="s">
        <v>735</v>
      </c>
      <c r="F405" t="s">
        <v>736</v>
      </c>
      <c r="H405" t="s">
        <v>217</v>
      </c>
      <c r="I405" t="s">
        <v>674</v>
      </c>
      <c r="J405" t="s">
        <v>675</v>
      </c>
      <c r="K405" t="s">
        <v>684</v>
      </c>
      <c r="Q405" t="s">
        <v>57</v>
      </c>
      <c r="R405" t="s">
        <v>743</v>
      </c>
      <c r="Y405" t="s">
        <v>738</v>
      </c>
      <c r="Z405">
        <v>8302</v>
      </c>
      <c r="AC405">
        <v>1</v>
      </c>
      <c r="AE405">
        <v>709</v>
      </c>
      <c r="AF405" s="4">
        <v>0.5</v>
      </c>
      <c r="AG405">
        <f t="shared" si="39"/>
        <v>354.5</v>
      </c>
      <c r="AH405" s="4">
        <v>0.18</v>
      </c>
      <c r="AI405">
        <f t="shared" si="40"/>
        <v>418.31</v>
      </c>
      <c r="AJ405" s="4">
        <v>0.2</v>
      </c>
      <c r="AK405">
        <f t="shared" si="41"/>
        <v>83.66</v>
      </c>
      <c r="AL405">
        <f t="shared" si="42"/>
        <v>501.97</v>
      </c>
      <c r="AM405">
        <f t="shared" si="43"/>
        <v>207.03</v>
      </c>
      <c r="AN405" s="4">
        <f t="shared" si="44"/>
        <v>0.292002820874471</v>
      </c>
      <c r="AO405" t="s">
        <v>221</v>
      </c>
      <c r="AQ405" t="s">
        <v>217</v>
      </c>
      <c r="AS405" t="s">
        <v>678</v>
      </c>
      <c r="AT405" t="s">
        <v>221</v>
      </c>
    </row>
    <row r="406" ht="15.75" customHeight="1" spans="1:46">
      <c r="A406" t="s">
        <v>734</v>
      </c>
      <c r="B406" t="s">
        <v>131</v>
      </c>
      <c r="C406" t="s">
        <v>435</v>
      </c>
      <c r="D406" t="s">
        <v>672</v>
      </c>
      <c r="E406" t="s">
        <v>735</v>
      </c>
      <c r="F406" t="s">
        <v>736</v>
      </c>
      <c r="H406" t="s">
        <v>217</v>
      </c>
      <c r="I406" t="s">
        <v>674</v>
      </c>
      <c r="J406" t="s">
        <v>675</v>
      </c>
      <c r="K406" t="s">
        <v>744</v>
      </c>
      <c r="Q406" t="s">
        <v>57</v>
      </c>
      <c r="R406" t="s">
        <v>745</v>
      </c>
      <c r="Y406" t="s">
        <v>738</v>
      </c>
      <c r="Z406">
        <v>8302</v>
      </c>
      <c r="AC406">
        <v>1</v>
      </c>
      <c r="AE406">
        <v>789</v>
      </c>
      <c r="AF406" s="4">
        <v>0.5</v>
      </c>
      <c r="AG406">
        <f t="shared" si="39"/>
        <v>394.5</v>
      </c>
      <c r="AH406" s="4">
        <v>0.18</v>
      </c>
      <c r="AI406">
        <f t="shared" si="40"/>
        <v>465.51</v>
      </c>
      <c r="AJ406" s="4">
        <v>0.2</v>
      </c>
      <c r="AK406">
        <f t="shared" si="41"/>
        <v>93.1</v>
      </c>
      <c r="AL406">
        <f t="shared" si="42"/>
        <v>558.61</v>
      </c>
      <c r="AM406">
        <f t="shared" si="43"/>
        <v>230.39</v>
      </c>
      <c r="AN406" s="4">
        <f t="shared" si="44"/>
        <v>0.292002534854246</v>
      </c>
      <c r="AO406" t="s">
        <v>221</v>
      </c>
      <c r="AQ406" t="s">
        <v>217</v>
      </c>
      <c r="AS406" t="s">
        <v>678</v>
      </c>
      <c r="AT406" t="s">
        <v>221</v>
      </c>
    </row>
    <row r="407" ht="15.75" customHeight="1" spans="1:46">
      <c r="A407" t="s">
        <v>734</v>
      </c>
      <c r="B407" t="s">
        <v>133</v>
      </c>
      <c r="C407" t="s">
        <v>435</v>
      </c>
      <c r="D407" t="s">
        <v>672</v>
      </c>
      <c r="E407" t="s">
        <v>735</v>
      </c>
      <c r="F407" t="s">
        <v>736</v>
      </c>
      <c r="H407" t="s">
        <v>217</v>
      </c>
      <c r="I407" t="s">
        <v>674</v>
      </c>
      <c r="J407" t="s">
        <v>675</v>
      </c>
      <c r="K407" t="s">
        <v>746</v>
      </c>
      <c r="Q407" t="s">
        <v>57</v>
      </c>
      <c r="R407" t="s">
        <v>747</v>
      </c>
      <c r="Y407" t="s">
        <v>738</v>
      </c>
      <c r="Z407">
        <v>8302</v>
      </c>
      <c r="AC407">
        <v>1</v>
      </c>
      <c r="AE407">
        <v>849</v>
      </c>
      <c r="AF407" s="4">
        <v>0.5</v>
      </c>
      <c r="AG407">
        <f t="shared" ref="AG407:AG470" si="45">ROUND(AE407-(AE407*AF407),2)</f>
        <v>424.5</v>
      </c>
      <c r="AH407" s="4">
        <v>0.18</v>
      </c>
      <c r="AI407">
        <f t="shared" si="40"/>
        <v>500.91</v>
      </c>
      <c r="AJ407" s="4">
        <v>0.2</v>
      </c>
      <c r="AK407">
        <f t="shared" si="41"/>
        <v>100.18</v>
      </c>
      <c r="AL407">
        <f t="shared" si="42"/>
        <v>601.09</v>
      </c>
      <c r="AM407">
        <f t="shared" si="43"/>
        <v>247.91</v>
      </c>
      <c r="AN407" s="4">
        <f t="shared" si="44"/>
        <v>0.292002355712603</v>
      </c>
      <c r="AO407" t="s">
        <v>221</v>
      </c>
      <c r="AQ407" t="s">
        <v>217</v>
      </c>
      <c r="AS407" t="s">
        <v>678</v>
      </c>
      <c r="AT407" t="s">
        <v>221</v>
      </c>
    </row>
    <row r="408" ht="15.75" customHeight="1" spans="1:46">
      <c r="A408" t="s">
        <v>734</v>
      </c>
      <c r="B408" t="s">
        <v>135</v>
      </c>
      <c r="C408" t="s">
        <v>435</v>
      </c>
      <c r="D408" t="s">
        <v>672</v>
      </c>
      <c r="E408" t="s">
        <v>735</v>
      </c>
      <c r="F408" t="s">
        <v>736</v>
      </c>
      <c r="H408" t="s">
        <v>217</v>
      </c>
      <c r="I408" t="s">
        <v>687</v>
      </c>
      <c r="J408" t="s">
        <v>675</v>
      </c>
      <c r="K408" t="s">
        <v>679</v>
      </c>
      <c r="Q408" t="s">
        <v>57</v>
      </c>
      <c r="R408" t="s">
        <v>748</v>
      </c>
      <c r="Y408" t="s">
        <v>749</v>
      </c>
      <c r="Z408">
        <v>8302</v>
      </c>
      <c r="AC408">
        <v>1</v>
      </c>
      <c r="AE408">
        <v>299</v>
      </c>
      <c r="AF408" s="4">
        <v>0.5</v>
      </c>
      <c r="AG408">
        <f t="shared" si="45"/>
        <v>149.5</v>
      </c>
      <c r="AH408" s="4">
        <v>0.18</v>
      </c>
      <c r="AI408">
        <f t="shared" si="40"/>
        <v>176.41</v>
      </c>
      <c r="AJ408" s="4">
        <v>0.2</v>
      </c>
      <c r="AK408">
        <f t="shared" si="41"/>
        <v>35.28</v>
      </c>
      <c r="AL408">
        <f t="shared" si="42"/>
        <v>211.69</v>
      </c>
      <c r="AM408">
        <f t="shared" si="43"/>
        <v>87.31</v>
      </c>
      <c r="AN408" s="4">
        <f t="shared" si="44"/>
        <v>0.292006688963211</v>
      </c>
      <c r="AO408" t="s">
        <v>221</v>
      </c>
      <c r="AQ408" t="s">
        <v>217</v>
      </c>
      <c r="AS408" t="s">
        <v>678</v>
      </c>
      <c r="AT408" t="s">
        <v>221</v>
      </c>
    </row>
    <row r="409" ht="15.75" customHeight="1" spans="1:46">
      <c r="A409" t="s">
        <v>734</v>
      </c>
      <c r="B409" t="s">
        <v>137</v>
      </c>
      <c r="C409" t="s">
        <v>435</v>
      </c>
      <c r="D409" t="s">
        <v>672</v>
      </c>
      <c r="E409" t="s">
        <v>735</v>
      </c>
      <c r="F409" t="s">
        <v>736</v>
      </c>
      <c r="H409" t="s">
        <v>217</v>
      </c>
      <c r="I409" t="s">
        <v>687</v>
      </c>
      <c r="J409" t="s">
        <v>675</v>
      </c>
      <c r="K409" t="s">
        <v>680</v>
      </c>
      <c r="Q409" t="s">
        <v>57</v>
      </c>
      <c r="R409" t="s">
        <v>750</v>
      </c>
      <c r="Y409" t="s">
        <v>749</v>
      </c>
      <c r="Z409">
        <v>8302</v>
      </c>
      <c r="AC409">
        <v>1</v>
      </c>
      <c r="AE409">
        <v>359</v>
      </c>
      <c r="AF409" s="4">
        <v>0.5</v>
      </c>
      <c r="AG409">
        <f t="shared" si="45"/>
        <v>179.5</v>
      </c>
      <c r="AH409" s="4">
        <v>0.18</v>
      </c>
      <c r="AI409">
        <f t="shared" si="40"/>
        <v>211.81</v>
      </c>
      <c r="AJ409" s="4">
        <v>0.2</v>
      </c>
      <c r="AK409">
        <f t="shared" si="41"/>
        <v>42.36</v>
      </c>
      <c r="AL409">
        <f t="shared" si="42"/>
        <v>254.17</v>
      </c>
      <c r="AM409">
        <f t="shared" si="43"/>
        <v>104.83</v>
      </c>
      <c r="AN409" s="4">
        <f t="shared" si="44"/>
        <v>0.292005571030641</v>
      </c>
      <c r="AO409" t="s">
        <v>221</v>
      </c>
      <c r="AQ409" t="s">
        <v>217</v>
      </c>
      <c r="AS409" t="s">
        <v>678</v>
      </c>
      <c r="AT409" t="s">
        <v>221</v>
      </c>
    </row>
    <row r="410" ht="15.75" customHeight="1" spans="1:46">
      <c r="A410" t="s">
        <v>734</v>
      </c>
      <c r="B410" t="s">
        <v>138</v>
      </c>
      <c r="C410" t="s">
        <v>435</v>
      </c>
      <c r="D410" t="s">
        <v>672</v>
      </c>
      <c r="E410" t="s">
        <v>735</v>
      </c>
      <c r="F410" t="s">
        <v>736</v>
      </c>
      <c r="H410" t="s">
        <v>217</v>
      </c>
      <c r="I410" t="s">
        <v>687</v>
      </c>
      <c r="J410" t="s">
        <v>675</v>
      </c>
      <c r="K410" t="s">
        <v>681</v>
      </c>
      <c r="Q410" t="s">
        <v>57</v>
      </c>
      <c r="R410" t="s">
        <v>751</v>
      </c>
      <c r="Y410" t="s">
        <v>749</v>
      </c>
      <c r="Z410">
        <v>8302</v>
      </c>
      <c r="AC410">
        <v>1</v>
      </c>
      <c r="AE410">
        <v>419</v>
      </c>
      <c r="AF410" s="4">
        <v>0.5</v>
      </c>
      <c r="AG410">
        <f t="shared" si="45"/>
        <v>209.5</v>
      </c>
      <c r="AH410" s="4">
        <v>0.18</v>
      </c>
      <c r="AI410">
        <f t="shared" si="40"/>
        <v>247.21</v>
      </c>
      <c r="AJ410" s="4">
        <v>0.2</v>
      </c>
      <c r="AK410">
        <f t="shared" si="41"/>
        <v>49.44</v>
      </c>
      <c r="AL410">
        <f t="shared" si="42"/>
        <v>296.65</v>
      </c>
      <c r="AM410">
        <f t="shared" si="43"/>
        <v>122.35</v>
      </c>
      <c r="AN410" s="4">
        <f t="shared" si="44"/>
        <v>0.29200477326969</v>
      </c>
      <c r="AO410" t="s">
        <v>221</v>
      </c>
      <c r="AQ410" t="s">
        <v>217</v>
      </c>
      <c r="AS410" t="s">
        <v>678</v>
      </c>
      <c r="AT410" t="s">
        <v>221</v>
      </c>
    </row>
    <row r="411" ht="15.75" customHeight="1" spans="1:46">
      <c r="A411" t="s">
        <v>734</v>
      </c>
      <c r="B411" t="s">
        <v>140</v>
      </c>
      <c r="C411" t="s">
        <v>435</v>
      </c>
      <c r="D411" t="s">
        <v>672</v>
      </c>
      <c r="E411" t="s">
        <v>735</v>
      </c>
      <c r="F411" t="s">
        <v>736</v>
      </c>
      <c r="H411" t="s">
        <v>217</v>
      </c>
      <c r="I411" t="s">
        <v>687</v>
      </c>
      <c r="J411" t="s">
        <v>675</v>
      </c>
      <c r="K411" t="s">
        <v>682</v>
      </c>
      <c r="Q411" t="s">
        <v>57</v>
      </c>
      <c r="R411" t="s">
        <v>752</v>
      </c>
      <c r="Y411" t="s">
        <v>749</v>
      </c>
      <c r="Z411">
        <v>8302</v>
      </c>
      <c r="AC411">
        <v>1</v>
      </c>
      <c r="AE411">
        <v>478</v>
      </c>
      <c r="AF411" s="4">
        <v>0.5</v>
      </c>
      <c r="AG411">
        <f t="shared" si="45"/>
        <v>239</v>
      </c>
      <c r="AH411" s="4">
        <v>0.18</v>
      </c>
      <c r="AI411">
        <f t="shared" si="40"/>
        <v>282.02</v>
      </c>
      <c r="AJ411" s="4">
        <v>0.2</v>
      </c>
      <c r="AK411">
        <f t="shared" si="41"/>
        <v>56.4</v>
      </c>
      <c r="AL411">
        <f t="shared" si="42"/>
        <v>338.42</v>
      </c>
      <c r="AM411">
        <f t="shared" si="43"/>
        <v>139.58</v>
      </c>
      <c r="AN411" s="4">
        <f t="shared" si="44"/>
        <v>0.292008368200837</v>
      </c>
      <c r="AO411" t="s">
        <v>221</v>
      </c>
      <c r="AQ411" t="s">
        <v>217</v>
      </c>
      <c r="AS411" t="s">
        <v>678</v>
      </c>
      <c r="AT411" t="s">
        <v>221</v>
      </c>
    </row>
    <row r="412" ht="15.75" customHeight="1" spans="1:46">
      <c r="A412" t="s">
        <v>734</v>
      </c>
      <c r="B412" t="s">
        <v>202</v>
      </c>
      <c r="C412" t="s">
        <v>435</v>
      </c>
      <c r="D412" t="s">
        <v>672</v>
      </c>
      <c r="E412" t="s">
        <v>735</v>
      </c>
      <c r="F412" t="s">
        <v>736</v>
      </c>
      <c r="H412" t="s">
        <v>217</v>
      </c>
      <c r="I412" t="s">
        <v>687</v>
      </c>
      <c r="J412" t="s">
        <v>675</v>
      </c>
      <c r="K412" t="s">
        <v>683</v>
      </c>
      <c r="Q412" t="s">
        <v>57</v>
      </c>
      <c r="R412" t="s">
        <v>753</v>
      </c>
      <c r="Y412" t="s">
        <v>749</v>
      </c>
      <c r="Z412">
        <v>8302</v>
      </c>
      <c r="AC412">
        <v>1</v>
      </c>
      <c r="AE412">
        <v>538</v>
      </c>
      <c r="AF412" s="4">
        <v>0.5</v>
      </c>
      <c r="AG412">
        <f t="shared" si="45"/>
        <v>269</v>
      </c>
      <c r="AH412" s="4">
        <v>0.18</v>
      </c>
      <c r="AI412">
        <f t="shared" si="40"/>
        <v>317.42</v>
      </c>
      <c r="AJ412" s="4">
        <v>0.2</v>
      </c>
      <c r="AK412">
        <f t="shared" si="41"/>
        <v>63.48</v>
      </c>
      <c r="AL412">
        <f t="shared" si="42"/>
        <v>380.9</v>
      </c>
      <c r="AM412">
        <f t="shared" si="43"/>
        <v>157.1</v>
      </c>
      <c r="AN412" s="4">
        <f t="shared" si="44"/>
        <v>0.292007434944238</v>
      </c>
      <c r="AO412" t="s">
        <v>221</v>
      </c>
      <c r="AQ412" t="s">
        <v>217</v>
      </c>
      <c r="AS412" t="s">
        <v>678</v>
      </c>
      <c r="AT412" t="s">
        <v>221</v>
      </c>
    </row>
    <row r="413" ht="15.75" customHeight="1" spans="1:46">
      <c r="A413" t="s">
        <v>734</v>
      </c>
      <c r="B413" t="s">
        <v>203</v>
      </c>
      <c r="C413" t="s">
        <v>435</v>
      </c>
      <c r="D413" t="s">
        <v>672</v>
      </c>
      <c r="E413" t="s">
        <v>735</v>
      </c>
      <c r="F413" t="s">
        <v>736</v>
      </c>
      <c r="H413" t="s">
        <v>217</v>
      </c>
      <c r="I413" t="s">
        <v>687</v>
      </c>
      <c r="J413" t="s">
        <v>675</v>
      </c>
      <c r="K413" t="s">
        <v>684</v>
      </c>
      <c r="Q413" t="s">
        <v>57</v>
      </c>
      <c r="R413" t="s">
        <v>754</v>
      </c>
      <c r="Y413" t="s">
        <v>749</v>
      </c>
      <c r="Z413">
        <v>8302</v>
      </c>
      <c r="AC413">
        <v>1</v>
      </c>
      <c r="AE413">
        <v>598</v>
      </c>
      <c r="AF413" s="4">
        <v>0.5</v>
      </c>
      <c r="AG413">
        <f t="shared" si="45"/>
        <v>299</v>
      </c>
      <c r="AH413" s="4">
        <v>0.18</v>
      </c>
      <c r="AI413">
        <f t="shared" si="40"/>
        <v>352.82</v>
      </c>
      <c r="AJ413" s="4">
        <v>0.2</v>
      </c>
      <c r="AK413">
        <f t="shared" si="41"/>
        <v>70.56</v>
      </c>
      <c r="AL413">
        <f t="shared" si="42"/>
        <v>423.38</v>
      </c>
      <c r="AM413">
        <f t="shared" si="43"/>
        <v>174.62</v>
      </c>
      <c r="AN413" s="4">
        <f t="shared" si="44"/>
        <v>0.292006688963211</v>
      </c>
      <c r="AO413" t="s">
        <v>221</v>
      </c>
      <c r="AQ413" t="s">
        <v>217</v>
      </c>
      <c r="AS413" t="s">
        <v>678</v>
      </c>
      <c r="AT413" t="s">
        <v>221</v>
      </c>
    </row>
    <row r="414" ht="15.75" customHeight="1" spans="1:46">
      <c r="A414" t="s">
        <v>734</v>
      </c>
      <c r="B414" t="s">
        <v>204</v>
      </c>
      <c r="C414" t="s">
        <v>435</v>
      </c>
      <c r="D414" t="s">
        <v>672</v>
      </c>
      <c r="E414" t="s">
        <v>735</v>
      </c>
      <c r="F414" t="s">
        <v>736</v>
      </c>
      <c r="H414" t="s">
        <v>217</v>
      </c>
      <c r="I414" t="s">
        <v>687</v>
      </c>
      <c r="J414" t="s">
        <v>675</v>
      </c>
      <c r="K414" t="s">
        <v>744</v>
      </c>
      <c r="Q414" t="s">
        <v>57</v>
      </c>
      <c r="R414" t="s">
        <v>755</v>
      </c>
      <c r="Y414" t="s">
        <v>749</v>
      </c>
      <c r="Z414">
        <v>8302</v>
      </c>
      <c r="AC414">
        <v>1</v>
      </c>
      <c r="AE414">
        <v>666</v>
      </c>
      <c r="AF414" s="4">
        <v>0.5</v>
      </c>
      <c r="AG414">
        <f t="shared" si="45"/>
        <v>333</v>
      </c>
      <c r="AH414" s="4">
        <v>0.18</v>
      </c>
      <c r="AI414">
        <f t="shared" si="40"/>
        <v>392.94</v>
      </c>
      <c r="AJ414" s="4">
        <v>0.2</v>
      </c>
      <c r="AK414">
        <f t="shared" si="41"/>
        <v>78.59</v>
      </c>
      <c r="AL414">
        <f t="shared" si="42"/>
        <v>471.53</v>
      </c>
      <c r="AM414">
        <f t="shared" si="43"/>
        <v>194.47</v>
      </c>
      <c r="AN414" s="4">
        <f t="shared" si="44"/>
        <v>0.291996996996997</v>
      </c>
      <c r="AO414" t="s">
        <v>221</v>
      </c>
      <c r="AQ414" t="s">
        <v>217</v>
      </c>
      <c r="AS414" t="s">
        <v>678</v>
      </c>
      <c r="AT414" t="s">
        <v>221</v>
      </c>
    </row>
    <row r="415" ht="15.75" customHeight="1" spans="1:46">
      <c r="A415" t="s">
        <v>734</v>
      </c>
      <c r="B415" t="s">
        <v>205</v>
      </c>
      <c r="C415" t="s">
        <v>435</v>
      </c>
      <c r="D415" t="s">
        <v>672</v>
      </c>
      <c r="E415" t="s">
        <v>735</v>
      </c>
      <c r="F415" t="s">
        <v>736</v>
      </c>
      <c r="H415" t="s">
        <v>217</v>
      </c>
      <c r="I415" t="s">
        <v>687</v>
      </c>
      <c r="J415" t="s">
        <v>675</v>
      </c>
      <c r="K415" t="s">
        <v>746</v>
      </c>
      <c r="Q415" t="s">
        <v>57</v>
      </c>
      <c r="R415" t="s">
        <v>755</v>
      </c>
      <c r="Y415" t="s">
        <v>749</v>
      </c>
      <c r="Z415">
        <v>8302</v>
      </c>
      <c r="AC415">
        <v>1</v>
      </c>
      <c r="AE415">
        <v>777</v>
      </c>
      <c r="AF415" s="4">
        <v>0.5</v>
      </c>
      <c r="AG415">
        <f t="shared" si="45"/>
        <v>388.5</v>
      </c>
      <c r="AH415" s="4">
        <v>0.18</v>
      </c>
      <c r="AI415">
        <f t="shared" si="40"/>
        <v>458.43</v>
      </c>
      <c r="AJ415" s="4">
        <v>0.2</v>
      </c>
      <c r="AK415">
        <f t="shared" si="41"/>
        <v>91.69</v>
      </c>
      <c r="AL415">
        <f t="shared" si="42"/>
        <v>550.12</v>
      </c>
      <c r="AM415">
        <f t="shared" si="43"/>
        <v>226.88</v>
      </c>
      <c r="AN415" s="4">
        <f t="shared" si="44"/>
        <v>0.291994851994852</v>
      </c>
      <c r="AO415" t="s">
        <v>221</v>
      </c>
      <c r="AQ415" t="s">
        <v>217</v>
      </c>
      <c r="AS415" t="s">
        <v>678</v>
      </c>
      <c r="AT415" t="s">
        <v>221</v>
      </c>
    </row>
    <row r="416" ht="15.75" customHeight="1" spans="1:46">
      <c r="A416" t="s">
        <v>756</v>
      </c>
      <c r="B416" t="s">
        <v>46</v>
      </c>
      <c r="C416" t="s">
        <v>435</v>
      </c>
      <c r="D416" t="s">
        <v>672</v>
      </c>
      <c r="E416" t="s">
        <v>735</v>
      </c>
      <c r="F416" t="s">
        <v>757</v>
      </c>
      <c r="H416" t="s">
        <v>217</v>
      </c>
      <c r="I416" t="s">
        <v>674</v>
      </c>
      <c r="J416" t="s">
        <v>675</v>
      </c>
      <c r="K416" t="s">
        <v>679</v>
      </c>
      <c r="Q416" t="s">
        <v>57</v>
      </c>
      <c r="R416" t="s">
        <v>758</v>
      </c>
      <c r="Y416" t="s">
        <v>759</v>
      </c>
      <c r="Z416">
        <v>8302</v>
      </c>
      <c r="AC416">
        <v>1</v>
      </c>
      <c r="AE416">
        <v>679</v>
      </c>
      <c r="AF416" s="4">
        <v>0.5</v>
      </c>
      <c r="AG416">
        <f t="shared" si="45"/>
        <v>339.5</v>
      </c>
      <c r="AH416" s="4">
        <v>0.18</v>
      </c>
      <c r="AI416">
        <f t="shared" si="40"/>
        <v>400.61</v>
      </c>
      <c r="AJ416" s="4">
        <v>0.2</v>
      </c>
      <c r="AK416">
        <f t="shared" si="41"/>
        <v>80.12</v>
      </c>
      <c r="AL416">
        <f t="shared" si="42"/>
        <v>480.73</v>
      </c>
      <c r="AM416">
        <f t="shared" si="43"/>
        <v>198.27</v>
      </c>
      <c r="AN416" s="4">
        <f t="shared" si="44"/>
        <v>0.2920029455081</v>
      </c>
      <c r="AO416" t="s">
        <v>221</v>
      </c>
      <c r="AQ416" t="s">
        <v>217</v>
      </c>
      <c r="AS416" t="s">
        <v>678</v>
      </c>
      <c r="AT416" t="s">
        <v>221</v>
      </c>
    </row>
    <row r="417" ht="15.75" customHeight="1" spans="1:46">
      <c r="A417" t="s">
        <v>756</v>
      </c>
      <c r="B417" t="s">
        <v>67</v>
      </c>
      <c r="C417" t="s">
        <v>435</v>
      </c>
      <c r="D417" t="s">
        <v>672</v>
      </c>
      <c r="E417" t="s">
        <v>735</v>
      </c>
      <c r="F417" t="s">
        <v>757</v>
      </c>
      <c r="H417" t="s">
        <v>217</v>
      </c>
      <c r="I417" t="s">
        <v>674</v>
      </c>
      <c r="J417" t="s">
        <v>675</v>
      </c>
      <c r="K417" t="s">
        <v>680</v>
      </c>
      <c r="Q417" t="s">
        <v>57</v>
      </c>
      <c r="R417" t="s">
        <v>760</v>
      </c>
      <c r="Y417" t="s">
        <v>761</v>
      </c>
      <c r="Z417">
        <v>8302</v>
      </c>
      <c r="AC417">
        <v>1</v>
      </c>
      <c r="AE417">
        <v>799</v>
      </c>
      <c r="AF417" s="4">
        <v>0.5</v>
      </c>
      <c r="AG417">
        <f t="shared" si="45"/>
        <v>399.5</v>
      </c>
      <c r="AH417" s="4">
        <v>0.18</v>
      </c>
      <c r="AI417">
        <f t="shared" si="40"/>
        <v>471.41</v>
      </c>
      <c r="AJ417" s="4">
        <v>0.2</v>
      </c>
      <c r="AK417">
        <f t="shared" si="41"/>
        <v>94.28</v>
      </c>
      <c r="AL417">
        <f t="shared" si="42"/>
        <v>565.69</v>
      </c>
      <c r="AM417">
        <f t="shared" si="43"/>
        <v>233.31</v>
      </c>
      <c r="AN417" s="4">
        <f t="shared" si="44"/>
        <v>0.292002503128911</v>
      </c>
      <c r="AO417" t="s">
        <v>221</v>
      </c>
      <c r="AQ417" t="s">
        <v>217</v>
      </c>
      <c r="AS417" t="s">
        <v>678</v>
      </c>
      <c r="AT417" t="s">
        <v>221</v>
      </c>
    </row>
    <row r="418" ht="15.75" customHeight="1" spans="1:46">
      <c r="A418" t="s">
        <v>756</v>
      </c>
      <c r="B418" t="s">
        <v>71</v>
      </c>
      <c r="C418" t="s">
        <v>435</v>
      </c>
      <c r="D418" t="s">
        <v>672</v>
      </c>
      <c r="E418" t="s">
        <v>735</v>
      </c>
      <c r="F418" t="s">
        <v>757</v>
      </c>
      <c r="H418" t="s">
        <v>217</v>
      </c>
      <c r="I418" t="s">
        <v>674</v>
      </c>
      <c r="J418" t="s">
        <v>675</v>
      </c>
      <c r="K418" t="s">
        <v>681</v>
      </c>
      <c r="Q418" t="s">
        <v>57</v>
      </c>
      <c r="R418" t="s">
        <v>762</v>
      </c>
      <c r="Y418" t="s">
        <v>763</v>
      </c>
      <c r="Z418">
        <v>8302</v>
      </c>
      <c r="AC418">
        <v>1</v>
      </c>
      <c r="AE418">
        <v>936</v>
      </c>
      <c r="AF418" s="4">
        <v>0.5</v>
      </c>
      <c r="AG418">
        <f t="shared" si="45"/>
        <v>468</v>
      </c>
      <c r="AH418" s="4">
        <v>0.18</v>
      </c>
      <c r="AI418">
        <f t="shared" si="40"/>
        <v>552.24</v>
      </c>
      <c r="AJ418" s="4">
        <v>0.2</v>
      </c>
      <c r="AK418">
        <f t="shared" si="41"/>
        <v>110.45</v>
      </c>
      <c r="AL418">
        <f t="shared" si="42"/>
        <v>662.69</v>
      </c>
      <c r="AM418">
        <f t="shared" si="43"/>
        <v>273.31</v>
      </c>
      <c r="AN418" s="4">
        <f t="shared" si="44"/>
        <v>0.291997863247863</v>
      </c>
      <c r="AO418" t="s">
        <v>221</v>
      </c>
      <c r="AQ418" t="s">
        <v>217</v>
      </c>
      <c r="AS418" t="s">
        <v>678</v>
      </c>
      <c r="AT418" t="s">
        <v>221</v>
      </c>
    </row>
    <row r="419" ht="15.75" customHeight="1" spans="1:46">
      <c r="A419" t="s">
        <v>756</v>
      </c>
      <c r="B419" t="s">
        <v>75</v>
      </c>
      <c r="C419" t="s">
        <v>435</v>
      </c>
      <c r="D419" t="s">
        <v>672</v>
      </c>
      <c r="E419" t="s">
        <v>735</v>
      </c>
      <c r="F419" t="s">
        <v>757</v>
      </c>
      <c r="H419" t="s">
        <v>217</v>
      </c>
      <c r="I419" t="s">
        <v>674</v>
      </c>
      <c r="J419" t="s">
        <v>675</v>
      </c>
      <c r="K419" t="s">
        <v>682</v>
      </c>
      <c r="Q419" t="s">
        <v>57</v>
      </c>
      <c r="R419" t="s">
        <v>764</v>
      </c>
      <c r="Y419" t="s">
        <v>765</v>
      </c>
      <c r="Z419">
        <v>8302</v>
      </c>
      <c r="AC419">
        <v>1</v>
      </c>
      <c r="AE419">
        <v>1009</v>
      </c>
      <c r="AF419" s="4">
        <v>0.5</v>
      </c>
      <c r="AG419">
        <f t="shared" si="45"/>
        <v>504.5</v>
      </c>
      <c r="AH419" s="4">
        <v>0.18</v>
      </c>
      <c r="AI419">
        <f t="shared" si="40"/>
        <v>595.31</v>
      </c>
      <c r="AJ419" s="4">
        <v>0.2</v>
      </c>
      <c r="AK419">
        <f t="shared" si="41"/>
        <v>119.06</v>
      </c>
      <c r="AL419">
        <f t="shared" si="42"/>
        <v>714.37</v>
      </c>
      <c r="AM419">
        <f t="shared" si="43"/>
        <v>294.63</v>
      </c>
      <c r="AN419" s="4">
        <f t="shared" si="44"/>
        <v>0.292001982160555</v>
      </c>
      <c r="AO419" t="s">
        <v>221</v>
      </c>
      <c r="AQ419" t="s">
        <v>217</v>
      </c>
      <c r="AS419" t="s">
        <v>678</v>
      </c>
      <c r="AT419" t="s">
        <v>221</v>
      </c>
    </row>
    <row r="420" ht="15.75" customHeight="1" spans="1:46">
      <c r="A420" t="s">
        <v>756</v>
      </c>
      <c r="B420" t="s">
        <v>79</v>
      </c>
      <c r="C420" t="s">
        <v>435</v>
      </c>
      <c r="D420" t="s">
        <v>672</v>
      </c>
      <c r="E420" t="s">
        <v>735</v>
      </c>
      <c r="F420" t="s">
        <v>757</v>
      </c>
      <c r="H420" t="s">
        <v>217</v>
      </c>
      <c r="I420" t="s">
        <v>674</v>
      </c>
      <c r="J420" t="s">
        <v>675</v>
      </c>
      <c r="K420" t="s">
        <v>683</v>
      </c>
      <c r="Q420" t="s">
        <v>57</v>
      </c>
      <c r="R420" t="s">
        <v>766</v>
      </c>
      <c r="Y420" t="s">
        <v>767</v>
      </c>
      <c r="Z420">
        <v>8302</v>
      </c>
      <c r="AC420">
        <v>1</v>
      </c>
      <c r="AE420">
        <v>1089</v>
      </c>
      <c r="AF420" s="4">
        <v>0.5</v>
      </c>
      <c r="AG420">
        <f t="shared" si="45"/>
        <v>544.5</v>
      </c>
      <c r="AH420" s="4">
        <v>0.18</v>
      </c>
      <c r="AI420">
        <f t="shared" si="40"/>
        <v>642.51</v>
      </c>
      <c r="AJ420" s="4">
        <v>0.2</v>
      </c>
      <c r="AK420">
        <f t="shared" si="41"/>
        <v>128.5</v>
      </c>
      <c r="AL420">
        <f t="shared" si="42"/>
        <v>771.01</v>
      </c>
      <c r="AM420">
        <f t="shared" si="43"/>
        <v>317.99</v>
      </c>
      <c r="AN420" s="4">
        <f t="shared" si="44"/>
        <v>0.292001836547291</v>
      </c>
      <c r="AO420" t="s">
        <v>221</v>
      </c>
      <c r="AQ420" t="s">
        <v>217</v>
      </c>
      <c r="AS420" t="s">
        <v>678</v>
      </c>
      <c r="AT420" t="s">
        <v>221</v>
      </c>
    </row>
    <row r="421" ht="15.75" customHeight="1" spans="1:46">
      <c r="A421" t="s">
        <v>756</v>
      </c>
      <c r="B421" t="s">
        <v>83</v>
      </c>
      <c r="C421" t="s">
        <v>435</v>
      </c>
      <c r="D421" t="s">
        <v>672</v>
      </c>
      <c r="E421" t="s">
        <v>735</v>
      </c>
      <c r="F421" t="s">
        <v>757</v>
      </c>
      <c r="H421" t="s">
        <v>217</v>
      </c>
      <c r="I421" t="s">
        <v>674</v>
      </c>
      <c r="J421" t="s">
        <v>675</v>
      </c>
      <c r="K421" t="s">
        <v>684</v>
      </c>
      <c r="Q421" t="s">
        <v>57</v>
      </c>
      <c r="R421" t="s">
        <v>768</v>
      </c>
      <c r="Y421" t="s">
        <v>769</v>
      </c>
      <c r="Z421">
        <v>8302</v>
      </c>
      <c r="AC421">
        <v>1</v>
      </c>
      <c r="AE421">
        <v>1089</v>
      </c>
      <c r="AF421" s="4">
        <v>0.5</v>
      </c>
      <c r="AG421">
        <f t="shared" si="45"/>
        <v>544.5</v>
      </c>
      <c r="AH421" s="4">
        <v>0.18</v>
      </c>
      <c r="AI421">
        <f t="shared" si="40"/>
        <v>642.51</v>
      </c>
      <c r="AJ421" s="4">
        <v>0.2</v>
      </c>
      <c r="AK421">
        <f t="shared" si="41"/>
        <v>128.5</v>
      </c>
      <c r="AL421">
        <f t="shared" si="42"/>
        <v>771.01</v>
      </c>
      <c r="AM421">
        <f t="shared" si="43"/>
        <v>317.99</v>
      </c>
      <c r="AN421" s="4">
        <f t="shared" si="44"/>
        <v>0.292001836547291</v>
      </c>
      <c r="AO421" t="s">
        <v>221</v>
      </c>
      <c r="AQ421" t="s">
        <v>217</v>
      </c>
      <c r="AS421" t="s">
        <v>678</v>
      </c>
      <c r="AT421" t="s">
        <v>221</v>
      </c>
    </row>
    <row r="422" ht="15.75" customHeight="1" spans="1:46">
      <c r="A422" t="s">
        <v>756</v>
      </c>
      <c r="B422" t="s">
        <v>131</v>
      </c>
      <c r="C422" t="s">
        <v>435</v>
      </c>
      <c r="D422" t="s">
        <v>672</v>
      </c>
      <c r="E422" t="s">
        <v>735</v>
      </c>
      <c r="F422" t="s">
        <v>757</v>
      </c>
      <c r="H422" t="s">
        <v>217</v>
      </c>
      <c r="I422" t="s">
        <v>674</v>
      </c>
      <c r="J422" t="s">
        <v>675</v>
      </c>
      <c r="K422" t="s">
        <v>744</v>
      </c>
      <c r="Q422" t="s">
        <v>57</v>
      </c>
      <c r="R422" t="s">
        <v>770</v>
      </c>
      <c r="Y422" t="s">
        <v>771</v>
      </c>
      <c r="Z422">
        <v>8302</v>
      </c>
      <c r="AC422">
        <v>1</v>
      </c>
      <c r="AE422">
        <v>1179</v>
      </c>
      <c r="AF422" s="4">
        <v>0.5</v>
      </c>
      <c r="AG422">
        <f t="shared" si="45"/>
        <v>589.5</v>
      </c>
      <c r="AH422" s="4">
        <v>0.18</v>
      </c>
      <c r="AI422">
        <f t="shared" si="40"/>
        <v>695.61</v>
      </c>
      <c r="AJ422" s="4">
        <v>0.2</v>
      </c>
      <c r="AK422">
        <f t="shared" si="41"/>
        <v>139.12</v>
      </c>
      <c r="AL422">
        <f t="shared" si="42"/>
        <v>834.73</v>
      </c>
      <c r="AM422">
        <f t="shared" si="43"/>
        <v>344.27</v>
      </c>
      <c r="AN422" s="4">
        <f t="shared" si="44"/>
        <v>0.292001696352841</v>
      </c>
      <c r="AO422" t="s">
        <v>221</v>
      </c>
      <c r="AQ422" t="s">
        <v>217</v>
      </c>
      <c r="AS422" t="s">
        <v>678</v>
      </c>
      <c r="AT422" t="s">
        <v>221</v>
      </c>
    </row>
    <row r="423" ht="15.75" customHeight="1" spans="1:46">
      <c r="A423" t="s">
        <v>756</v>
      </c>
      <c r="B423" t="s">
        <v>133</v>
      </c>
      <c r="C423" t="s">
        <v>435</v>
      </c>
      <c r="D423" t="s">
        <v>672</v>
      </c>
      <c r="E423" t="s">
        <v>735</v>
      </c>
      <c r="F423" t="s">
        <v>757</v>
      </c>
      <c r="H423" t="s">
        <v>217</v>
      </c>
      <c r="I423" t="s">
        <v>674</v>
      </c>
      <c r="J423" t="s">
        <v>675</v>
      </c>
      <c r="K423" t="s">
        <v>746</v>
      </c>
      <c r="Q423" t="s">
        <v>57</v>
      </c>
      <c r="R423" t="s">
        <v>772</v>
      </c>
      <c r="Y423" t="s">
        <v>773</v>
      </c>
      <c r="Z423">
        <v>8302</v>
      </c>
      <c r="AC423">
        <v>1</v>
      </c>
      <c r="AE423">
        <v>1179</v>
      </c>
      <c r="AF423" s="4">
        <v>0.5</v>
      </c>
      <c r="AG423">
        <f t="shared" si="45"/>
        <v>589.5</v>
      </c>
      <c r="AH423" s="4">
        <v>0.18</v>
      </c>
      <c r="AI423">
        <f t="shared" si="40"/>
        <v>695.61</v>
      </c>
      <c r="AJ423" s="4">
        <v>0.2</v>
      </c>
      <c r="AK423">
        <f t="shared" si="41"/>
        <v>139.12</v>
      </c>
      <c r="AL423">
        <f t="shared" si="42"/>
        <v>834.73</v>
      </c>
      <c r="AM423">
        <f t="shared" si="43"/>
        <v>344.27</v>
      </c>
      <c r="AN423" s="4">
        <f t="shared" si="44"/>
        <v>0.292001696352841</v>
      </c>
      <c r="AO423" t="s">
        <v>221</v>
      </c>
      <c r="AQ423" t="s">
        <v>217</v>
      </c>
      <c r="AS423" t="s">
        <v>678</v>
      </c>
      <c r="AT423" t="s">
        <v>221</v>
      </c>
    </row>
    <row r="424" ht="15.75" customHeight="1" spans="1:46">
      <c r="A424" t="s">
        <v>774</v>
      </c>
      <c r="B424" t="s">
        <v>46</v>
      </c>
      <c r="C424" t="s">
        <v>435</v>
      </c>
      <c r="D424" t="s">
        <v>775</v>
      </c>
      <c r="E424" t="s">
        <v>437</v>
      </c>
      <c r="F424" t="s">
        <v>776</v>
      </c>
      <c r="H424" t="s">
        <v>217</v>
      </c>
      <c r="I424" t="s">
        <v>777</v>
      </c>
      <c r="J424" t="s">
        <v>675</v>
      </c>
      <c r="K424" t="s">
        <v>778</v>
      </c>
      <c r="L424" t="s">
        <v>779</v>
      </c>
      <c r="M424" t="s">
        <v>780</v>
      </c>
      <c r="Q424" t="s">
        <v>57</v>
      </c>
      <c r="R424">
        <v>9243085</v>
      </c>
      <c r="S424">
        <v>1</v>
      </c>
      <c r="Y424" t="s">
        <v>781</v>
      </c>
      <c r="Z424">
        <v>8302</v>
      </c>
      <c r="AC424">
        <v>1</v>
      </c>
      <c r="AE424">
        <v>5904</v>
      </c>
      <c r="AF424" s="4">
        <v>0.59</v>
      </c>
      <c r="AG424">
        <f t="shared" si="45"/>
        <v>2420.64</v>
      </c>
      <c r="AH424" s="4">
        <v>0.18</v>
      </c>
      <c r="AI424">
        <f t="shared" si="40"/>
        <v>2856.36</v>
      </c>
      <c r="AJ424" s="4">
        <v>0.2</v>
      </c>
      <c r="AK424">
        <f t="shared" si="41"/>
        <v>571.27</v>
      </c>
      <c r="AL424">
        <f t="shared" si="42"/>
        <v>3427.63</v>
      </c>
      <c r="AM424">
        <f t="shared" si="43"/>
        <v>2476.37</v>
      </c>
      <c r="AN424" s="4">
        <f t="shared" si="44"/>
        <v>0.419439363143631</v>
      </c>
      <c r="AO424" t="s">
        <v>221</v>
      </c>
      <c r="AQ424" t="s">
        <v>217</v>
      </c>
      <c r="AS424" t="s">
        <v>678</v>
      </c>
      <c r="AT424" t="s">
        <v>221</v>
      </c>
    </row>
    <row r="425" ht="15.75" customHeight="1" spans="1:46">
      <c r="A425" t="s">
        <v>774</v>
      </c>
      <c r="B425" t="s">
        <v>67</v>
      </c>
      <c r="C425" t="s">
        <v>435</v>
      </c>
      <c r="D425" t="s">
        <v>775</v>
      </c>
      <c r="E425" t="s">
        <v>437</v>
      </c>
      <c r="F425" t="s">
        <v>776</v>
      </c>
      <c r="H425" t="s">
        <v>217</v>
      </c>
      <c r="I425" t="s">
        <v>777</v>
      </c>
      <c r="J425" t="s">
        <v>675</v>
      </c>
      <c r="K425" t="s">
        <v>778</v>
      </c>
      <c r="L425" t="s">
        <v>779</v>
      </c>
      <c r="M425" t="s">
        <v>782</v>
      </c>
      <c r="Q425" t="s">
        <v>57</v>
      </c>
      <c r="R425">
        <v>9243093</v>
      </c>
      <c r="S425">
        <v>1</v>
      </c>
      <c r="Y425" t="s">
        <v>783</v>
      </c>
      <c r="Z425">
        <v>8302</v>
      </c>
      <c r="AC425">
        <v>1</v>
      </c>
      <c r="AE425">
        <v>6834</v>
      </c>
      <c r="AF425" s="4">
        <v>0.59</v>
      </c>
      <c r="AG425">
        <f t="shared" si="45"/>
        <v>2801.94</v>
      </c>
      <c r="AH425" s="4">
        <v>0.18</v>
      </c>
      <c r="AI425">
        <f t="shared" si="40"/>
        <v>3306.29</v>
      </c>
      <c r="AJ425" s="4">
        <v>0.2</v>
      </c>
      <c r="AK425">
        <f t="shared" si="41"/>
        <v>661.26</v>
      </c>
      <c r="AL425">
        <f t="shared" si="42"/>
        <v>3967.55</v>
      </c>
      <c r="AM425">
        <f t="shared" si="43"/>
        <v>2866.45</v>
      </c>
      <c r="AN425" s="4">
        <f t="shared" si="44"/>
        <v>0.419439566871525</v>
      </c>
      <c r="AO425" t="s">
        <v>221</v>
      </c>
      <c r="AQ425" t="s">
        <v>217</v>
      </c>
      <c r="AS425" t="s">
        <v>678</v>
      </c>
      <c r="AT425" t="s">
        <v>221</v>
      </c>
    </row>
    <row r="426" ht="15.75" customHeight="1" spans="1:46">
      <c r="A426" t="s">
        <v>774</v>
      </c>
      <c r="B426" t="s">
        <v>71</v>
      </c>
      <c r="C426" t="s">
        <v>435</v>
      </c>
      <c r="D426" t="s">
        <v>775</v>
      </c>
      <c r="E426" t="s">
        <v>437</v>
      </c>
      <c r="F426" t="s">
        <v>776</v>
      </c>
      <c r="H426" t="s">
        <v>217</v>
      </c>
      <c r="I426" t="s">
        <v>777</v>
      </c>
      <c r="J426" t="s">
        <v>675</v>
      </c>
      <c r="K426" t="s">
        <v>778</v>
      </c>
      <c r="L426" t="s">
        <v>779</v>
      </c>
      <c r="M426" t="s">
        <v>784</v>
      </c>
      <c r="Q426" t="s">
        <v>57</v>
      </c>
      <c r="R426">
        <v>9346352</v>
      </c>
      <c r="S426">
        <v>1</v>
      </c>
      <c r="Y426" t="s">
        <v>785</v>
      </c>
      <c r="Z426">
        <v>8302</v>
      </c>
      <c r="AC426">
        <v>1</v>
      </c>
      <c r="AE426">
        <v>7562</v>
      </c>
      <c r="AF426" s="4">
        <v>0.59</v>
      </c>
      <c r="AG426">
        <f t="shared" si="45"/>
        <v>3100.42</v>
      </c>
      <c r="AH426" s="4">
        <v>0.18</v>
      </c>
      <c r="AI426">
        <f t="shared" si="40"/>
        <v>3658.5</v>
      </c>
      <c r="AJ426" s="4">
        <v>0.2</v>
      </c>
      <c r="AK426">
        <f t="shared" si="41"/>
        <v>731.7</v>
      </c>
      <c r="AL426">
        <f t="shared" si="42"/>
        <v>4390.2</v>
      </c>
      <c r="AM426">
        <f t="shared" si="43"/>
        <v>3171.8</v>
      </c>
      <c r="AN426" s="4">
        <f t="shared" si="44"/>
        <v>0.419439301772018</v>
      </c>
      <c r="AO426" t="s">
        <v>221</v>
      </c>
      <c r="AQ426" t="s">
        <v>217</v>
      </c>
      <c r="AS426" t="s">
        <v>678</v>
      </c>
      <c r="AT426" t="s">
        <v>221</v>
      </c>
    </row>
    <row r="427" ht="15.75" customHeight="1" spans="1:46">
      <c r="A427" t="s">
        <v>786</v>
      </c>
      <c r="B427" t="s">
        <v>46</v>
      </c>
      <c r="C427" t="s">
        <v>435</v>
      </c>
      <c r="D427" t="s">
        <v>775</v>
      </c>
      <c r="E427" t="s">
        <v>735</v>
      </c>
      <c r="F427" t="s">
        <v>787</v>
      </c>
      <c r="J427" t="s">
        <v>675</v>
      </c>
      <c r="K427" t="s">
        <v>680</v>
      </c>
      <c r="L427" t="s">
        <v>779</v>
      </c>
      <c r="M427" t="s">
        <v>788</v>
      </c>
      <c r="Q427" t="s">
        <v>57</v>
      </c>
      <c r="R427" t="s">
        <v>789</v>
      </c>
      <c r="S427">
        <v>1</v>
      </c>
      <c r="Y427" t="s">
        <v>790</v>
      </c>
      <c r="Z427">
        <v>8302</v>
      </c>
      <c r="AC427">
        <v>1</v>
      </c>
      <c r="AE427">
        <v>3099</v>
      </c>
      <c r="AF427" s="4">
        <v>0.5</v>
      </c>
      <c r="AG427">
        <f t="shared" si="45"/>
        <v>1549.5</v>
      </c>
      <c r="AH427" s="4">
        <v>0.18</v>
      </c>
      <c r="AI427">
        <f t="shared" si="40"/>
        <v>1828.41</v>
      </c>
      <c r="AJ427" s="4">
        <v>0.2</v>
      </c>
      <c r="AK427">
        <f t="shared" si="41"/>
        <v>365.68</v>
      </c>
      <c r="AL427">
        <f t="shared" si="42"/>
        <v>2194.09</v>
      </c>
      <c r="AM427">
        <f t="shared" si="43"/>
        <v>904.91</v>
      </c>
      <c r="AN427" s="4">
        <f t="shared" si="44"/>
        <v>0.292000645369474</v>
      </c>
      <c r="AO427" t="s">
        <v>221</v>
      </c>
      <c r="AQ427" t="s">
        <v>217</v>
      </c>
      <c r="AS427" t="s">
        <v>678</v>
      </c>
      <c r="AT427" t="s">
        <v>221</v>
      </c>
    </row>
    <row r="428" ht="15.75" customHeight="1" spans="1:46">
      <c r="A428" t="s">
        <v>786</v>
      </c>
      <c r="B428" t="s">
        <v>67</v>
      </c>
      <c r="C428" t="s">
        <v>435</v>
      </c>
      <c r="D428" t="s">
        <v>775</v>
      </c>
      <c r="E428" t="s">
        <v>735</v>
      </c>
      <c r="F428" t="s">
        <v>787</v>
      </c>
      <c r="J428" t="s">
        <v>675</v>
      </c>
      <c r="K428" t="s">
        <v>681</v>
      </c>
      <c r="L428" t="s">
        <v>779</v>
      </c>
      <c r="M428" t="s">
        <v>788</v>
      </c>
      <c r="Q428" t="s">
        <v>57</v>
      </c>
      <c r="R428" t="s">
        <v>791</v>
      </c>
      <c r="Y428" t="s">
        <v>792</v>
      </c>
      <c r="Z428">
        <v>8302</v>
      </c>
      <c r="AC428">
        <v>1</v>
      </c>
      <c r="AE428">
        <v>3199</v>
      </c>
      <c r="AF428" s="4">
        <v>0.5</v>
      </c>
      <c r="AG428">
        <f t="shared" si="45"/>
        <v>1599.5</v>
      </c>
      <c r="AH428" s="4">
        <v>0.18</v>
      </c>
      <c r="AI428">
        <f t="shared" si="40"/>
        <v>1887.41</v>
      </c>
      <c r="AJ428" s="4">
        <v>0.2</v>
      </c>
      <c r="AK428">
        <f t="shared" si="41"/>
        <v>377.48</v>
      </c>
      <c r="AL428">
        <f t="shared" si="42"/>
        <v>2264.89</v>
      </c>
      <c r="AM428">
        <f t="shared" si="43"/>
        <v>934.11</v>
      </c>
      <c r="AN428" s="4">
        <f t="shared" si="44"/>
        <v>0.292000625195373</v>
      </c>
      <c r="AO428" t="s">
        <v>221</v>
      </c>
      <c r="AQ428" t="s">
        <v>217</v>
      </c>
      <c r="AS428" t="s">
        <v>678</v>
      </c>
      <c r="AT428" t="s">
        <v>221</v>
      </c>
    </row>
    <row r="429" ht="15.75" customHeight="1" spans="1:46">
      <c r="A429" t="s">
        <v>786</v>
      </c>
      <c r="B429" t="s">
        <v>71</v>
      </c>
      <c r="C429" t="s">
        <v>435</v>
      </c>
      <c r="D429" t="s">
        <v>775</v>
      </c>
      <c r="E429" t="s">
        <v>735</v>
      </c>
      <c r="F429" t="s">
        <v>787</v>
      </c>
      <c r="J429" t="s">
        <v>675</v>
      </c>
      <c r="K429" t="s">
        <v>682</v>
      </c>
      <c r="L429" t="s">
        <v>779</v>
      </c>
      <c r="M429" t="s">
        <v>788</v>
      </c>
      <c r="Q429" t="s">
        <v>57</v>
      </c>
      <c r="R429" t="s">
        <v>793</v>
      </c>
      <c r="Y429" t="s">
        <v>794</v>
      </c>
      <c r="Z429">
        <v>8302</v>
      </c>
      <c r="AC429">
        <v>1</v>
      </c>
      <c r="AE429">
        <v>3299</v>
      </c>
      <c r="AF429" s="4">
        <v>0.5</v>
      </c>
      <c r="AG429">
        <f t="shared" si="45"/>
        <v>1649.5</v>
      </c>
      <c r="AH429" s="4">
        <v>0.18</v>
      </c>
      <c r="AI429">
        <f t="shared" si="40"/>
        <v>1946.41</v>
      </c>
      <c r="AJ429" s="4">
        <v>0.2</v>
      </c>
      <c r="AK429">
        <f t="shared" si="41"/>
        <v>389.28</v>
      </c>
      <c r="AL429">
        <f t="shared" si="42"/>
        <v>2335.69</v>
      </c>
      <c r="AM429">
        <f t="shared" si="43"/>
        <v>963.31</v>
      </c>
      <c r="AN429" s="4">
        <f t="shared" si="44"/>
        <v>0.292000606244316</v>
      </c>
      <c r="AO429" t="s">
        <v>221</v>
      </c>
      <c r="AQ429" t="s">
        <v>217</v>
      </c>
      <c r="AS429" t="s">
        <v>678</v>
      </c>
      <c r="AT429" t="s">
        <v>221</v>
      </c>
    </row>
    <row r="430" ht="15.75" customHeight="1" spans="1:46">
      <c r="A430" t="s">
        <v>786</v>
      </c>
      <c r="B430" t="s">
        <v>75</v>
      </c>
      <c r="C430" t="s">
        <v>435</v>
      </c>
      <c r="D430" t="s">
        <v>775</v>
      </c>
      <c r="E430" t="s">
        <v>735</v>
      </c>
      <c r="F430" t="s">
        <v>787</v>
      </c>
      <c r="J430" t="s">
        <v>675</v>
      </c>
      <c r="K430" t="s">
        <v>683</v>
      </c>
      <c r="L430" t="s">
        <v>779</v>
      </c>
      <c r="M430" t="s">
        <v>788</v>
      </c>
      <c r="Q430" t="s">
        <v>57</v>
      </c>
      <c r="R430" t="s">
        <v>795</v>
      </c>
      <c r="Y430" t="s">
        <v>796</v>
      </c>
      <c r="Z430">
        <v>8302</v>
      </c>
      <c r="AC430">
        <v>1</v>
      </c>
      <c r="AE430">
        <v>3399</v>
      </c>
      <c r="AF430" s="4">
        <v>0.5</v>
      </c>
      <c r="AG430">
        <f t="shared" si="45"/>
        <v>1699.5</v>
      </c>
      <c r="AH430" s="4">
        <v>0.18</v>
      </c>
      <c r="AI430">
        <f t="shared" si="40"/>
        <v>2005.41</v>
      </c>
      <c r="AJ430" s="4">
        <v>0.2</v>
      </c>
      <c r="AK430">
        <f t="shared" si="41"/>
        <v>401.08</v>
      </c>
      <c r="AL430">
        <f t="shared" si="42"/>
        <v>2406.49</v>
      </c>
      <c r="AM430">
        <f t="shared" si="43"/>
        <v>992.51</v>
      </c>
      <c r="AN430" s="4">
        <f t="shared" si="44"/>
        <v>0.292000588408355</v>
      </c>
      <c r="AO430" t="s">
        <v>221</v>
      </c>
      <c r="AQ430" t="s">
        <v>217</v>
      </c>
      <c r="AS430" t="s">
        <v>678</v>
      </c>
      <c r="AT430" t="s">
        <v>221</v>
      </c>
    </row>
    <row r="431" ht="15.75" customHeight="1" spans="1:46">
      <c r="A431" t="s">
        <v>786</v>
      </c>
      <c r="B431" t="s">
        <v>79</v>
      </c>
      <c r="C431" t="s">
        <v>435</v>
      </c>
      <c r="D431" t="s">
        <v>775</v>
      </c>
      <c r="E431" t="s">
        <v>735</v>
      </c>
      <c r="F431" t="s">
        <v>787</v>
      </c>
      <c r="J431" t="s">
        <v>675</v>
      </c>
      <c r="K431" t="s">
        <v>684</v>
      </c>
      <c r="L431" t="s">
        <v>779</v>
      </c>
      <c r="M431" t="s">
        <v>788</v>
      </c>
      <c r="Q431" t="s">
        <v>57</v>
      </c>
      <c r="R431" t="s">
        <v>797</v>
      </c>
      <c r="Y431" t="s">
        <v>798</v>
      </c>
      <c r="Z431">
        <v>8302</v>
      </c>
      <c r="AC431">
        <v>1</v>
      </c>
      <c r="AE431">
        <v>3499</v>
      </c>
      <c r="AF431" s="4">
        <v>0.5</v>
      </c>
      <c r="AG431">
        <f t="shared" si="45"/>
        <v>1749.5</v>
      </c>
      <c r="AH431" s="4">
        <v>0.18</v>
      </c>
      <c r="AI431">
        <f t="shared" si="40"/>
        <v>2064.41</v>
      </c>
      <c r="AJ431" s="4">
        <v>0.2</v>
      </c>
      <c r="AK431">
        <f t="shared" si="41"/>
        <v>412.88</v>
      </c>
      <c r="AL431">
        <f t="shared" si="42"/>
        <v>2477.29</v>
      </c>
      <c r="AM431">
        <f t="shared" si="43"/>
        <v>1021.71</v>
      </c>
      <c r="AN431" s="4">
        <f t="shared" si="44"/>
        <v>0.292000571591883</v>
      </c>
      <c r="AO431" t="s">
        <v>221</v>
      </c>
      <c r="AQ431" t="s">
        <v>217</v>
      </c>
      <c r="AS431" t="s">
        <v>678</v>
      </c>
      <c r="AT431" t="s">
        <v>221</v>
      </c>
    </row>
    <row r="432" ht="15.75" customHeight="1" spans="1:46">
      <c r="A432" t="s">
        <v>786</v>
      </c>
      <c r="B432" t="s">
        <v>83</v>
      </c>
      <c r="C432" t="s">
        <v>435</v>
      </c>
      <c r="D432" t="s">
        <v>775</v>
      </c>
      <c r="E432" t="s">
        <v>735</v>
      </c>
      <c r="F432" t="s">
        <v>787</v>
      </c>
      <c r="J432" t="s">
        <v>675</v>
      </c>
      <c r="K432" t="s">
        <v>744</v>
      </c>
      <c r="L432" t="s">
        <v>779</v>
      </c>
      <c r="M432" t="s">
        <v>788</v>
      </c>
      <c r="Q432" t="s">
        <v>57</v>
      </c>
      <c r="R432" t="s">
        <v>799</v>
      </c>
      <c r="Y432" t="s">
        <v>800</v>
      </c>
      <c r="Z432">
        <v>8302</v>
      </c>
      <c r="AC432">
        <v>1</v>
      </c>
      <c r="AE432">
        <v>3699</v>
      </c>
      <c r="AF432" s="4">
        <v>0.5</v>
      </c>
      <c r="AG432">
        <f t="shared" si="45"/>
        <v>1849.5</v>
      </c>
      <c r="AH432" s="4">
        <v>0.18</v>
      </c>
      <c r="AI432">
        <f t="shared" si="40"/>
        <v>2182.41</v>
      </c>
      <c r="AJ432" s="4">
        <v>0.2</v>
      </c>
      <c r="AK432">
        <f t="shared" si="41"/>
        <v>436.48</v>
      </c>
      <c r="AL432">
        <f t="shared" si="42"/>
        <v>2618.89</v>
      </c>
      <c r="AM432">
        <f t="shared" si="43"/>
        <v>1080.11</v>
      </c>
      <c r="AN432" s="4">
        <f t="shared" si="44"/>
        <v>0.292000540686672</v>
      </c>
      <c r="AO432" t="s">
        <v>221</v>
      </c>
      <c r="AQ432" t="s">
        <v>217</v>
      </c>
      <c r="AS432" t="s">
        <v>678</v>
      </c>
      <c r="AT432" t="s">
        <v>221</v>
      </c>
    </row>
    <row r="433" ht="15.75" customHeight="1" spans="1:46">
      <c r="A433" t="s">
        <v>801</v>
      </c>
      <c r="B433" t="s">
        <v>46</v>
      </c>
      <c r="C433" t="s">
        <v>435</v>
      </c>
      <c r="D433" t="s">
        <v>775</v>
      </c>
      <c r="E433" t="s">
        <v>735</v>
      </c>
      <c r="F433" t="s">
        <v>802</v>
      </c>
      <c r="J433" t="s">
        <v>675</v>
      </c>
      <c r="K433" t="s">
        <v>680</v>
      </c>
      <c r="L433" t="s">
        <v>779</v>
      </c>
      <c r="M433" t="s">
        <v>803</v>
      </c>
      <c r="Q433" t="s">
        <v>57</v>
      </c>
      <c r="R433" t="s">
        <v>804</v>
      </c>
      <c r="Y433" t="s">
        <v>805</v>
      </c>
      <c r="Z433">
        <v>8302</v>
      </c>
      <c r="AC433">
        <v>1</v>
      </c>
      <c r="AE433">
        <v>3699</v>
      </c>
      <c r="AF433" s="4">
        <v>0.5</v>
      </c>
      <c r="AG433">
        <f t="shared" si="45"/>
        <v>1849.5</v>
      </c>
      <c r="AH433" s="4">
        <v>0.18</v>
      </c>
      <c r="AI433">
        <f t="shared" si="40"/>
        <v>2182.41</v>
      </c>
      <c r="AJ433" s="4">
        <v>0.2</v>
      </c>
      <c r="AK433">
        <f t="shared" si="41"/>
        <v>436.48</v>
      </c>
      <c r="AL433">
        <f t="shared" si="42"/>
        <v>2618.89</v>
      </c>
      <c r="AM433">
        <f t="shared" si="43"/>
        <v>1080.11</v>
      </c>
      <c r="AN433" s="4">
        <f t="shared" si="44"/>
        <v>0.292000540686672</v>
      </c>
      <c r="AO433" t="s">
        <v>221</v>
      </c>
      <c r="AQ433" t="s">
        <v>217</v>
      </c>
      <c r="AS433" t="s">
        <v>678</v>
      </c>
      <c r="AT433" t="s">
        <v>221</v>
      </c>
    </row>
    <row r="434" ht="15.75" customHeight="1" spans="1:46">
      <c r="A434" t="s">
        <v>801</v>
      </c>
      <c r="B434" t="s">
        <v>67</v>
      </c>
      <c r="C434" t="s">
        <v>435</v>
      </c>
      <c r="D434" t="s">
        <v>775</v>
      </c>
      <c r="E434" t="s">
        <v>735</v>
      </c>
      <c r="F434" t="s">
        <v>802</v>
      </c>
      <c r="J434" t="s">
        <v>675</v>
      </c>
      <c r="K434" t="s">
        <v>681</v>
      </c>
      <c r="L434" t="s">
        <v>779</v>
      </c>
      <c r="M434" t="s">
        <v>803</v>
      </c>
      <c r="Q434" t="s">
        <v>57</v>
      </c>
      <c r="R434" t="s">
        <v>806</v>
      </c>
      <c r="Y434" t="s">
        <v>807</v>
      </c>
      <c r="Z434">
        <v>8302</v>
      </c>
      <c r="AC434">
        <v>1</v>
      </c>
      <c r="AE434">
        <v>3799</v>
      </c>
      <c r="AF434" s="4">
        <v>0.5</v>
      </c>
      <c r="AG434">
        <f t="shared" si="45"/>
        <v>1899.5</v>
      </c>
      <c r="AH434" s="4">
        <v>0.18</v>
      </c>
      <c r="AI434">
        <f t="shared" si="40"/>
        <v>2241.41</v>
      </c>
      <c r="AJ434" s="4">
        <v>0.2</v>
      </c>
      <c r="AK434">
        <f t="shared" si="41"/>
        <v>448.28</v>
      </c>
      <c r="AL434">
        <f t="shared" si="42"/>
        <v>2689.69</v>
      </c>
      <c r="AM434">
        <f t="shared" si="43"/>
        <v>1109.31</v>
      </c>
      <c r="AN434" s="4">
        <f t="shared" si="44"/>
        <v>0.29200052645433</v>
      </c>
      <c r="AO434" t="s">
        <v>221</v>
      </c>
      <c r="AQ434" t="s">
        <v>217</v>
      </c>
      <c r="AS434" t="s">
        <v>678</v>
      </c>
      <c r="AT434" t="s">
        <v>221</v>
      </c>
    </row>
    <row r="435" ht="15.75" customHeight="1" spans="1:46">
      <c r="A435" t="s">
        <v>801</v>
      </c>
      <c r="B435" t="s">
        <v>71</v>
      </c>
      <c r="C435" t="s">
        <v>435</v>
      </c>
      <c r="D435" t="s">
        <v>775</v>
      </c>
      <c r="E435" t="s">
        <v>735</v>
      </c>
      <c r="F435" t="s">
        <v>802</v>
      </c>
      <c r="J435" t="s">
        <v>675</v>
      </c>
      <c r="K435" t="s">
        <v>682</v>
      </c>
      <c r="L435" t="s">
        <v>779</v>
      </c>
      <c r="M435" t="s">
        <v>803</v>
      </c>
      <c r="Q435" t="s">
        <v>57</v>
      </c>
      <c r="R435" t="s">
        <v>808</v>
      </c>
      <c r="Y435" t="s">
        <v>809</v>
      </c>
      <c r="Z435">
        <v>8302</v>
      </c>
      <c r="AC435">
        <v>1</v>
      </c>
      <c r="AE435">
        <v>3899</v>
      </c>
      <c r="AF435" s="4">
        <v>0.5</v>
      </c>
      <c r="AG435">
        <f t="shared" si="45"/>
        <v>1949.5</v>
      </c>
      <c r="AH435" s="4">
        <v>0.18</v>
      </c>
      <c r="AI435">
        <f t="shared" si="40"/>
        <v>2300.41</v>
      </c>
      <c r="AJ435" s="4">
        <v>0.2</v>
      </c>
      <c r="AK435">
        <f t="shared" si="41"/>
        <v>460.08</v>
      </c>
      <c r="AL435">
        <f t="shared" si="42"/>
        <v>2760.49</v>
      </c>
      <c r="AM435">
        <f t="shared" si="43"/>
        <v>1138.51</v>
      </c>
      <c r="AN435" s="4">
        <f t="shared" si="44"/>
        <v>0.292000512952039</v>
      </c>
      <c r="AO435" t="s">
        <v>221</v>
      </c>
      <c r="AQ435" t="s">
        <v>217</v>
      </c>
      <c r="AS435" t="s">
        <v>678</v>
      </c>
      <c r="AT435" t="s">
        <v>221</v>
      </c>
    </row>
    <row r="436" ht="15.75" customHeight="1" spans="1:46">
      <c r="A436" t="s">
        <v>801</v>
      </c>
      <c r="B436" t="s">
        <v>75</v>
      </c>
      <c r="C436" t="s">
        <v>435</v>
      </c>
      <c r="D436" t="s">
        <v>775</v>
      </c>
      <c r="E436" t="s">
        <v>735</v>
      </c>
      <c r="F436" t="s">
        <v>802</v>
      </c>
      <c r="J436" t="s">
        <v>675</v>
      </c>
      <c r="K436" t="s">
        <v>683</v>
      </c>
      <c r="L436" t="s">
        <v>779</v>
      </c>
      <c r="M436" t="s">
        <v>803</v>
      </c>
      <c r="Q436" t="s">
        <v>57</v>
      </c>
      <c r="R436" t="s">
        <v>810</v>
      </c>
      <c r="Y436" t="s">
        <v>811</v>
      </c>
      <c r="Z436">
        <v>8302</v>
      </c>
      <c r="AC436">
        <v>1</v>
      </c>
      <c r="AE436">
        <v>3999</v>
      </c>
      <c r="AF436" s="4">
        <v>0.5</v>
      </c>
      <c r="AG436">
        <f t="shared" si="45"/>
        <v>1999.5</v>
      </c>
      <c r="AH436" s="4">
        <v>0.18</v>
      </c>
      <c r="AI436">
        <f t="shared" si="40"/>
        <v>2359.41</v>
      </c>
      <c r="AJ436" s="4">
        <v>0.2</v>
      </c>
      <c r="AK436">
        <f t="shared" si="41"/>
        <v>471.88</v>
      </c>
      <c r="AL436">
        <f t="shared" si="42"/>
        <v>2831.29</v>
      </c>
      <c r="AM436">
        <f t="shared" si="43"/>
        <v>1167.71</v>
      </c>
      <c r="AN436" s="4">
        <f t="shared" si="44"/>
        <v>0.292000500125031</v>
      </c>
      <c r="AO436" t="s">
        <v>221</v>
      </c>
      <c r="AQ436" t="s">
        <v>217</v>
      </c>
      <c r="AS436" t="s">
        <v>678</v>
      </c>
      <c r="AT436" t="s">
        <v>221</v>
      </c>
    </row>
    <row r="437" ht="15.75" customHeight="1" spans="1:46">
      <c r="A437" t="s">
        <v>801</v>
      </c>
      <c r="B437" t="s">
        <v>79</v>
      </c>
      <c r="C437" t="s">
        <v>435</v>
      </c>
      <c r="D437" t="s">
        <v>775</v>
      </c>
      <c r="E437" t="s">
        <v>735</v>
      </c>
      <c r="F437" t="s">
        <v>802</v>
      </c>
      <c r="J437" t="s">
        <v>675</v>
      </c>
      <c r="K437" t="s">
        <v>684</v>
      </c>
      <c r="L437" t="s">
        <v>779</v>
      </c>
      <c r="M437" t="s">
        <v>803</v>
      </c>
      <c r="Q437" t="s">
        <v>57</v>
      </c>
      <c r="R437" t="s">
        <v>812</v>
      </c>
      <c r="Y437" t="s">
        <v>813</v>
      </c>
      <c r="Z437">
        <v>8302</v>
      </c>
      <c r="AC437">
        <v>1</v>
      </c>
      <c r="AE437">
        <v>4099</v>
      </c>
      <c r="AF437" s="4">
        <v>0.5</v>
      </c>
      <c r="AG437">
        <f t="shared" si="45"/>
        <v>2049.5</v>
      </c>
      <c r="AH437" s="4">
        <v>0.18</v>
      </c>
      <c r="AI437">
        <f t="shared" si="40"/>
        <v>2418.41</v>
      </c>
      <c r="AJ437" s="4">
        <v>0.2</v>
      </c>
      <c r="AK437">
        <f t="shared" si="41"/>
        <v>483.68</v>
      </c>
      <c r="AL437">
        <f t="shared" si="42"/>
        <v>2902.09</v>
      </c>
      <c r="AM437">
        <f t="shared" si="43"/>
        <v>1196.91</v>
      </c>
      <c r="AN437" s="4">
        <f t="shared" si="44"/>
        <v>0.292000487923884</v>
      </c>
      <c r="AO437" t="s">
        <v>221</v>
      </c>
      <c r="AQ437" t="s">
        <v>217</v>
      </c>
      <c r="AS437" t="s">
        <v>678</v>
      </c>
      <c r="AT437" t="s">
        <v>221</v>
      </c>
    </row>
    <row r="438" ht="15.75" customHeight="1" spans="1:46">
      <c r="A438" t="s">
        <v>801</v>
      </c>
      <c r="B438" t="s">
        <v>83</v>
      </c>
      <c r="C438" t="s">
        <v>435</v>
      </c>
      <c r="D438" t="s">
        <v>775</v>
      </c>
      <c r="E438" t="s">
        <v>735</v>
      </c>
      <c r="F438" t="s">
        <v>802</v>
      </c>
      <c r="J438" t="s">
        <v>675</v>
      </c>
      <c r="K438" t="s">
        <v>744</v>
      </c>
      <c r="L438" t="s">
        <v>779</v>
      </c>
      <c r="M438" t="s">
        <v>803</v>
      </c>
      <c r="Q438" t="s">
        <v>57</v>
      </c>
      <c r="R438" t="s">
        <v>814</v>
      </c>
      <c r="Y438" t="s">
        <v>815</v>
      </c>
      <c r="Z438">
        <v>8302</v>
      </c>
      <c r="AC438">
        <v>1</v>
      </c>
      <c r="AE438">
        <v>4299</v>
      </c>
      <c r="AF438" s="4">
        <v>0.5</v>
      </c>
      <c r="AG438">
        <f t="shared" si="45"/>
        <v>2149.5</v>
      </c>
      <c r="AH438" s="4">
        <v>0.18</v>
      </c>
      <c r="AI438">
        <f t="shared" si="40"/>
        <v>2536.41</v>
      </c>
      <c r="AJ438" s="4">
        <v>0.2</v>
      </c>
      <c r="AK438">
        <f t="shared" si="41"/>
        <v>507.28</v>
      </c>
      <c r="AL438">
        <f t="shared" si="42"/>
        <v>3043.69</v>
      </c>
      <c r="AM438">
        <f t="shared" si="43"/>
        <v>1255.31</v>
      </c>
      <c r="AN438" s="4">
        <f t="shared" si="44"/>
        <v>0.292000465224471</v>
      </c>
      <c r="AO438" t="s">
        <v>221</v>
      </c>
      <c r="AQ438" t="s">
        <v>217</v>
      </c>
      <c r="AS438" t="s">
        <v>678</v>
      </c>
      <c r="AT438" t="s">
        <v>221</v>
      </c>
    </row>
    <row r="439" ht="15.75" customHeight="1" spans="1:46">
      <c r="A439" t="s">
        <v>816</v>
      </c>
      <c r="B439" t="s">
        <v>46</v>
      </c>
      <c r="C439" t="s">
        <v>435</v>
      </c>
      <c r="D439" t="s">
        <v>775</v>
      </c>
      <c r="E439" t="s">
        <v>735</v>
      </c>
      <c r="F439" t="s">
        <v>817</v>
      </c>
      <c r="J439" t="s">
        <v>675</v>
      </c>
      <c r="K439" t="s">
        <v>682</v>
      </c>
      <c r="L439" t="s">
        <v>779</v>
      </c>
      <c r="M439" t="s">
        <v>818</v>
      </c>
      <c r="Q439" t="s">
        <v>57</v>
      </c>
      <c r="R439" t="s">
        <v>819</v>
      </c>
      <c r="Y439" t="s">
        <v>820</v>
      </c>
      <c r="Z439">
        <v>8302</v>
      </c>
      <c r="AC439">
        <v>1</v>
      </c>
      <c r="AE439">
        <v>4499</v>
      </c>
      <c r="AF439" s="4">
        <v>0.5</v>
      </c>
      <c r="AG439">
        <f t="shared" si="45"/>
        <v>2249.5</v>
      </c>
      <c r="AH439" s="4">
        <v>0.18</v>
      </c>
      <c r="AI439">
        <f t="shared" si="40"/>
        <v>2654.41</v>
      </c>
      <c r="AJ439" s="4">
        <v>0.2</v>
      </c>
      <c r="AK439">
        <f t="shared" si="41"/>
        <v>530.88</v>
      </c>
      <c r="AL439">
        <f t="shared" si="42"/>
        <v>3185.29</v>
      </c>
      <c r="AM439">
        <f t="shared" si="43"/>
        <v>1313.71</v>
      </c>
      <c r="AN439" s="4">
        <f t="shared" si="44"/>
        <v>0.292000444543232</v>
      </c>
      <c r="AO439" t="s">
        <v>221</v>
      </c>
      <c r="AQ439" t="s">
        <v>217</v>
      </c>
      <c r="AS439" t="s">
        <v>678</v>
      </c>
      <c r="AT439" t="s">
        <v>221</v>
      </c>
    </row>
    <row r="440" ht="15.75" customHeight="1" spans="1:46">
      <c r="A440" t="s">
        <v>816</v>
      </c>
      <c r="B440" t="s">
        <v>67</v>
      </c>
      <c r="C440" t="s">
        <v>435</v>
      </c>
      <c r="D440" t="s">
        <v>775</v>
      </c>
      <c r="E440" t="s">
        <v>735</v>
      </c>
      <c r="F440" t="s">
        <v>817</v>
      </c>
      <c r="J440" t="s">
        <v>675</v>
      </c>
      <c r="K440" t="s">
        <v>683</v>
      </c>
      <c r="L440" t="s">
        <v>779</v>
      </c>
      <c r="M440" t="s">
        <v>818</v>
      </c>
      <c r="Q440" t="s">
        <v>57</v>
      </c>
      <c r="R440" t="s">
        <v>821</v>
      </c>
      <c r="Y440" t="s">
        <v>822</v>
      </c>
      <c r="Z440">
        <v>8302</v>
      </c>
      <c r="AC440">
        <v>1</v>
      </c>
      <c r="AE440">
        <v>4599</v>
      </c>
      <c r="AF440" s="4">
        <v>0.5</v>
      </c>
      <c r="AG440">
        <f t="shared" si="45"/>
        <v>2299.5</v>
      </c>
      <c r="AH440" s="4">
        <v>0.18</v>
      </c>
      <c r="AI440">
        <f t="shared" si="40"/>
        <v>2713.41</v>
      </c>
      <c r="AJ440" s="4">
        <v>0.2</v>
      </c>
      <c r="AK440">
        <f t="shared" si="41"/>
        <v>542.68</v>
      </c>
      <c r="AL440">
        <f t="shared" si="42"/>
        <v>3256.09</v>
      </c>
      <c r="AM440">
        <f t="shared" si="43"/>
        <v>1342.91</v>
      </c>
      <c r="AN440" s="4">
        <f t="shared" si="44"/>
        <v>0.292000434877147</v>
      </c>
      <c r="AO440" t="s">
        <v>221</v>
      </c>
      <c r="AQ440" t="s">
        <v>217</v>
      </c>
      <c r="AS440" t="s">
        <v>678</v>
      </c>
      <c r="AT440" t="s">
        <v>221</v>
      </c>
    </row>
    <row r="441" ht="15.75" customHeight="1" spans="1:46">
      <c r="A441" t="s">
        <v>816</v>
      </c>
      <c r="B441" t="s">
        <v>71</v>
      </c>
      <c r="C441" t="s">
        <v>435</v>
      </c>
      <c r="D441" t="s">
        <v>775</v>
      </c>
      <c r="E441" t="s">
        <v>735</v>
      </c>
      <c r="F441" t="s">
        <v>817</v>
      </c>
      <c r="J441" t="s">
        <v>675</v>
      </c>
      <c r="K441" t="s">
        <v>684</v>
      </c>
      <c r="L441" t="s">
        <v>779</v>
      </c>
      <c r="M441" t="s">
        <v>818</v>
      </c>
      <c r="Q441" t="s">
        <v>57</v>
      </c>
      <c r="R441" t="s">
        <v>823</v>
      </c>
      <c r="Y441" t="s">
        <v>824</v>
      </c>
      <c r="Z441">
        <v>8302</v>
      </c>
      <c r="AC441">
        <v>1</v>
      </c>
      <c r="AE441">
        <v>4699</v>
      </c>
      <c r="AF441" s="4">
        <v>0.5</v>
      </c>
      <c r="AG441">
        <f t="shared" si="45"/>
        <v>2349.5</v>
      </c>
      <c r="AH441" s="4">
        <v>0.18</v>
      </c>
      <c r="AI441">
        <f t="shared" si="40"/>
        <v>2772.41</v>
      </c>
      <c r="AJ441" s="4">
        <v>0.2</v>
      </c>
      <c r="AK441">
        <f t="shared" si="41"/>
        <v>554.48</v>
      </c>
      <c r="AL441">
        <f t="shared" si="42"/>
        <v>3326.89</v>
      </c>
      <c r="AM441">
        <f t="shared" si="43"/>
        <v>1372.11</v>
      </c>
      <c r="AN441" s="4">
        <f t="shared" si="44"/>
        <v>0.292000425622473</v>
      </c>
      <c r="AO441" t="s">
        <v>221</v>
      </c>
      <c r="AQ441" t="s">
        <v>217</v>
      </c>
      <c r="AS441" t="s">
        <v>678</v>
      </c>
      <c r="AT441" t="s">
        <v>221</v>
      </c>
    </row>
    <row r="442" ht="15.75" customHeight="1" spans="1:46">
      <c r="A442" t="s">
        <v>816</v>
      </c>
      <c r="B442" t="s">
        <v>75</v>
      </c>
      <c r="C442" t="s">
        <v>435</v>
      </c>
      <c r="D442" t="s">
        <v>775</v>
      </c>
      <c r="E442" t="s">
        <v>735</v>
      </c>
      <c r="F442" t="s">
        <v>817</v>
      </c>
      <c r="J442" t="s">
        <v>675</v>
      </c>
      <c r="K442" t="s">
        <v>744</v>
      </c>
      <c r="L442" t="s">
        <v>779</v>
      </c>
      <c r="M442" t="s">
        <v>818</v>
      </c>
      <c r="Q442" t="s">
        <v>57</v>
      </c>
      <c r="R442" t="s">
        <v>825</v>
      </c>
      <c r="Y442" t="s">
        <v>826</v>
      </c>
      <c r="Z442">
        <v>8302</v>
      </c>
      <c r="AC442">
        <v>1</v>
      </c>
      <c r="AE442">
        <v>4899</v>
      </c>
      <c r="AF442" s="4">
        <v>0.5</v>
      </c>
      <c r="AG442">
        <f t="shared" si="45"/>
        <v>2449.5</v>
      </c>
      <c r="AH442" s="4">
        <v>0.18</v>
      </c>
      <c r="AI442">
        <f t="shared" si="40"/>
        <v>2890.41</v>
      </c>
      <c r="AJ442" s="4">
        <v>0.2</v>
      </c>
      <c r="AK442">
        <f t="shared" si="41"/>
        <v>578.08</v>
      </c>
      <c r="AL442">
        <f t="shared" si="42"/>
        <v>3468.49</v>
      </c>
      <c r="AM442">
        <f t="shared" si="43"/>
        <v>1430.51</v>
      </c>
      <c r="AN442" s="4">
        <f t="shared" si="44"/>
        <v>0.292000408246581</v>
      </c>
      <c r="AO442" t="s">
        <v>221</v>
      </c>
      <c r="AQ442" t="s">
        <v>217</v>
      </c>
      <c r="AS442" t="s">
        <v>678</v>
      </c>
      <c r="AT442" t="s">
        <v>221</v>
      </c>
    </row>
    <row r="443" ht="15.75" customHeight="1" spans="1:46">
      <c r="A443" t="s">
        <v>827</v>
      </c>
      <c r="B443" t="s">
        <v>46</v>
      </c>
      <c r="C443" t="s">
        <v>435</v>
      </c>
      <c r="D443" t="s">
        <v>775</v>
      </c>
      <c r="E443" t="s">
        <v>735</v>
      </c>
      <c r="F443" t="s">
        <v>828</v>
      </c>
      <c r="J443" t="s">
        <v>675</v>
      </c>
      <c r="K443" t="s">
        <v>684</v>
      </c>
      <c r="L443" t="s">
        <v>779</v>
      </c>
      <c r="M443" t="s">
        <v>818</v>
      </c>
      <c r="Q443" t="s">
        <v>57</v>
      </c>
      <c r="R443" t="s">
        <v>829</v>
      </c>
      <c r="Y443" t="s">
        <v>830</v>
      </c>
      <c r="Z443">
        <v>8302</v>
      </c>
      <c r="AC443">
        <v>1</v>
      </c>
      <c r="AF443" s="4">
        <v>0.5</v>
      </c>
      <c r="AG443">
        <f t="shared" si="45"/>
        <v>0</v>
      </c>
      <c r="AH443" s="4">
        <v>0.18</v>
      </c>
      <c r="AI443">
        <f t="shared" si="40"/>
        <v>0</v>
      </c>
      <c r="AJ443" s="4">
        <v>0.2</v>
      </c>
      <c r="AK443">
        <f t="shared" si="41"/>
        <v>0</v>
      </c>
      <c r="AL443">
        <f t="shared" si="42"/>
        <v>0</v>
      </c>
      <c r="AM443">
        <f t="shared" si="43"/>
        <v>0</v>
      </c>
      <c r="AN443" s="4" t="e">
        <f t="shared" si="44"/>
        <v>#DIV/0!</v>
      </c>
      <c r="AO443" t="s">
        <v>221</v>
      </c>
      <c r="AQ443" t="s">
        <v>217</v>
      </c>
      <c r="AS443" t="s">
        <v>678</v>
      </c>
      <c r="AT443" t="s">
        <v>221</v>
      </c>
    </row>
    <row r="444" ht="15.75" customHeight="1" spans="1:46">
      <c r="A444" t="s">
        <v>831</v>
      </c>
      <c r="B444" t="s">
        <v>46</v>
      </c>
      <c r="C444" t="s">
        <v>435</v>
      </c>
      <c r="D444" t="s">
        <v>832</v>
      </c>
      <c r="E444" t="s">
        <v>437</v>
      </c>
      <c r="F444" t="s">
        <v>833</v>
      </c>
      <c r="H444" t="s">
        <v>834</v>
      </c>
      <c r="I444" t="s">
        <v>835</v>
      </c>
      <c r="Q444" t="s">
        <v>57</v>
      </c>
      <c r="R444">
        <v>9079593</v>
      </c>
      <c r="Y444" t="s">
        <v>836</v>
      </c>
      <c r="Z444">
        <v>8302</v>
      </c>
      <c r="AC444">
        <v>1</v>
      </c>
      <c r="AE444">
        <v>390</v>
      </c>
      <c r="AF444" s="4">
        <v>0.5</v>
      </c>
      <c r="AG444">
        <f t="shared" si="45"/>
        <v>195</v>
      </c>
      <c r="AH444" s="4">
        <v>0.18</v>
      </c>
      <c r="AI444">
        <f t="shared" si="40"/>
        <v>230.1</v>
      </c>
      <c r="AJ444" s="4">
        <v>0.2</v>
      </c>
      <c r="AK444">
        <f t="shared" si="41"/>
        <v>46.02</v>
      </c>
      <c r="AL444">
        <f t="shared" si="42"/>
        <v>276.12</v>
      </c>
      <c r="AM444">
        <f t="shared" si="43"/>
        <v>113.88</v>
      </c>
      <c r="AN444" s="4">
        <f t="shared" si="44"/>
        <v>0.292</v>
      </c>
      <c r="AO444" t="s">
        <v>221</v>
      </c>
      <c r="AQ444" t="s">
        <v>217</v>
      </c>
      <c r="AS444" t="s">
        <v>837</v>
      </c>
      <c r="AT444" t="s">
        <v>221</v>
      </c>
    </row>
    <row r="445" ht="15.75" customHeight="1" spans="1:46">
      <c r="A445" t="s">
        <v>838</v>
      </c>
      <c r="B445" t="s">
        <v>46</v>
      </c>
      <c r="C445" t="s">
        <v>435</v>
      </c>
      <c r="D445" t="s">
        <v>832</v>
      </c>
      <c r="E445" t="s">
        <v>839</v>
      </c>
      <c r="F445" t="s">
        <v>840</v>
      </c>
      <c r="H445" t="s">
        <v>834</v>
      </c>
      <c r="I445" t="s">
        <v>835</v>
      </c>
      <c r="Q445" t="s">
        <v>57</v>
      </c>
      <c r="R445" t="s">
        <v>841</v>
      </c>
      <c r="Y445" t="s">
        <v>842</v>
      </c>
      <c r="Z445">
        <v>8302</v>
      </c>
      <c r="AC445">
        <v>1</v>
      </c>
      <c r="AE445">
        <v>325</v>
      </c>
      <c r="AF445" s="4">
        <v>0.37</v>
      </c>
      <c r="AG445">
        <f t="shared" si="45"/>
        <v>204.75</v>
      </c>
      <c r="AH445" s="4">
        <v>0.18</v>
      </c>
      <c r="AI445">
        <f t="shared" si="40"/>
        <v>241.61</v>
      </c>
      <c r="AJ445" s="4">
        <v>0.2</v>
      </c>
      <c r="AK445">
        <f t="shared" si="41"/>
        <v>48.32</v>
      </c>
      <c r="AL445">
        <f t="shared" si="42"/>
        <v>289.93</v>
      </c>
      <c r="AM445">
        <f t="shared" si="43"/>
        <v>35.07</v>
      </c>
      <c r="AN445" s="4">
        <f t="shared" si="44"/>
        <v>0.107907692307692</v>
      </c>
      <c r="AO445" t="s">
        <v>221</v>
      </c>
      <c r="AQ445" t="s">
        <v>217</v>
      </c>
      <c r="AS445" t="s">
        <v>837</v>
      </c>
      <c r="AT445" t="s">
        <v>221</v>
      </c>
    </row>
    <row r="446" ht="15.75" customHeight="1" spans="1:46">
      <c r="A446" t="s">
        <v>838</v>
      </c>
      <c r="B446" t="s">
        <v>67</v>
      </c>
      <c r="C446" t="s">
        <v>435</v>
      </c>
      <c r="D446" t="s">
        <v>832</v>
      </c>
      <c r="E446" t="s">
        <v>839</v>
      </c>
      <c r="F446" t="s">
        <v>840</v>
      </c>
      <c r="H446" t="s">
        <v>834</v>
      </c>
      <c r="I446" t="s">
        <v>843</v>
      </c>
      <c r="Q446" t="s">
        <v>57</v>
      </c>
      <c r="R446" t="s">
        <v>844</v>
      </c>
      <c r="Y446" t="s">
        <v>842</v>
      </c>
      <c r="Z446">
        <v>8302</v>
      </c>
      <c r="AC446">
        <v>1</v>
      </c>
      <c r="AE446">
        <v>325</v>
      </c>
      <c r="AF446" s="4">
        <v>0.37</v>
      </c>
      <c r="AG446">
        <f t="shared" si="45"/>
        <v>204.75</v>
      </c>
      <c r="AH446" s="4">
        <v>0.18</v>
      </c>
      <c r="AI446">
        <f t="shared" si="40"/>
        <v>241.61</v>
      </c>
      <c r="AJ446" s="4">
        <v>0.2</v>
      </c>
      <c r="AK446">
        <f t="shared" si="41"/>
        <v>48.32</v>
      </c>
      <c r="AL446">
        <f t="shared" si="42"/>
        <v>289.93</v>
      </c>
      <c r="AM446">
        <f t="shared" si="43"/>
        <v>35.07</v>
      </c>
      <c r="AN446" s="4">
        <f t="shared" si="44"/>
        <v>0.107907692307692</v>
      </c>
      <c r="AO446" t="s">
        <v>221</v>
      </c>
      <c r="AQ446" t="s">
        <v>217</v>
      </c>
      <c r="AS446" t="s">
        <v>837</v>
      </c>
      <c r="AT446" t="s">
        <v>221</v>
      </c>
    </row>
    <row r="447" ht="15.75" customHeight="1" spans="1:46">
      <c r="A447" t="s">
        <v>838</v>
      </c>
      <c r="B447" t="s">
        <v>71</v>
      </c>
      <c r="C447" t="s">
        <v>435</v>
      </c>
      <c r="D447" t="s">
        <v>832</v>
      </c>
      <c r="E447" t="s">
        <v>839</v>
      </c>
      <c r="F447" t="s">
        <v>840</v>
      </c>
      <c r="H447" t="s">
        <v>834</v>
      </c>
      <c r="I447" t="s">
        <v>845</v>
      </c>
      <c r="Q447" t="s">
        <v>57</v>
      </c>
      <c r="R447" t="s">
        <v>846</v>
      </c>
      <c r="Y447" t="s">
        <v>842</v>
      </c>
      <c r="Z447">
        <v>8302</v>
      </c>
      <c r="AC447">
        <v>1</v>
      </c>
      <c r="AE447">
        <v>325</v>
      </c>
      <c r="AF447" s="4">
        <v>0.37</v>
      </c>
      <c r="AG447">
        <f t="shared" si="45"/>
        <v>204.75</v>
      </c>
      <c r="AH447" s="4">
        <v>0.18</v>
      </c>
      <c r="AI447">
        <f t="shared" si="40"/>
        <v>241.61</v>
      </c>
      <c r="AJ447" s="4">
        <v>0.2</v>
      </c>
      <c r="AK447">
        <f t="shared" si="41"/>
        <v>48.32</v>
      </c>
      <c r="AL447">
        <f t="shared" si="42"/>
        <v>289.93</v>
      </c>
      <c r="AM447">
        <f t="shared" si="43"/>
        <v>35.07</v>
      </c>
      <c r="AN447" s="4">
        <f t="shared" si="44"/>
        <v>0.107907692307692</v>
      </c>
      <c r="AO447" t="s">
        <v>221</v>
      </c>
      <c r="AQ447" t="s">
        <v>217</v>
      </c>
      <c r="AS447" t="s">
        <v>837</v>
      </c>
      <c r="AT447" t="s">
        <v>221</v>
      </c>
    </row>
    <row r="448" ht="15.75" customHeight="1" spans="1:46">
      <c r="A448" t="s">
        <v>847</v>
      </c>
      <c r="B448" t="s">
        <v>46</v>
      </c>
      <c r="C448" t="s">
        <v>435</v>
      </c>
      <c r="D448" t="s">
        <v>832</v>
      </c>
      <c r="E448" t="s">
        <v>735</v>
      </c>
      <c r="F448" t="s">
        <v>848</v>
      </c>
      <c r="H448" t="s">
        <v>834</v>
      </c>
      <c r="I448" t="s">
        <v>849</v>
      </c>
      <c r="Q448" t="s">
        <v>57</v>
      </c>
      <c r="R448" t="s">
        <v>850</v>
      </c>
      <c r="S448">
        <v>1</v>
      </c>
      <c r="Y448" t="s">
        <v>851</v>
      </c>
      <c r="Z448">
        <v>8302</v>
      </c>
      <c r="AC448">
        <v>1</v>
      </c>
      <c r="AE448">
        <v>279</v>
      </c>
      <c r="AF448" s="4">
        <v>0.5</v>
      </c>
      <c r="AG448">
        <f t="shared" si="45"/>
        <v>139.5</v>
      </c>
      <c r="AH448" s="4">
        <v>0.18</v>
      </c>
      <c r="AI448">
        <f t="shared" si="40"/>
        <v>164.61</v>
      </c>
      <c r="AJ448" s="4">
        <v>0.2</v>
      </c>
      <c r="AK448">
        <f t="shared" si="41"/>
        <v>32.92</v>
      </c>
      <c r="AL448">
        <f t="shared" si="42"/>
        <v>197.53</v>
      </c>
      <c r="AM448">
        <f t="shared" si="43"/>
        <v>81.47</v>
      </c>
      <c r="AN448" s="4">
        <f t="shared" si="44"/>
        <v>0.292007168458781</v>
      </c>
      <c r="AO448" t="s">
        <v>221</v>
      </c>
      <c r="AQ448" t="s">
        <v>217</v>
      </c>
      <c r="AS448" t="s">
        <v>837</v>
      </c>
      <c r="AT448" t="s">
        <v>221</v>
      </c>
    </row>
    <row r="449" ht="15.75" customHeight="1" spans="1:46">
      <c r="A449" t="s">
        <v>847</v>
      </c>
      <c r="B449" t="s">
        <v>67</v>
      </c>
      <c r="C449" t="s">
        <v>435</v>
      </c>
      <c r="D449" t="s">
        <v>832</v>
      </c>
      <c r="E449" t="s">
        <v>735</v>
      </c>
      <c r="F449" t="s">
        <v>848</v>
      </c>
      <c r="H449" t="s">
        <v>834</v>
      </c>
      <c r="I449" t="s">
        <v>843</v>
      </c>
      <c r="Q449" t="s">
        <v>57</v>
      </c>
      <c r="R449" t="s">
        <v>852</v>
      </c>
      <c r="S449">
        <v>1</v>
      </c>
      <c r="Y449" t="s">
        <v>851</v>
      </c>
      <c r="Z449">
        <v>8302</v>
      </c>
      <c r="AC449">
        <v>1</v>
      </c>
      <c r="AE449">
        <v>279</v>
      </c>
      <c r="AF449" s="4">
        <v>0.5</v>
      </c>
      <c r="AG449">
        <f t="shared" si="45"/>
        <v>139.5</v>
      </c>
      <c r="AH449" s="4">
        <v>0.18</v>
      </c>
      <c r="AI449">
        <f t="shared" si="40"/>
        <v>164.61</v>
      </c>
      <c r="AJ449" s="4">
        <v>0.2</v>
      </c>
      <c r="AK449">
        <f t="shared" si="41"/>
        <v>32.92</v>
      </c>
      <c r="AL449">
        <f t="shared" si="42"/>
        <v>197.53</v>
      </c>
      <c r="AM449">
        <f t="shared" si="43"/>
        <v>81.47</v>
      </c>
      <c r="AN449" s="4">
        <f t="shared" si="44"/>
        <v>0.292007168458781</v>
      </c>
      <c r="AO449" t="s">
        <v>221</v>
      </c>
      <c r="AQ449" t="s">
        <v>217</v>
      </c>
      <c r="AS449" t="s">
        <v>837</v>
      </c>
      <c r="AT449" t="s">
        <v>221</v>
      </c>
    </row>
    <row r="450" ht="15.75" customHeight="1" spans="1:46">
      <c r="A450" t="s">
        <v>847</v>
      </c>
      <c r="B450" t="s">
        <v>71</v>
      </c>
      <c r="C450" t="s">
        <v>435</v>
      </c>
      <c r="D450" t="s">
        <v>832</v>
      </c>
      <c r="E450" t="s">
        <v>735</v>
      </c>
      <c r="F450" t="s">
        <v>848</v>
      </c>
      <c r="H450" t="s">
        <v>834</v>
      </c>
      <c r="I450" t="s">
        <v>853</v>
      </c>
      <c r="Q450" t="s">
        <v>57</v>
      </c>
      <c r="R450" t="s">
        <v>854</v>
      </c>
      <c r="S450">
        <v>1</v>
      </c>
      <c r="Y450" t="s">
        <v>851</v>
      </c>
      <c r="Z450">
        <v>8302</v>
      </c>
      <c r="AC450">
        <v>1</v>
      </c>
      <c r="AE450">
        <v>279</v>
      </c>
      <c r="AF450" s="4">
        <v>0.5</v>
      </c>
      <c r="AG450">
        <f t="shared" si="45"/>
        <v>139.5</v>
      </c>
      <c r="AH450" s="4">
        <v>0.18</v>
      </c>
      <c r="AI450">
        <f t="shared" ref="AI450:AI513" si="46">ROUND(AG450+(AG450*AH450),2)</f>
        <v>164.61</v>
      </c>
      <c r="AJ450" s="4">
        <v>0.2</v>
      </c>
      <c r="AK450">
        <f t="shared" ref="AK450:AK513" si="47">ROUND(AI450*AJ450,2)</f>
        <v>32.92</v>
      </c>
      <c r="AL450">
        <f t="shared" ref="AL450:AL513" si="48">AI450+AK450</f>
        <v>197.53</v>
      </c>
      <c r="AM450">
        <f t="shared" ref="AM450:AM513" si="49">AE450-AL450</f>
        <v>81.47</v>
      </c>
      <c r="AN450" s="4">
        <f t="shared" ref="AN450:AN513" si="50">AM450/AE450</f>
        <v>0.292007168458781</v>
      </c>
      <c r="AO450" t="s">
        <v>221</v>
      </c>
      <c r="AQ450" t="s">
        <v>217</v>
      </c>
      <c r="AS450" t="s">
        <v>837</v>
      </c>
      <c r="AT450" t="s">
        <v>221</v>
      </c>
    </row>
    <row r="451" ht="15.75" customHeight="1" spans="1:46">
      <c r="A451" t="s">
        <v>855</v>
      </c>
      <c r="B451" t="s">
        <v>46</v>
      </c>
      <c r="C451" t="s">
        <v>435</v>
      </c>
      <c r="D451" t="s">
        <v>832</v>
      </c>
      <c r="E451" t="s">
        <v>637</v>
      </c>
      <c r="F451" t="s">
        <v>856</v>
      </c>
      <c r="H451" t="s">
        <v>834</v>
      </c>
      <c r="I451" t="s">
        <v>835</v>
      </c>
      <c r="Q451" t="s">
        <v>57</v>
      </c>
      <c r="R451" t="s">
        <v>857</v>
      </c>
      <c r="S451">
        <v>1</v>
      </c>
      <c r="Y451" t="s">
        <v>858</v>
      </c>
      <c r="Z451">
        <v>8302</v>
      </c>
      <c r="AC451">
        <v>1</v>
      </c>
      <c r="AE451">
        <v>2324</v>
      </c>
      <c r="AF451" s="4">
        <v>0.5</v>
      </c>
      <c r="AG451">
        <f t="shared" si="45"/>
        <v>1162</v>
      </c>
      <c r="AH451" s="4">
        <v>0.18</v>
      </c>
      <c r="AI451">
        <f t="shared" si="46"/>
        <v>1371.16</v>
      </c>
      <c r="AJ451" s="4">
        <v>0.2</v>
      </c>
      <c r="AK451">
        <f t="shared" si="47"/>
        <v>274.23</v>
      </c>
      <c r="AL451">
        <f t="shared" si="48"/>
        <v>1645.39</v>
      </c>
      <c r="AM451">
        <f t="shared" si="49"/>
        <v>678.61</v>
      </c>
      <c r="AN451" s="4">
        <f t="shared" si="50"/>
        <v>0.292000860585198</v>
      </c>
      <c r="AO451" t="s">
        <v>221</v>
      </c>
      <c r="AQ451" t="s">
        <v>217</v>
      </c>
      <c r="AS451" t="s">
        <v>837</v>
      </c>
      <c r="AT451" t="s">
        <v>221</v>
      </c>
    </row>
    <row r="452" ht="15.75" customHeight="1" spans="1:46">
      <c r="A452" t="s">
        <v>855</v>
      </c>
      <c r="B452" t="s">
        <v>67</v>
      </c>
      <c r="C452" t="s">
        <v>435</v>
      </c>
      <c r="D452" t="s">
        <v>832</v>
      </c>
      <c r="E452" t="s">
        <v>637</v>
      </c>
      <c r="F452" t="s">
        <v>856</v>
      </c>
      <c r="H452" t="s">
        <v>834</v>
      </c>
      <c r="I452" t="s">
        <v>843</v>
      </c>
      <c r="Q452" t="s">
        <v>57</v>
      </c>
      <c r="R452" t="s">
        <v>859</v>
      </c>
      <c r="S452">
        <v>1</v>
      </c>
      <c r="Y452" t="s">
        <v>858</v>
      </c>
      <c r="Z452">
        <v>8302</v>
      </c>
      <c r="AC452">
        <v>1</v>
      </c>
      <c r="AE452">
        <v>2324</v>
      </c>
      <c r="AF452" s="4">
        <v>0.5</v>
      </c>
      <c r="AG452">
        <f t="shared" si="45"/>
        <v>1162</v>
      </c>
      <c r="AH452" s="4">
        <v>0.18</v>
      </c>
      <c r="AI452">
        <f t="shared" si="46"/>
        <v>1371.16</v>
      </c>
      <c r="AJ452" s="4">
        <v>0.2</v>
      </c>
      <c r="AK452">
        <f t="shared" si="47"/>
        <v>274.23</v>
      </c>
      <c r="AL452">
        <f t="shared" si="48"/>
        <v>1645.39</v>
      </c>
      <c r="AM452">
        <f t="shared" si="49"/>
        <v>678.61</v>
      </c>
      <c r="AN452" s="4">
        <f t="shared" si="50"/>
        <v>0.292000860585198</v>
      </c>
      <c r="AO452" t="s">
        <v>221</v>
      </c>
      <c r="AQ452" t="s">
        <v>217</v>
      </c>
      <c r="AS452" t="s">
        <v>837</v>
      </c>
      <c r="AT452" t="s">
        <v>221</v>
      </c>
    </row>
    <row r="453" ht="15.75" customHeight="1" spans="1:46">
      <c r="A453" t="s">
        <v>855</v>
      </c>
      <c r="B453" t="s">
        <v>71</v>
      </c>
      <c r="C453" t="s">
        <v>435</v>
      </c>
      <c r="D453" t="s">
        <v>832</v>
      </c>
      <c r="E453" t="s">
        <v>637</v>
      </c>
      <c r="F453" t="s">
        <v>856</v>
      </c>
      <c r="H453" t="s">
        <v>834</v>
      </c>
      <c r="I453" t="s">
        <v>845</v>
      </c>
      <c r="Q453" t="s">
        <v>57</v>
      </c>
      <c r="R453" t="s">
        <v>860</v>
      </c>
      <c r="S453">
        <v>1</v>
      </c>
      <c r="Y453" t="s">
        <v>858</v>
      </c>
      <c r="Z453">
        <v>8302</v>
      </c>
      <c r="AC453">
        <v>1</v>
      </c>
      <c r="AE453">
        <v>3173</v>
      </c>
      <c r="AF453" s="4">
        <v>0.5</v>
      </c>
      <c r="AG453">
        <f t="shared" si="45"/>
        <v>1586.5</v>
      </c>
      <c r="AH453" s="4">
        <v>0.18</v>
      </c>
      <c r="AI453">
        <f t="shared" si="46"/>
        <v>1872.07</v>
      </c>
      <c r="AJ453" s="4">
        <v>0.2</v>
      </c>
      <c r="AK453">
        <f t="shared" si="47"/>
        <v>374.41</v>
      </c>
      <c r="AL453">
        <f t="shared" si="48"/>
        <v>2246.48</v>
      </c>
      <c r="AM453">
        <f t="shared" si="49"/>
        <v>926.52</v>
      </c>
      <c r="AN453" s="4">
        <f t="shared" si="50"/>
        <v>0.292001260636621</v>
      </c>
      <c r="AO453" t="s">
        <v>221</v>
      </c>
      <c r="AQ453" t="s">
        <v>217</v>
      </c>
      <c r="AS453" t="s">
        <v>837</v>
      </c>
      <c r="AT453" t="s">
        <v>221</v>
      </c>
    </row>
    <row r="454" ht="15.75" customHeight="1" spans="1:46">
      <c r="A454" t="s">
        <v>861</v>
      </c>
      <c r="B454" t="s">
        <v>46</v>
      </c>
      <c r="C454" t="s">
        <v>435</v>
      </c>
      <c r="D454" t="s">
        <v>862</v>
      </c>
      <c r="E454" t="s">
        <v>437</v>
      </c>
      <c r="F454" t="s">
        <v>863</v>
      </c>
      <c r="H454" t="s">
        <v>864</v>
      </c>
      <c r="I454" t="s">
        <v>777</v>
      </c>
      <c r="J454" t="s">
        <v>865</v>
      </c>
      <c r="K454">
        <v>2</v>
      </c>
      <c r="L454" t="s">
        <v>53</v>
      </c>
      <c r="M454" t="s">
        <v>866</v>
      </c>
      <c r="Q454" t="s">
        <v>57</v>
      </c>
      <c r="R454">
        <v>9237890</v>
      </c>
      <c r="Y454" t="s">
        <v>867</v>
      </c>
      <c r="Z454">
        <v>8302</v>
      </c>
      <c r="AC454">
        <v>1</v>
      </c>
      <c r="AE454">
        <v>17676</v>
      </c>
      <c r="AF454" s="4">
        <v>0.5</v>
      </c>
      <c r="AG454">
        <f t="shared" si="45"/>
        <v>8838</v>
      </c>
      <c r="AH454" s="4">
        <v>0.18</v>
      </c>
      <c r="AI454">
        <f t="shared" si="46"/>
        <v>10428.84</v>
      </c>
      <c r="AJ454" s="4">
        <v>0.2</v>
      </c>
      <c r="AK454">
        <f t="shared" si="47"/>
        <v>2085.77</v>
      </c>
      <c r="AL454">
        <f t="shared" si="48"/>
        <v>12514.61</v>
      </c>
      <c r="AM454">
        <f t="shared" si="49"/>
        <v>5161.39</v>
      </c>
      <c r="AN454" s="4">
        <f t="shared" si="50"/>
        <v>0.291999886852229</v>
      </c>
      <c r="AO454" t="s">
        <v>221</v>
      </c>
      <c r="AQ454" t="s">
        <v>217</v>
      </c>
      <c r="AS454" t="s">
        <v>868</v>
      </c>
      <c r="AT454" t="s">
        <v>869</v>
      </c>
    </row>
    <row r="455" ht="15.75" customHeight="1" spans="1:46">
      <c r="A455" t="s">
        <v>870</v>
      </c>
      <c r="B455" t="s">
        <v>46</v>
      </c>
      <c r="C455" t="s">
        <v>435</v>
      </c>
      <c r="D455" t="s">
        <v>862</v>
      </c>
      <c r="E455" t="s">
        <v>437</v>
      </c>
      <c r="F455" t="s">
        <v>871</v>
      </c>
      <c r="H455" t="s">
        <v>864</v>
      </c>
      <c r="I455" t="s">
        <v>777</v>
      </c>
      <c r="J455" t="s">
        <v>865</v>
      </c>
      <c r="K455">
        <v>2</v>
      </c>
      <c r="L455" t="s">
        <v>53</v>
      </c>
      <c r="M455" t="s">
        <v>866</v>
      </c>
      <c r="Q455" t="s">
        <v>57</v>
      </c>
      <c r="R455">
        <v>9237852</v>
      </c>
      <c r="Y455" t="s">
        <v>872</v>
      </c>
      <c r="Z455">
        <v>8302</v>
      </c>
      <c r="AC455">
        <v>1</v>
      </c>
      <c r="AE455">
        <v>17676</v>
      </c>
      <c r="AF455" s="4">
        <v>0.5</v>
      </c>
      <c r="AG455">
        <f t="shared" si="45"/>
        <v>8838</v>
      </c>
      <c r="AH455" s="4">
        <v>0.18</v>
      </c>
      <c r="AI455">
        <f t="shared" si="46"/>
        <v>10428.84</v>
      </c>
      <c r="AJ455" s="4">
        <v>0.2</v>
      </c>
      <c r="AK455">
        <f t="shared" si="47"/>
        <v>2085.77</v>
      </c>
      <c r="AL455">
        <f t="shared" si="48"/>
        <v>12514.61</v>
      </c>
      <c r="AM455">
        <f t="shared" si="49"/>
        <v>5161.39</v>
      </c>
      <c r="AN455" s="4">
        <f t="shared" si="50"/>
        <v>0.291999886852229</v>
      </c>
      <c r="AO455" t="s">
        <v>221</v>
      </c>
      <c r="AQ455" t="s">
        <v>217</v>
      </c>
      <c r="AS455" t="s">
        <v>868</v>
      </c>
      <c r="AT455" t="s">
        <v>869</v>
      </c>
    </row>
    <row r="456" ht="15.75" customHeight="1" spans="1:46">
      <c r="A456" t="s">
        <v>873</v>
      </c>
      <c r="B456" t="s">
        <v>46</v>
      </c>
      <c r="C456" t="s">
        <v>435</v>
      </c>
      <c r="D456" t="s">
        <v>862</v>
      </c>
      <c r="E456" t="s">
        <v>437</v>
      </c>
      <c r="F456" t="s">
        <v>874</v>
      </c>
      <c r="H456" t="s">
        <v>864</v>
      </c>
      <c r="I456" t="s">
        <v>777</v>
      </c>
      <c r="J456" t="s">
        <v>865</v>
      </c>
      <c r="K456">
        <v>4</v>
      </c>
      <c r="L456" t="s">
        <v>53</v>
      </c>
      <c r="M456" t="s">
        <v>875</v>
      </c>
      <c r="Q456" t="s">
        <v>57</v>
      </c>
      <c r="R456">
        <v>79013</v>
      </c>
      <c r="Y456" t="s">
        <v>867</v>
      </c>
      <c r="Z456">
        <v>8302</v>
      </c>
      <c r="AC456">
        <v>1</v>
      </c>
      <c r="AE456">
        <v>37880</v>
      </c>
      <c r="AF456" s="4">
        <v>0.5</v>
      </c>
      <c r="AG456">
        <f t="shared" si="45"/>
        <v>18940</v>
      </c>
      <c r="AH456" s="4">
        <v>0.18</v>
      </c>
      <c r="AI456">
        <f t="shared" si="46"/>
        <v>22349.2</v>
      </c>
      <c r="AJ456" s="4">
        <v>0.2</v>
      </c>
      <c r="AK456">
        <f t="shared" si="47"/>
        <v>4469.84</v>
      </c>
      <c r="AL456">
        <f t="shared" si="48"/>
        <v>26819.04</v>
      </c>
      <c r="AM456">
        <f t="shared" si="49"/>
        <v>11060.96</v>
      </c>
      <c r="AN456" s="4">
        <f t="shared" si="50"/>
        <v>0.292</v>
      </c>
      <c r="AO456" t="s">
        <v>221</v>
      </c>
      <c r="AQ456" t="s">
        <v>217</v>
      </c>
      <c r="AS456" t="s">
        <v>868</v>
      </c>
      <c r="AT456" t="s">
        <v>869</v>
      </c>
    </row>
    <row r="457" ht="15.75" customHeight="1" spans="1:46">
      <c r="A457" t="s">
        <v>876</v>
      </c>
      <c r="B457" t="s">
        <v>46</v>
      </c>
      <c r="C457" t="s">
        <v>435</v>
      </c>
      <c r="D457" t="s">
        <v>862</v>
      </c>
      <c r="E457" t="s">
        <v>637</v>
      </c>
      <c r="F457" t="s">
        <v>877</v>
      </c>
      <c r="H457" t="s">
        <v>864</v>
      </c>
      <c r="I457" t="s">
        <v>246</v>
      </c>
      <c r="J457" t="s">
        <v>865</v>
      </c>
      <c r="K457">
        <v>2</v>
      </c>
      <c r="L457" t="s">
        <v>53</v>
      </c>
      <c r="M457" t="s">
        <v>878</v>
      </c>
      <c r="Q457" t="s">
        <v>57</v>
      </c>
      <c r="R457" t="s">
        <v>879</v>
      </c>
      <c r="Y457" t="s">
        <v>880</v>
      </c>
      <c r="Z457">
        <v>8302</v>
      </c>
      <c r="AC457">
        <v>1</v>
      </c>
      <c r="AE457">
        <v>9510</v>
      </c>
      <c r="AF457" s="4">
        <v>0.5</v>
      </c>
      <c r="AG457">
        <f t="shared" si="45"/>
        <v>4755</v>
      </c>
      <c r="AH457" s="4">
        <v>0.18</v>
      </c>
      <c r="AI457">
        <f t="shared" si="46"/>
        <v>5610.9</v>
      </c>
      <c r="AJ457" s="4">
        <v>0.2</v>
      </c>
      <c r="AK457">
        <f t="shared" si="47"/>
        <v>1122.18</v>
      </c>
      <c r="AL457">
        <f t="shared" si="48"/>
        <v>6733.08</v>
      </c>
      <c r="AM457">
        <f t="shared" si="49"/>
        <v>2776.92</v>
      </c>
      <c r="AN457" s="4">
        <f t="shared" si="50"/>
        <v>0.292</v>
      </c>
      <c r="AO457" t="s">
        <v>221</v>
      </c>
      <c r="AQ457" t="s">
        <v>217</v>
      </c>
      <c r="AS457" t="s">
        <v>868</v>
      </c>
      <c r="AT457" t="s">
        <v>869</v>
      </c>
    </row>
    <row r="458" ht="15.75" customHeight="1" spans="1:46">
      <c r="A458" t="s">
        <v>881</v>
      </c>
      <c r="B458" t="s">
        <v>46</v>
      </c>
      <c r="C458" t="s">
        <v>435</v>
      </c>
      <c r="D458" t="s">
        <v>862</v>
      </c>
      <c r="E458" t="s">
        <v>637</v>
      </c>
      <c r="F458" t="s">
        <v>882</v>
      </c>
      <c r="H458" t="s">
        <v>864</v>
      </c>
      <c r="I458" t="s">
        <v>246</v>
      </c>
      <c r="J458" t="s">
        <v>865</v>
      </c>
      <c r="K458">
        <v>3</v>
      </c>
      <c r="L458" t="s">
        <v>53</v>
      </c>
      <c r="M458" t="s">
        <v>883</v>
      </c>
      <c r="Q458" t="s">
        <v>57</v>
      </c>
      <c r="R458" t="s">
        <v>879</v>
      </c>
      <c r="Y458" t="s">
        <v>884</v>
      </c>
      <c r="Z458">
        <v>8302</v>
      </c>
      <c r="AC458">
        <v>1</v>
      </c>
      <c r="AE458">
        <v>11155</v>
      </c>
      <c r="AF458" s="4">
        <v>0.5</v>
      </c>
      <c r="AG458">
        <f t="shared" si="45"/>
        <v>5577.5</v>
      </c>
      <c r="AH458" s="4">
        <v>0.18</v>
      </c>
      <c r="AI458">
        <f t="shared" si="46"/>
        <v>6581.45</v>
      </c>
      <c r="AJ458" s="4">
        <v>0.2</v>
      </c>
      <c r="AK458">
        <f t="shared" si="47"/>
        <v>1316.29</v>
      </c>
      <c r="AL458">
        <f t="shared" si="48"/>
        <v>7897.74</v>
      </c>
      <c r="AM458">
        <f t="shared" si="49"/>
        <v>3257.26</v>
      </c>
      <c r="AN458" s="4">
        <f t="shared" si="50"/>
        <v>0.292</v>
      </c>
      <c r="AO458" t="s">
        <v>221</v>
      </c>
      <c r="AQ458" t="s">
        <v>217</v>
      </c>
      <c r="AS458" t="s">
        <v>868</v>
      </c>
      <c r="AT458" t="s">
        <v>869</v>
      </c>
    </row>
    <row r="459" ht="15.75" customHeight="1" spans="1:46">
      <c r="A459" t="s">
        <v>885</v>
      </c>
      <c r="B459" t="s">
        <v>46</v>
      </c>
      <c r="C459" t="s">
        <v>435</v>
      </c>
      <c r="D459" t="s">
        <v>862</v>
      </c>
      <c r="E459" t="s">
        <v>886</v>
      </c>
      <c r="F459" t="s">
        <v>887</v>
      </c>
      <c r="H459" t="s">
        <v>864</v>
      </c>
      <c r="I459" t="s">
        <v>888</v>
      </c>
      <c r="J459" t="s">
        <v>865</v>
      </c>
      <c r="K459">
        <v>2</v>
      </c>
      <c r="L459" t="s">
        <v>53</v>
      </c>
      <c r="M459" t="s">
        <v>889</v>
      </c>
      <c r="Q459" t="s">
        <v>57</v>
      </c>
      <c r="R459" t="s">
        <v>890</v>
      </c>
      <c r="Y459" t="s">
        <v>891</v>
      </c>
      <c r="Z459">
        <v>8302</v>
      </c>
      <c r="AC459">
        <v>1</v>
      </c>
      <c r="AE459">
        <v>10329</v>
      </c>
      <c r="AF459" s="4">
        <v>0.4</v>
      </c>
      <c r="AG459">
        <f t="shared" si="45"/>
        <v>6197.4</v>
      </c>
      <c r="AH459" s="4">
        <v>0.18</v>
      </c>
      <c r="AI459">
        <f t="shared" si="46"/>
        <v>7312.93</v>
      </c>
      <c r="AJ459" s="4">
        <v>0.1</v>
      </c>
      <c r="AK459">
        <f t="shared" si="47"/>
        <v>731.29</v>
      </c>
      <c r="AL459">
        <f t="shared" si="48"/>
        <v>8044.22</v>
      </c>
      <c r="AM459">
        <f t="shared" si="49"/>
        <v>2284.78</v>
      </c>
      <c r="AN459" s="4">
        <f t="shared" si="50"/>
        <v>0.221200503436925</v>
      </c>
      <c r="AO459" t="s">
        <v>221</v>
      </c>
      <c r="AQ459" t="s">
        <v>217</v>
      </c>
      <c r="AS459" t="s">
        <v>892</v>
      </c>
      <c r="AT459" t="s">
        <v>869</v>
      </c>
    </row>
    <row r="460" ht="15.75" customHeight="1" spans="1:46">
      <c r="A460" t="s">
        <v>885</v>
      </c>
      <c r="B460" t="s">
        <v>67</v>
      </c>
      <c r="C460" t="s">
        <v>435</v>
      </c>
      <c r="D460" t="s">
        <v>862</v>
      </c>
      <c r="E460" t="s">
        <v>886</v>
      </c>
      <c r="F460" t="s">
        <v>887</v>
      </c>
      <c r="H460" t="s">
        <v>864</v>
      </c>
      <c r="I460" t="s">
        <v>888</v>
      </c>
      <c r="J460" t="s">
        <v>865</v>
      </c>
      <c r="K460">
        <v>3</v>
      </c>
      <c r="L460" t="s">
        <v>53</v>
      </c>
      <c r="M460" t="s">
        <v>889</v>
      </c>
      <c r="Q460" t="s">
        <v>57</v>
      </c>
      <c r="R460" t="s">
        <v>890</v>
      </c>
      <c r="Y460" t="s">
        <v>891</v>
      </c>
      <c r="Z460">
        <v>8302</v>
      </c>
      <c r="AE460">
        <v>12997</v>
      </c>
      <c r="AF460" s="4">
        <v>0.4</v>
      </c>
      <c r="AG460">
        <f t="shared" si="45"/>
        <v>7798.2</v>
      </c>
      <c r="AH460" s="4">
        <v>0.18</v>
      </c>
      <c r="AI460">
        <f t="shared" si="46"/>
        <v>9201.88</v>
      </c>
      <c r="AJ460" s="4">
        <v>0.1</v>
      </c>
      <c r="AK460">
        <f t="shared" si="47"/>
        <v>920.19</v>
      </c>
      <c r="AL460">
        <f t="shared" si="48"/>
        <v>10122.07</v>
      </c>
      <c r="AM460">
        <f t="shared" si="49"/>
        <v>2874.93</v>
      </c>
      <c r="AN460" s="4">
        <f t="shared" si="50"/>
        <v>0.221199507578672</v>
      </c>
      <c r="AO460" t="s">
        <v>221</v>
      </c>
      <c r="AQ460" t="s">
        <v>217</v>
      </c>
      <c r="AS460" t="s">
        <v>893</v>
      </c>
      <c r="AT460" t="s">
        <v>869</v>
      </c>
    </row>
    <row r="461" ht="15.75" customHeight="1" spans="1:46">
      <c r="A461" s="10" t="s">
        <v>885</v>
      </c>
      <c r="B461" s="10" t="s">
        <v>71</v>
      </c>
      <c r="C461" s="10" t="s">
        <v>435</v>
      </c>
      <c r="D461" s="10" t="s">
        <v>862</v>
      </c>
      <c r="E461" s="10" t="s">
        <v>886</v>
      </c>
      <c r="F461" s="10" t="s">
        <v>887</v>
      </c>
      <c r="G461" s="10"/>
      <c r="H461" s="10" t="s">
        <v>864</v>
      </c>
      <c r="I461" s="10" t="s">
        <v>888</v>
      </c>
      <c r="J461" s="10" t="s">
        <v>865</v>
      </c>
      <c r="K461" s="10">
        <v>2</v>
      </c>
      <c r="L461" s="10" t="s">
        <v>53</v>
      </c>
      <c r="M461" s="10" t="s">
        <v>894</v>
      </c>
      <c r="N461" s="10"/>
      <c r="O461" s="10"/>
      <c r="P461" s="10"/>
      <c r="Q461" s="10" t="s">
        <v>57</v>
      </c>
      <c r="R461" s="10" t="s">
        <v>895</v>
      </c>
      <c r="S461" s="10"/>
      <c r="T461" s="10"/>
      <c r="U461" s="10"/>
      <c r="V461" s="10"/>
      <c r="W461" s="10"/>
      <c r="X461" s="10"/>
      <c r="Y461" s="10" t="s">
        <v>891</v>
      </c>
      <c r="Z461" s="10">
        <v>8302</v>
      </c>
      <c r="AA461" s="10"/>
      <c r="AB461" s="10"/>
      <c r="AC461" s="10"/>
      <c r="AD461" s="10"/>
      <c r="AE461" s="10">
        <v>12997</v>
      </c>
      <c r="AF461" s="11">
        <v>0.4</v>
      </c>
      <c r="AG461" s="10">
        <f t="shared" si="45"/>
        <v>7798.2</v>
      </c>
      <c r="AH461" s="11">
        <v>0.18</v>
      </c>
      <c r="AI461" s="10">
        <f t="shared" si="46"/>
        <v>9201.88</v>
      </c>
      <c r="AJ461" s="4">
        <v>0.1</v>
      </c>
      <c r="AK461" s="10">
        <f t="shared" si="47"/>
        <v>920.19</v>
      </c>
      <c r="AL461" s="10">
        <f t="shared" si="48"/>
        <v>10122.07</v>
      </c>
      <c r="AM461" s="10">
        <f t="shared" si="49"/>
        <v>2874.93</v>
      </c>
      <c r="AN461" s="11">
        <f t="shared" si="50"/>
        <v>0.221199507578672</v>
      </c>
      <c r="AO461" s="10" t="s">
        <v>221</v>
      </c>
      <c r="AP461" s="10"/>
      <c r="AQ461" s="10" t="s">
        <v>217</v>
      </c>
      <c r="AR461" s="10"/>
      <c r="AS461" s="10" t="s">
        <v>896</v>
      </c>
      <c r="AT461" s="10" t="s">
        <v>558</v>
      </c>
    </row>
    <row r="462" ht="15.75" customHeight="1" spans="1:46">
      <c r="A462" s="10" t="s">
        <v>885</v>
      </c>
      <c r="B462" s="10" t="s">
        <v>75</v>
      </c>
      <c r="C462" s="10" t="s">
        <v>435</v>
      </c>
      <c r="D462" s="10" t="s">
        <v>862</v>
      </c>
      <c r="E462" s="10" t="s">
        <v>886</v>
      </c>
      <c r="F462" s="10" t="s">
        <v>887</v>
      </c>
      <c r="G462" s="10"/>
      <c r="H462" s="10" t="s">
        <v>864</v>
      </c>
      <c r="I462" s="10" t="s">
        <v>888</v>
      </c>
      <c r="J462" s="10" t="s">
        <v>865</v>
      </c>
      <c r="K462" s="10">
        <v>3</v>
      </c>
      <c r="L462" s="10" t="s">
        <v>53</v>
      </c>
      <c r="M462" s="10" t="s">
        <v>894</v>
      </c>
      <c r="N462" s="10"/>
      <c r="O462" s="10"/>
      <c r="P462" s="10"/>
      <c r="Q462" s="10" t="s">
        <v>57</v>
      </c>
      <c r="R462" s="10" t="s">
        <v>895</v>
      </c>
      <c r="S462" s="10"/>
      <c r="T462" s="10"/>
      <c r="U462" s="10"/>
      <c r="V462" s="10"/>
      <c r="W462" s="10"/>
      <c r="X462" s="10"/>
      <c r="Y462" s="10" t="s">
        <v>891</v>
      </c>
      <c r="Z462" s="10">
        <v>8302</v>
      </c>
      <c r="AA462" s="10"/>
      <c r="AB462" s="10"/>
      <c r="AC462" s="10"/>
      <c r="AD462" s="10"/>
      <c r="AE462" s="10">
        <v>21128</v>
      </c>
      <c r="AF462" s="11">
        <v>0.4</v>
      </c>
      <c r="AG462" s="10">
        <f t="shared" si="45"/>
        <v>12676.8</v>
      </c>
      <c r="AH462" s="11">
        <v>0.18</v>
      </c>
      <c r="AI462" s="10">
        <f t="shared" si="46"/>
        <v>14958.62</v>
      </c>
      <c r="AJ462" s="4">
        <v>0.1</v>
      </c>
      <c r="AK462" s="10">
        <f t="shared" si="47"/>
        <v>1495.86</v>
      </c>
      <c r="AL462" s="10">
        <f t="shared" si="48"/>
        <v>16454.48</v>
      </c>
      <c r="AM462" s="10">
        <f t="shared" si="49"/>
        <v>4673.52</v>
      </c>
      <c r="AN462" s="11">
        <f t="shared" si="50"/>
        <v>0.221200302915562</v>
      </c>
      <c r="AO462" s="10" t="s">
        <v>221</v>
      </c>
      <c r="AP462" s="10"/>
      <c r="AQ462" s="10" t="s">
        <v>217</v>
      </c>
      <c r="AR462" s="10"/>
      <c r="AS462" s="10" t="s">
        <v>897</v>
      </c>
      <c r="AT462" s="10" t="s">
        <v>558</v>
      </c>
    </row>
    <row r="463" ht="15.75" customHeight="1" spans="1:46">
      <c r="A463" s="10" t="s">
        <v>898</v>
      </c>
      <c r="B463" s="10" t="s">
        <v>46</v>
      </c>
      <c r="C463" s="10" t="s">
        <v>435</v>
      </c>
      <c r="D463" s="10" t="s">
        <v>862</v>
      </c>
      <c r="E463" s="10" t="s">
        <v>886</v>
      </c>
      <c r="F463" s="10" t="s">
        <v>899</v>
      </c>
      <c r="G463" s="10"/>
      <c r="H463" s="10" t="s">
        <v>864</v>
      </c>
      <c r="I463" s="10" t="s">
        <v>900</v>
      </c>
      <c r="J463" s="10" t="s">
        <v>865</v>
      </c>
      <c r="K463" s="10">
        <v>2</v>
      </c>
      <c r="L463" s="10" t="s">
        <v>53</v>
      </c>
      <c r="M463" s="10" t="s">
        <v>889</v>
      </c>
      <c r="N463" s="10"/>
      <c r="O463" s="10"/>
      <c r="P463" s="10"/>
      <c r="Q463" s="10" t="s">
        <v>57</v>
      </c>
      <c r="R463" s="10" t="s">
        <v>901</v>
      </c>
      <c r="S463" s="10"/>
      <c r="T463" s="10"/>
      <c r="U463" s="10"/>
      <c r="V463" s="10"/>
      <c r="W463" s="10"/>
      <c r="X463" s="10"/>
      <c r="Y463" s="10" t="s">
        <v>902</v>
      </c>
      <c r="Z463" s="10">
        <v>8302</v>
      </c>
      <c r="AA463" s="10"/>
      <c r="AB463" s="10"/>
      <c r="AC463" s="10"/>
      <c r="AD463" s="10"/>
      <c r="AE463" s="10">
        <v>21128</v>
      </c>
      <c r="AF463" s="11">
        <v>0.4</v>
      </c>
      <c r="AG463" s="10">
        <f t="shared" si="45"/>
        <v>12676.8</v>
      </c>
      <c r="AH463" s="11">
        <v>0.18</v>
      </c>
      <c r="AI463" s="10">
        <f t="shared" si="46"/>
        <v>14958.62</v>
      </c>
      <c r="AJ463" s="4">
        <v>0.1</v>
      </c>
      <c r="AK463" s="10">
        <f t="shared" si="47"/>
        <v>1495.86</v>
      </c>
      <c r="AL463" s="10">
        <f t="shared" si="48"/>
        <v>16454.48</v>
      </c>
      <c r="AM463" s="10">
        <f t="shared" si="49"/>
        <v>4673.52</v>
      </c>
      <c r="AN463" s="11">
        <f t="shared" si="50"/>
        <v>0.221200302915562</v>
      </c>
      <c r="AO463" s="10" t="s">
        <v>221</v>
      </c>
      <c r="AP463" s="10"/>
      <c r="AQ463" s="10" t="s">
        <v>217</v>
      </c>
      <c r="AR463" s="10"/>
      <c r="AS463" s="10"/>
      <c r="AT463" s="10" t="s">
        <v>558</v>
      </c>
    </row>
    <row r="464" ht="15.75" customHeight="1" spans="1:46">
      <c r="A464" s="10" t="s">
        <v>898</v>
      </c>
      <c r="B464" s="10" t="s">
        <v>67</v>
      </c>
      <c r="C464" s="10" t="s">
        <v>435</v>
      </c>
      <c r="D464" s="10" t="s">
        <v>862</v>
      </c>
      <c r="E464" s="10" t="s">
        <v>886</v>
      </c>
      <c r="F464" s="10" t="s">
        <v>899</v>
      </c>
      <c r="G464" s="10"/>
      <c r="H464" s="10" t="s">
        <v>864</v>
      </c>
      <c r="I464" s="10" t="s">
        <v>900</v>
      </c>
      <c r="J464" s="10" t="s">
        <v>865</v>
      </c>
      <c r="K464" s="10">
        <v>3</v>
      </c>
      <c r="L464" s="10" t="s">
        <v>53</v>
      </c>
      <c r="M464" s="10" t="s">
        <v>894</v>
      </c>
      <c r="N464" s="10"/>
      <c r="O464" s="10"/>
      <c r="P464" s="10"/>
      <c r="Q464" s="10" t="s">
        <v>57</v>
      </c>
      <c r="R464" s="10" t="s">
        <v>901</v>
      </c>
      <c r="S464" s="10"/>
      <c r="T464" s="10"/>
      <c r="U464" s="10"/>
      <c r="V464" s="10"/>
      <c r="W464" s="10"/>
      <c r="X464" s="10"/>
      <c r="Y464" s="10" t="s">
        <v>903</v>
      </c>
      <c r="Z464" s="10">
        <v>8302</v>
      </c>
      <c r="AA464" s="10"/>
      <c r="AB464" s="10"/>
      <c r="AC464" s="10"/>
      <c r="AD464" s="10"/>
      <c r="AE464" s="10">
        <v>21128</v>
      </c>
      <c r="AF464" s="11">
        <v>0.4</v>
      </c>
      <c r="AG464" s="10">
        <f t="shared" si="45"/>
        <v>12676.8</v>
      </c>
      <c r="AH464" s="11">
        <v>0.18</v>
      </c>
      <c r="AI464" s="10">
        <f t="shared" si="46"/>
        <v>14958.62</v>
      </c>
      <c r="AJ464" s="4">
        <v>0.1</v>
      </c>
      <c r="AK464" s="10">
        <f t="shared" si="47"/>
        <v>1495.86</v>
      </c>
      <c r="AL464" s="10">
        <f t="shared" si="48"/>
        <v>16454.48</v>
      </c>
      <c r="AM464" s="10">
        <f t="shared" si="49"/>
        <v>4673.52</v>
      </c>
      <c r="AN464" s="11">
        <f t="shared" si="50"/>
        <v>0.221200302915562</v>
      </c>
      <c r="AO464" s="10" t="s">
        <v>221</v>
      </c>
      <c r="AP464" s="10"/>
      <c r="AQ464" s="10" t="s">
        <v>217</v>
      </c>
      <c r="AR464" s="10"/>
      <c r="AS464" s="10"/>
      <c r="AT464" s="10" t="s">
        <v>558</v>
      </c>
    </row>
    <row r="465" ht="15.75" customHeight="1" spans="1:46">
      <c r="A465" t="s">
        <v>904</v>
      </c>
      <c r="B465" t="s">
        <v>46</v>
      </c>
      <c r="C465" t="s">
        <v>435</v>
      </c>
      <c r="D465" t="s">
        <v>905</v>
      </c>
      <c r="E465" t="s">
        <v>437</v>
      </c>
      <c r="F465" t="s">
        <v>906</v>
      </c>
      <c r="H465" t="s">
        <v>907</v>
      </c>
      <c r="I465" t="s">
        <v>908</v>
      </c>
      <c r="J465" t="s">
        <v>124</v>
      </c>
      <c r="K465" t="s">
        <v>909</v>
      </c>
      <c r="L465" t="s">
        <v>910</v>
      </c>
      <c r="M465" t="s">
        <v>911</v>
      </c>
      <c r="Q465" t="s">
        <v>57</v>
      </c>
      <c r="R465">
        <v>9348540</v>
      </c>
      <c r="S465">
        <v>10</v>
      </c>
      <c r="V465" t="s">
        <v>912</v>
      </c>
      <c r="Y465" t="s">
        <v>913</v>
      </c>
      <c r="Z465">
        <v>76042990</v>
      </c>
      <c r="AC465">
        <v>1</v>
      </c>
      <c r="AE465">
        <v>3419</v>
      </c>
      <c r="AF465" s="4">
        <v>0.5</v>
      </c>
      <c r="AG465">
        <f t="shared" si="45"/>
        <v>1709.5</v>
      </c>
      <c r="AH465" s="4">
        <v>0.18</v>
      </c>
      <c r="AI465">
        <f t="shared" si="46"/>
        <v>2017.21</v>
      </c>
      <c r="AJ465" s="4">
        <v>0.2</v>
      </c>
      <c r="AK465">
        <f t="shared" si="47"/>
        <v>403.44</v>
      </c>
      <c r="AL465">
        <f t="shared" si="48"/>
        <v>2420.65</v>
      </c>
      <c r="AM465">
        <f t="shared" si="49"/>
        <v>998.35</v>
      </c>
      <c r="AN465" s="4">
        <f t="shared" si="50"/>
        <v>0.292000584966364</v>
      </c>
      <c r="AO465" t="s">
        <v>64</v>
      </c>
      <c r="AQ465" t="s">
        <v>65</v>
      </c>
      <c r="AS465" t="s">
        <v>914</v>
      </c>
      <c r="AT465" t="s">
        <v>869</v>
      </c>
    </row>
    <row r="466" ht="15.75" customHeight="1" spans="1:46">
      <c r="A466" t="s">
        <v>904</v>
      </c>
      <c r="B466" t="s">
        <v>67</v>
      </c>
      <c r="C466" t="s">
        <v>435</v>
      </c>
      <c r="D466" t="s">
        <v>905</v>
      </c>
      <c r="E466" t="s">
        <v>437</v>
      </c>
      <c r="F466" t="s">
        <v>906</v>
      </c>
      <c r="H466" t="s">
        <v>907</v>
      </c>
      <c r="I466" t="s">
        <v>908</v>
      </c>
      <c r="J466" t="s">
        <v>124</v>
      </c>
      <c r="K466" t="s">
        <v>915</v>
      </c>
      <c r="L466" t="s">
        <v>910</v>
      </c>
      <c r="M466" t="s">
        <v>911</v>
      </c>
      <c r="Q466" t="s">
        <v>57</v>
      </c>
      <c r="R466">
        <v>9348539</v>
      </c>
      <c r="S466">
        <v>10</v>
      </c>
      <c r="Y466" t="s">
        <v>916</v>
      </c>
      <c r="Z466">
        <v>76042990</v>
      </c>
      <c r="AC466">
        <v>1</v>
      </c>
      <c r="AE466">
        <v>3287</v>
      </c>
      <c r="AF466" s="4">
        <v>0.5</v>
      </c>
      <c r="AG466">
        <f t="shared" si="45"/>
        <v>1643.5</v>
      </c>
      <c r="AH466" s="4">
        <v>0.18</v>
      </c>
      <c r="AI466">
        <f t="shared" si="46"/>
        <v>1939.33</v>
      </c>
      <c r="AJ466" s="4">
        <v>0.2</v>
      </c>
      <c r="AK466">
        <f t="shared" si="47"/>
        <v>387.87</v>
      </c>
      <c r="AL466">
        <f t="shared" si="48"/>
        <v>2327.2</v>
      </c>
      <c r="AM466">
        <f t="shared" si="49"/>
        <v>959.8</v>
      </c>
      <c r="AN466" s="4">
        <f t="shared" si="50"/>
        <v>0.29199878308488</v>
      </c>
      <c r="AO466" t="s">
        <v>64</v>
      </c>
      <c r="AQ466" t="s">
        <v>65</v>
      </c>
      <c r="AS466" t="s">
        <v>914</v>
      </c>
      <c r="AT466" t="s">
        <v>869</v>
      </c>
    </row>
    <row r="467" ht="15.75" customHeight="1" spans="1:46">
      <c r="A467" t="s">
        <v>904</v>
      </c>
      <c r="B467" t="s">
        <v>71</v>
      </c>
      <c r="C467" t="s">
        <v>435</v>
      </c>
      <c r="D467" t="s">
        <v>905</v>
      </c>
      <c r="E467" t="s">
        <v>437</v>
      </c>
      <c r="F467" t="s">
        <v>906</v>
      </c>
      <c r="H467" t="s">
        <v>907</v>
      </c>
      <c r="I467" t="s">
        <v>908</v>
      </c>
      <c r="J467" t="s">
        <v>124</v>
      </c>
      <c r="K467" t="s">
        <v>442</v>
      </c>
      <c r="L467" t="s">
        <v>910</v>
      </c>
      <c r="M467" t="s">
        <v>911</v>
      </c>
      <c r="Q467" t="s">
        <v>57</v>
      </c>
      <c r="R467">
        <v>9348537</v>
      </c>
      <c r="S467">
        <v>10</v>
      </c>
      <c r="Y467" t="s">
        <v>917</v>
      </c>
      <c r="Z467">
        <v>76042990</v>
      </c>
      <c r="AC467">
        <v>1</v>
      </c>
      <c r="AE467">
        <v>3287</v>
      </c>
      <c r="AF467" s="4">
        <v>0.5</v>
      </c>
      <c r="AG467">
        <f t="shared" si="45"/>
        <v>1643.5</v>
      </c>
      <c r="AH467" s="4">
        <v>0.18</v>
      </c>
      <c r="AI467">
        <f t="shared" si="46"/>
        <v>1939.33</v>
      </c>
      <c r="AJ467" s="4">
        <v>0.2</v>
      </c>
      <c r="AK467">
        <f t="shared" si="47"/>
        <v>387.87</v>
      </c>
      <c r="AL467">
        <f t="shared" si="48"/>
        <v>2327.2</v>
      </c>
      <c r="AM467">
        <f t="shared" si="49"/>
        <v>959.8</v>
      </c>
      <c r="AN467" s="4">
        <f t="shared" si="50"/>
        <v>0.29199878308488</v>
      </c>
      <c r="AO467" t="s">
        <v>64</v>
      </c>
      <c r="AQ467" t="s">
        <v>65</v>
      </c>
      <c r="AS467" t="s">
        <v>914</v>
      </c>
      <c r="AT467" t="s">
        <v>869</v>
      </c>
    </row>
    <row r="468" ht="15.75" customHeight="1" spans="1:46">
      <c r="A468" t="s">
        <v>918</v>
      </c>
      <c r="B468" t="s">
        <v>46</v>
      </c>
      <c r="C468" t="s">
        <v>435</v>
      </c>
      <c r="D468" t="s">
        <v>905</v>
      </c>
      <c r="E468" t="s">
        <v>437</v>
      </c>
      <c r="F468" t="s">
        <v>919</v>
      </c>
      <c r="H468" t="s">
        <v>907</v>
      </c>
      <c r="I468" t="s">
        <v>920</v>
      </c>
      <c r="J468" t="s">
        <v>124</v>
      </c>
      <c r="K468" t="s">
        <v>909</v>
      </c>
      <c r="L468" t="s">
        <v>910</v>
      </c>
      <c r="M468" t="s">
        <v>911</v>
      </c>
      <c r="Q468" t="s">
        <v>57</v>
      </c>
      <c r="R468">
        <v>9348531</v>
      </c>
      <c r="S468">
        <v>10</v>
      </c>
      <c r="V468" t="s">
        <v>912</v>
      </c>
      <c r="Y468" t="s">
        <v>921</v>
      </c>
      <c r="Z468">
        <v>76042990</v>
      </c>
      <c r="AC468">
        <v>1</v>
      </c>
      <c r="AE468">
        <v>2891</v>
      </c>
      <c r="AF468" s="4">
        <v>0.5</v>
      </c>
      <c r="AG468">
        <f t="shared" si="45"/>
        <v>1445.5</v>
      </c>
      <c r="AH468" s="4">
        <v>0.18</v>
      </c>
      <c r="AI468">
        <f t="shared" si="46"/>
        <v>1705.69</v>
      </c>
      <c r="AJ468" s="4">
        <v>0.2</v>
      </c>
      <c r="AK468">
        <f t="shared" si="47"/>
        <v>341.14</v>
      </c>
      <c r="AL468">
        <f t="shared" si="48"/>
        <v>2046.83</v>
      </c>
      <c r="AM468">
        <f t="shared" si="49"/>
        <v>844.17</v>
      </c>
      <c r="AN468" s="4">
        <f t="shared" si="50"/>
        <v>0.291999308197855</v>
      </c>
      <c r="AO468" t="s">
        <v>64</v>
      </c>
      <c r="AQ468" t="s">
        <v>65</v>
      </c>
      <c r="AS468" t="s">
        <v>914</v>
      </c>
      <c r="AT468" t="s">
        <v>869</v>
      </c>
    </row>
    <row r="469" ht="15.75" customHeight="1" spans="1:46">
      <c r="A469" t="s">
        <v>918</v>
      </c>
      <c r="B469" t="s">
        <v>67</v>
      </c>
      <c r="C469" t="s">
        <v>435</v>
      </c>
      <c r="D469" t="s">
        <v>905</v>
      </c>
      <c r="E469" t="s">
        <v>437</v>
      </c>
      <c r="F469" t="s">
        <v>919</v>
      </c>
      <c r="H469" t="s">
        <v>907</v>
      </c>
      <c r="I469" t="s">
        <v>920</v>
      </c>
      <c r="J469" t="s">
        <v>124</v>
      </c>
      <c r="K469" t="s">
        <v>915</v>
      </c>
      <c r="L469" t="s">
        <v>910</v>
      </c>
      <c r="M469" t="s">
        <v>911</v>
      </c>
      <c r="Q469" t="s">
        <v>57</v>
      </c>
      <c r="R469">
        <v>9348530</v>
      </c>
      <c r="S469">
        <v>10</v>
      </c>
      <c r="Y469" t="s">
        <v>922</v>
      </c>
      <c r="Z469">
        <v>76042990</v>
      </c>
      <c r="AC469">
        <v>1</v>
      </c>
      <c r="AE469">
        <v>2627</v>
      </c>
      <c r="AF469" s="4">
        <v>0.5</v>
      </c>
      <c r="AG469">
        <f t="shared" si="45"/>
        <v>1313.5</v>
      </c>
      <c r="AH469" s="4">
        <v>0.18</v>
      </c>
      <c r="AI469">
        <f t="shared" si="46"/>
        <v>1549.93</v>
      </c>
      <c r="AJ469" s="4">
        <v>0.2</v>
      </c>
      <c r="AK469">
        <f t="shared" si="47"/>
        <v>309.99</v>
      </c>
      <c r="AL469">
        <f t="shared" si="48"/>
        <v>1859.92</v>
      </c>
      <c r="AM469">
        <f t="shared" si="49"/>
        <v>767.08</v>
      </c>
      <c r="AN469" s="4">
        <f t="shared" si="50"/>
        <v>0.29199847735059</v>
      </c>
      <c r="AO469" t="s">
        <v>64</v>
      </c>
      <c r="AQ469" t="s">
        <v>65</v>
      </c>
      <c r="AS469" t="s">
        <v>914</v>
      </c>
      <c r="AT469" t="s">
        <v>869</v>
      </c>
    </row>
    <row r="470" ht="15.75" customHeight="1" spans="1:46">
      <c r="A470" t="s">
        <v>918</v>
      </c>
      <c r="B470" t="s">
        <v>71</v>
      </c>
      <c r="C470" t="s">
        <v>435</v>
      </c>
      <c r="D470" t="s">
        <v>905</v>
      </c>
      <c r="E470" t="s">
        <v>437</v>
      </c>
      <c r="F470" t="s">
        <v>919</v>
      </c>
      <c r="H470" t="s">
        <v>907</v>
      </c>
      <c r="I470" t="s">
        <v>920</v>
      </c>
      <c r="J470" t="s">
        <v>124</v>
      </c>
      <c r="K470" t="s">
        <v>442</v>
      </c>
      <c r="L470" t="s">
        <v>910</v>
      </c>
      <c r="M470" t="s">
        <v>911</v>
      </c>
      <c r="Q470" t="s">
        <v>57</v>
      </c>
      <c r="R470">
        <v>9348528</v>
      </c>
      <c r="S470">
        <v>10</v>
      </c>
      <c r="Y470" t="s">
        <v>923</v>
      </c>
      <c r="Z470">
        <v>76042990</v>
      </c>
      <c r="AC470">
        <v>1</v>
      </c>
      <c r="AE470">
        <v>2627</v>
      </c>
      <c r="AF470" s="4">
        <v>0.5</v>
      </c>
      <c r="AG470">
        <f t="shared" si="45"/>
        <v>1313.5</v>
      </c>
      <c r="AH470" s="4">
        <v>0.18</v>
      </c>
      <c r="AI470">
        <f t="shared" si="46"/>
        <v>1549.93</v>
      </c>
      <c r="AJ470" s="4">
        <v>0.2</v>
      </c>
      <c r="AK470">
        <f t="shared" si="47"/>
        <v>309.99</v>
      </c>
      <c r="AL470">
        <f t="shared" si="48"/>
        <v>1859.92</v>
      </c>
      <c r="AM470">
        <f t="shared" si="49"/>
        <v>767.08</v>
      </c>
      <c r="AN470" s="4">
        <f t="shared" si="50"/>
        <v>0.29199847735059</v>
      </c>
      <c r="AO470" t="s">
        <v>64</v>
      </c>
      <c r="AQ470" t="s">
        <v>65</v>
      </c>
      <c r="AS470" t="s">
        <v>914</v>
      </c>
      <c r="AT470" t="s">
        <v>869</v>
      </c>
    </row>
    <row r="471" ht="15.75" customHeight="1" spans="1:46">
      <c r="A471" t="s">
        <v>924</v>
      </c>
      <c r="B471" t="s">
        <v>46</v>
      </c>
      <c r="C471" t="s">
        <v>435</v>
      </c>
      <c r="D471" t="s">
        <v>925</v>
      </c>
      <c r="E471" t="s">
        <v>437</v>
      </c>
      <c r="F471" t="s">
        <v>926</v>
      </c>
      <c r="H471" t="s">
        <v>51</v>
      </c>
      <c r="I471" t="s">
        <v>927</v>
      </c>
      <c r="J471" t="s">
        <v>124</v>
      </c>
      <c r="K471" t="s">
        <v>442</v>
      </c>
      <c r="L471" t="s">
        <v>910</v>
      </c>
      <c r="M471" t="s">
        <v>928</v>
      </c>
      <c r="Q471" t="s">
        <v>57</v>
      </c>
      <c r="R471">
        <v>9345616</v>
      </c>
      <c r="S471">
        <v>10</v>
      </c>
      <c r="Y471" t="s">
        <v>929</v>
      </c>
      <c r="Z471">
        <v>76042990</v>
      </c>
      <c r="AC471">
        <v>1</v>
      </c>
      <c r="AE471">
        <v>3234</v>
      </c>
      <c r="AF471" s="4">
        <v>0.5</v>
      </c>
      <c r="AG471">
        <f t="shared" ref="AG471:AG534" si="51">ROUND(AE471-(AE471*AF471),2)</f>
        <v>1617</v>
      </c>
      <c r="AH471" s="4">
        <v>0.18</v>
      </c>
      <c r="AI471">
        <f t="shared" si="46"/>
        <v>1908.06</v>
      </c>
      <c r="AJ471" s="4">
        <v>0.2</v>
      </c>
      <c r="AK471">
        <f t="shared" si="47"/>
        <v>381.61</v>
      </c>
      <c r="AL471">
        <f t="shared" si="48"/>
        <v>2289.67</v>
      </c>
      <c r="AM471">
        <f t="shared" si="49"/>
        <v>944.33</v>
      </c>
      <c r="AN471" s="4">
        <f t="shared" si="50"/>
        <v>0.29200061842919</v>
      </c>
      <c r="AO471" t="s">
        <v>221</v>
      </c>
      <c r="AQ471" t="s">
        <v>217</v>
      </c>
      <c r="AS471" t="s">
        <v>930</v>
      </c>
      <c r="AT471" t="s">
        <v>869</v>
      </c>
    </row>
    <row r="472" ht="15.75" customHeight="1" spans="1:46">
      <c r="A472" t="s">
        <v>924</v>
      </c>
      <c r="B472" t="s">
        <v>67</v>
      </c>
      <c r="C472" t="s">
        <v>435</v>
      </c>
      <c r="D472" t="s">
        <v>925</v>
      </c>
      <c r="E472" t="s">
        <v>437</v>
      </c>
      <c r="F472" t="s">
        <v>926</v>
      </c>
      <c r="H472" t="s">
        <v>51</v>
      </c>
      <c r="I472" t="s">
        <v>927</v>
      </c>
      <c r="J472" t="s">
        <v>124</v>
      </c>
      <c r="K472" t="s">
        <v>909</v>
      </c>
      <c r="L472" t="s">
        <v>910</v>
      </c>
      <c r="M472" t="s">
        <v>928</v>
      </c>
      <c r="Q472" t="s">
        <v>57</v>
      </c>
      <c r="R472">
        <v>9345619</v>
      </c>
      <c r="S472">
        <v>10</v>
      </c>
      <c r="Y472" t="s">
        <v>931</v>
      </c>
      <c r="Z472">
        <v>76042990</v>
      </c>
      <c r="AC472">
        <v>1</v>
      </c>
      <c r="AE472">
        <v>3600</v>
      </c>
      <c r="AF472" s="4">
        <v>0.5</v>
      </c>
      <c r="AG472">
        <f t="shared" si="51"/>
        <v>1800</v>
      </c>
      <c r="AH472" s="4">
        <v>0.18</v>
      </c>
      <c r="AI472">
        <f t="shared" si="46"/>
        <v>2124</v>
      </c>
      <c r="AJ472" s="4">
        <v>0.2</v>
      </c>
      <c r="AK472">
        <f t="shared" si="47"/>
        <v>424.8</v>
      </c>
      <c r="AL472">
        <f t="shared" si="48"/>
        <v>2548.8</v>
      </c>
      <c r="AM472">
        <f t="shared" si="49"/>
        <v>1051.2</v>
      </c>
      <c r="AN472" s="4">
        <f t="shared" si="50"/>
        <v>0.292</v>
      </c>
      <c r="AO472" t="s">
        <v>221</v>
      </c>
      <c r="AQ472" t="s">
        <v>217</v>
      </c>
      <c r="AS472" t="s">
        <v>930</v>
      </c>
      <c r="AT472" t="s">
        <v>869</v>
      </c>
    </row>
    <row r="473" ht="15.75" customHeight="1" spans="1:46">
      <c r="A473" t="s">
        <v>924</v>
      </c>
      <c r="B473" t="s">
        <v>71</v>
      </c>
      <c r="C473" t="s">
        <v>435</v>
      </c>
      <c r="D473" t="s">
        <v>925</v>
      </c>
      <c r="E473" t="s">
        <v>437</v>
      </c>
      <c r="F473" t="s">
        <v>926</v>
      </c>
      <c r="H473" t="s">
        <v>51</v>
      </c>
      <c r="I473" t="s">
        <v>927</v>
      </c>
      <c r="J473" t="s">
        <v>124</v>
      </c>
      <c r="K473" t="s">
        <v>915</v>
      </c>
      <c r="L473" t="s">
        <v>910</v>
      </c>
      <c r="M473" t="s">
        <v>928</v>
      </c>
      <c r="Q473" t="s">
        <v>57</v>
      </c>
      <c r="R473">
        <v>9345618</v>
      </c>
      <c r="S473">
        <v>10</v>
      </c>
      <c r="Y473" t="s">
        <v>932</v>
      </c>
      <c r="Z473">
        <v>76042990</v>
      </c>
      <c r="AC473">
        <v>1</v>
      </c>
      <c r="AE473">
        <v>3234</v>
      </c>
      <c r="AF473" s="4">
        <v>0.5</v>
      </c>
      <c r="AG473">
        <f t="shared" si="51"/>
        <v>1617</v>
      </c>
      <c r="AH473" s="4">
        <v>0.18</v>
      </c>
      <c r="AI473">
        <f t="shared" si="46"/>
        <v>1908.06</v>
      </c>
      <c r="AJ473" s="4">
        <v>0.2</v>
      </c>
      <c r="AK473">
        <f t="shared" si="47"/>
        <v>381.61</v>
      </c>
      <c r="AL473">
        <f t="shared" si="48"/>
        <v>2289.67</v>
      </c>
      <c r="AM473">
        <f t="shared" si="49"/>
        <v>944.33</v>
      </c>
      <c r="AN473" s="4">
        <f t="shared" si="50"/>
        <v>0.29200061842919</v>
      </c>
      <c r="AO473" t="s">
        <v>221</v>
      </c>
      <c r="AQ473" t="s">
        <v>217</v>
      </c>
      <c r="AS473" t="s">
        <v>930</v>
      </c>
      <c r="AT473" t="s">
        <v>869</v>
      </c>
    </row>
    <row r="474" ht="15.75" customHeight="1" spans="1:46">
      <c r="A474" t="s">
        <v>924</v>
      </c>
      <c r="B474" t="s">
        <v>75</v>
      </c>
      <c r="C474" t="s">
        <v>435</v>
      </c>
      <c r="D474" t="s">
        <v>925</v>
      </c>
      <c r="E474" t="s">
        <v>437</v>
      </c>
      <c r="F474" t="s">
        <v>926</v>
      </c>
      <c r="H474" t="s">
        <v>51</v>
      </c>
      <c r="I474" t="s">
        <v>933</v>
      </c>
      <c r="J474" t="s">
        <v>124</v>
      </c>
      <c r="K474" t="s">
        <v>442</v>
      </c>
      <c r="L474" t="s">
        <v>910</v>
      </c>
      <c r="M474" t="s">
        <v>934</v>
      </c>
      <c r="Q474" t="s">
        <v>57</v>
      </c>
      <c r="R474">
        <v>9345624</v>
      </c>
      <c r="S474">
        <v>10</v>
      </c>
      <c r="Y474" t="s">
        <v>935</v>
      </c>
      <c r="Z474">
        <v>76042990</v>
      </c>
      <c r="AC474">
        <v>1</v>
      </c>
      <c r="AE474">
        <v>2574</v>
      </c>
      <c r="AF474" s="4">
        <v>0.5</v>
      </c>
      <c r="AG474">
        <f t="shared" si="51"/>
        <v>1287</v>
      </c>
      <c r="AH474" s="4">
        <v>0.18</v>
      </c>
      <c r="AI474">
        <f t="shared" si="46"/>
        <v>1518.66</v>
      </c>
      <c r="AJ474" s="4">
        <v>0.2</v>
      </c>
      <c r="AK474">
        <f t="shared" si="47"/>
        <v>303.73</v>
      </c>
      <c r="AL474">
        <f t="shared" si="48"/>
        <v>1822.39</v>
      </c>
      <c r="AM474">
        <f t="shared" si="49"/>
        <v>751.61</v>
      </c>
      <c r="AN474" s="4">
        <f t="shared" si="50"/>
        <v>0.292000777000777</v>
      </c>
      <c r="AO474" t="s">
        <v>221</v>
      </c>
      <c r="AQ474" t="s">
        <v>217</v>
      </c>
      <c r="AS474" t="s">
        <v>930</v>
      </c>
      <c r="AT474" t="s">
        <v>869</v>
      </c>
    </row>
    <row r="475" ht="15.75" customHeight="1" spans="1:46">
      <c r="A475" t="s">
        <v>924</v>
      </c>
      <c r="B475" t="s">
        <v>79</v>
      </c>
      <c r="C475" t="s">
        <v>435</v>
      </c>
      <c r="D475" t="s">
        <v>925</v>
      </c>
      <c r="E475" t="s">
        <v>437</v>
      </c>
      <c r="F475" t="s">
        <v>926</v>
      </c>
      <c r="H475" t="s">
        <v>51</v>
      </c>
      <c r="I475" t="s">
        <v>933</v>
      </c>
      <c r="J475" t="s">
        <v>124</v>
      </c>
      <c r="K475" t="s">
        <v>909</v>
      </c>
      <c r="L475" t="s">
        <v>910</v>
      </c>
      <c r="M475" t="s">
        <v>934</v>
      </c>
      <c r="Q475" t="s">
        <v>57</v>
      </c>
      <c r="R475">
        <v>9345627</v>
      </c>
      <c r="S475">
        <v>10</v>
      </c>
      <c r="Y475" t="s">
        <v>936</v>
      </c>
      <c r="Z475">
        <v>76042990</v>
      </c>
      <c r="AC475">
        <v>1</v>
      </c>
      <c r="AE475">
        <v>2880</v>
      </c>
      <c r="AF475" s="4">
        <v>0.5</v>
      </c>
      <c r="AG475">
        <f t="shared" si="51"/>
        <v>1440</v>
      </c>
      <c r="AH475" s="4">
        <v>0.18</v>
      </c>
      <c r="AI475">
        <f t="shared" si="46"/>
        <v>1699.2</v>
      </c>
      <c r="AJ475" s="4">
        <v>0.2</v>
      </c>
      <c r="AK475">
        <f t="shared" si="47"/>
        <v>339.84</v>
      </c>
      <c r="AL475">
        <f t="shared" si="48"/>
        <v>2039.04</v>
      </c>
      <c r="AM475">
        <f t="shared" si="49"/>
        <v>840.96</v>
      </c>
      <c r="AN475" s="4">
        <f t="shared" si="50"/>
        <v>0.292</v>
      </c>
      <c r="AO475" t="s">
        <v>221</v>
      </c>
      <c r="AQ475" t="s">
        <v>217</v>
      </c>
      <c r="AS475" t="s">
        <v>930</v>
      </c>
      <c r="AT475" t="s">
        <v>869</v>
      </c>
    </row>
    <row r="476" ht="15.75" customHeight="1" spans="1:46">
      <c r="A476" t="s">
        <v>924</v>
      </c>
      <c r="B476" t="s">
        <v>83</v>
      </c>
      <c r="C476" t="s">
        <v>435</v>
      </c>
      <c r="D476" t="s">
        <v>925</v>
      </c>
      <c r="E476" t="s">
        <v>437</v>
      </c>
      <c r="F476" t="s">
        <v>926</v>
      </c>
      <c r="H476" t="s">
        <v>51</v>
      </c>
      <c r="I476" t="s">
        <v>933</v>
      </c>
      <c r="J476" t="s">
        <v>124</v>
      </c>
      <c r="K476" t="s">
        <v>915</v>
      </c>
      <c r="L476" t="s">
        <v>910</v>
      </c>
      <c r="M476" t="s">
        <v>934</v>
      </c>
      <c r="Q476" t="s">
        <v>57</v>
      </c>
      <c r="R476">
        <v>9345626</v>
      </c>
      <c r="S476">
        <v>10</v>
      </c>
      <c r="Y476" t="s">
        <v>937</v>
      </c>
      <c r="Z476">
        <v>76042990</v>
      </c>
      <c r="AC476">
        <v>1</v>
      </c>
      <c r="AE476">
        <v>2574</v>
      </c>
      <c r="AF476" s="4">
        <v>0.5</v>
      </c>
      <c r="AG476">
        <f t="shared" si="51"/>
        <v>1287</v>
      </c>
      <c r="AH476" s="4">
        <v>0.18</v>
      </c>
      <c r="AI476">
        <f t="shared" si="46"/>
        <v>1518.66</v>
      </c>
      <c r="AJ476" s="4">
        <v>0.2</v>
      </c>
      <c r="AK476">
        <f t="shared" si="47"/>
        <v>303.73</v>
      </c>
      <c r="AL476">
        <f t="shared" si="48"/>
        <v>1822.39</v>
      </c>
      <c r="AM476">
        <f t="shared" si="49"/>
        <v>751.61</v>
      </c>
      <c r="AN476" s="4">
        <f t="shared" si="50"/>
        <v>0.292000777000777</v>
      </c>
      <c r="AO476" t="s">
        <v>221</v>
      </c>
      <c r="AQ476" t="s">
        <v>217</v>
      </c>
      <c r="AS476" t="s">
        <v>930</v>
      </c>
      <c r="AT476" t="s">
        <v>869</v>
      </c>
    </row>
    <row r="477" ht="15.75" customHeight="1" spans="1:46">
      <c r="A477" t="s">
        <v>938</v>
      </c>
      <c r="B477" t="s">
        <v>46</v>
      </c>
      <c r="C477" t="s">
        <v>435</v>
      </c>
      <c r="D477" t="s">
        <v>925</v>
      </c>
      <c r="E477" t="s">
        <v>437</v>
      </c>
      <c r="F477" t="s">
        <v>939</v>
      </c>
      <c r="H477" t="s">
        <v>51</v>
      </c>
      <c r="I477" t="s">
        <v>927</v>
      </c>
      <c r="J477" t="s">
        <v>124</v>
      </c>
      <c r="K477" t="s">
        <v>442</v>
      </c>
      <c r="L477" t="s">
        <v>910</v>
      </c>
      <c r="M477" t="s">
        <v>940</v>
      </c>
      <c r="Q477" t="s">
        <v>57</v>
      </c>
      <c r="R477">
        <v>9345880</v>
      </c>
      <c r="Y477" t="s">
        <v>941</v>
      </c>
      <c r="Z477">
        <v>76042990</v>
      </c>
      <c r="AC477">
        <v>1</v>
      </c>
      <c r="AE477">
        <v>5188</v>
      </c>
      <c r="AF477" s="4">
        <v>0.5</v>
      </c>
      <c r="AG477">
        <f t="shared" si="51"/>
        <v>2594</v>
      </c>
      <c r="AH477" s="4">
        <v>0.18</v>
      </c>
      <c r="AI477">
        <f t="shared" si="46"/>
        <v>3060.92</v>
      </c>
      <c r="AJ477" s="4">
        <v>0.2</v>
      </c>
      <c r="AK477">
        <f t="shared" si="47"/>
        <v>612.18</v>
      </c>
      <c r="AL477">
        <f t="shared" si="48"/>
        <v>3673.1</v>
      </c>
      <c r="AM477">
        <f t="shared" si="49"/>
        <v>1514.9</v>
      </c>
      <c r="AN477" s="4">
        <f t="shared" si="50"/>
        <v>0.292000771010023</v>
      </c>
      <c r="AO477" t="s">
        <v>221</v>
      </c>
      <c r="AQ477" t="s">
        <v>217</v>
      </c>
      <c r="AS477" t="s">
        <v>942</v>
      </c>
      <c r="AT477" t="s">
        <v>869</v>
      </c>
    </row>
    <row r="478" ht="15.75" customHeight="1" spans="1:46">
      <c r="A478" t="s">
        <v>938</v>
      </c>
      <c r="B478" t="s">
        <v>67</v>
      </c>
      <c r="C478" t="s">
        <v>435</v>
      </c>
      <c r="D478" t="s">
        <v>925</v>
      </c>
      <c r="E478" t="s">
        <v>437</v>
      </c>
      <c r="F478" t="s">
        <v>939</v>
      </c>
      <c r="H478" t="s">
        <v>51</v>
      </c>
      <c r="I478" t="s">
        <v>927</v>
      </c>
      <c r="J478" t="s">
        <v>124</v>
      </c>
      <c r="K478" t="s">
        <v>909</v>
      </c>
      <c r="L478" t="s">
        <v>910</v>
      </c>
      <c r="M478" t="s">
        <v>940</v>
      </c>
      <c r="Q478" t="s">
        <v>57</v>
      </c>
      <c r="R478">
        <v>9345883</v>
      </c>
      <c r="Y478" t="s">
        <v>943</v>
      </c>
      <c r="Z478">
        <v>76042990</v>
      </c>
      <c r="AC478">
        <v>1</v>
      </c>
      <c r="AE478">
        <v>5820</v>
      </c>
      <c r="AF478" s="4">
        <v>0.5</v>
      </c>
      <c r="AG478">
        <f t="shared" si="51"/>
        <v>2910</v>
      </c>
      <c r="AH478" s="4">
        <v>0.18</v>
      </c>
      <c r="AI478">
        <f t="shared" si="46"/>
        <v>3433.8</v>
      </c>
      <c r="AJ478" s="4">
        <v>0.2</v>
      </c>
      <c r="AK478">
        <f t="shared" si="47"/>
        <v>686.76</v>
      </c>
      <c r="AL478">
        <f t="shared" si="48"/>
        <v>4120.56</v>
      </c>
      <c r="AM478">
        <f t="shared" si="49"/>
        <v>1699.44</v>
      </c>
      <c r="AN478" s="4">
        <f t="shared" si="50"/>
        <v>0.292</v>
      </c>
      <c r="AO478" t="s">
        <v>221</v>
      </c>
      <c r="AQ478" t="s">
        <v>217</v>
      </c>
      <c r="AS478" t="s">
        <v>942</v>
      </c>
      <c r="AT478" t="s">
        <v>869</v>
      </c>
    </row>
    <row r="479" ht="15.75" customHeight="1" spans="1:46">
      <c r="A479" t="s">
        <v>938</v>
      </c>
      <c r="B479" t="s">
        <v>71</v>
      </c>
      <c r="C479" t="s">
        <v>435</v>
      </c>
      <c r="D479" t="s">
        <v>925</v>
      </c>
      <c r="E479" t="s">
        <v>437</v>
      </c>
      <c r="F479" t="s">
        <v>939</v>
      </c>
      <c r="H479" t="s">
        <v>51</v>
      </c>
      <c r="I479" t="s">
        <v>927</v>
      </c>
      <c r="J479" t="s">
        <v>124</v>
      </c>
      <c r="K479" t="s">
        <v>915</v>
      </c>
      <c r="L479" t="s">
        <v>910</v>
      </c>
      <c r="M479" t="s">
        <v>940</v>
      </c>
      <c r="Q479" t="s">
        <v>57</v>
      </c>
      <c r="R479">
        <v>9345882</v>
      </c>
      <c r="Y479" t="s">
        <v>944</v>
      </c>
      <c r="Z479">
        <v>76042990</v>
      </c>
      <c r="AC479">
        <v>1</v>
      </c>
      <c r="AE479">
        <v>5188</v>
      </c>
      <c r="AF479" s="4">
        <v>0.5</v>
      </c>
      <c r="AG479">
        <f t="shared" si="51"/>
        <v>2594</v>
      </c>
      <c r="AH479" s="4">
        <v>0.18</v>
      </c>
      <c r="AI479">
        <f t="shared" si="46"/>
        <v>3060.92</v>
      </c>
      <c r="AJ479" s="4">
        <v>0.2</v>
      </c>
      <c r="AK479">
        <f t="shared" si="47"/>
        <v>612.18</v>
      </c>
      <c r="AL479">
        <f t="shared" si="48"/>
        <v>3673.1</v>
      </c>
      <c r="AM479">
        <f t="shared" si="49"/>
        <v>1514.9</v>
      </c>
      <c r="AN479" s="4">
        <f t="shared" si="50"/>
        <v>0.292000771010023</v>
      </c>
      <c r="AO479" t="s">
        <v>221</v>
      </c>
      <c r="AQ479" t="s">
        <v>217</v>
      </c>
      <c r="AS479" t="s">
        <v>942</v>
      </c>
      <c r="AT479" t="s">
        <v>869</v>
      </c>
    </row>
    <row r="480" ht="15.75" customHeight="1" spans="1:46">
      <c r="A480" t="s">
        <v>938</v>
      </c>
      <c r="B480" t="s">
        <v>75</v>
      </c>
      <c r="C480" t="s">
        <v>435</v>
      </c>
      <c r="D480" t="s">
        <v>925</v>
      </c>
      <c r="E480" t="s">
        <v>437</v>
      </c>
      <c r="F480" t="s">
        <v>939</v>
      </c>
      <c r="H480" t="s">
        <v>51</v>
      </c>
      <c r="I480" t="s">
        <v>933</v>
      </c>
      <c r="J480" t="s">
        <v>124</v>
      </c>
      <c r="K480" t="s">
        <v>442</v>
      </c>
      <c r="L480" t="s">
        <v>910</v>
      </c>
      <c r="M480" t="s">
        <v>945</v>
      </c>
      <c r="Q480" t="s">
        <v>57</v>
      </c>
      <c r="R480">
        <v>9302256</v>
      </c>
      <c r="Y480" t="s">
        <v>946</v>
      </c>
      <c r="Z480">
        <v>76042990</v>
      </c>
      <c r="AC480">
        <v>1</v>
      </c>
      <c r="AE480">
        <v>3530</v>
      </c>
      <c r="AF480" s="4">
        <v>0.5</v>
      </c>
      <c r="AG480">
        <f t="shared" si="51"/>
        <v>1765</v>
      </c>
      <c r="AH480" s="4">
        <v>0.18</v>
      </c>
      <c r="AI480">
        <f t="shared" si="46"/>
        <v>2082.7</v>
      </c>
      <c r="AJ480" s="4">
        <v>0.2</v>
      </c>
      <c r="AK480">
        <f t="shared" si="47"/>
        <v>416.54</v>
      </c>
      <c r="AL480">
        <f t="shared" si="48"/>
        <v>2499.24</v>
      </c>
      <c r="AM480">
        <f t="shared" si="49"/>
        <v>1030.76</v>
      </c>
      <c r="AN480" s="4">
        <f t="shared" si="50"/>
        <v>0.292</v>
      </c>
      <c r="AO480" t="s">
        <v>221</v>
      </c>
      <c r="AQ480" t="s">
        <v>217</v>
      </c>
      <c r="AS480" t="s">
        <v>942</v>
      </c>
      <c r="AT480" t="s">
        <v>869</v>
      </c>
    </row>
    <row r="481" ht="15.75" customHeight="1" spans="1:46">
      <c r="A481" t="s">
        <v>938</v>
      </c>
      <c r="B481" t="s">
        <v>79</v>
      </c>
      <c r="C481" t="s">
        <v>435</v>
      </c>
      <c r="D481" t="s">
        <v>925</v>
      </c>
      <c r="E481" t="s">
        <v>437</v>
      </c>
      <c r="F481" t="s">
        <v>939</v>
      </c>
      <c r="H481" t="s">
        <v>51</v>
      </c>
      <c r="I481" t="s">
        <v>933</v>
      </c>
      <c r="J481" t="s">
        <v>124</v>
      </c>
      <c r="K481" t="s">
        <v>909</v>
      </c>
      <c r="L481" t="s">
        <v>910</v>
      </c>
      <c r="M481" t="s">
        <v>945</v>
      </c>
      <c r="Q481" t="s">
        <v>57</v>
      </c>
      <c r="R481">
        <v>9300494</v>
      </c>
      <c r="Y481" t="s">
        <v>947</v>
      </c>
      <c r="Z481">
        <v>76042990</v>
      </c>
      <c r="AC481">
        <v>1</v>
      </c>
      <c r="AE481">
        <v>3530</v>
      </c>
      <c r="AF481" s="4">
        <v>0.5</v>
      </c>
      <c r="AG481">
        <f t="shared" si="51"/>
        <v>1765</v>
      </c>
      <c r="AH481" s="4">
        <v>0.18</v>
      </c>
      <c r="AI481">
        <f t="shared" si="46"/>
        <v>2082.7</v>
      </c>
      <c r="AJ481" s="4">
        <v>0.2</v>
      </c>
      <c r="AK481">
        <f t="shared" si="47"/>
        <v>416.54</v>
      </c>
      <c r="AL481">
        <f t="shared" si="48"/>
        <v>2499.24</v>
      </c>
      <c r="AM481">
        <f t="shared" si="49"/>
        <v>1030.76</v>
      </c>
      <c r="AN481" s="4">
        <f t="shared" si="50"/>
        <v>0.292</v>
      </c>
      <c r="AO481" t="s">
        <v>221</v>
      </c>
      <c r="AQ481" t="s">
        <v>217</v>
      </c>
      <c r="AS481" t="s">
        <v>942</v>
      </c>
      <c r="AT481" t="s">
        <v>869</v>
      </c>
    </row>
    <row r="482" ht="15.75" customHeight="1" spans="1:46">
      <c r="A482" t="s">
        <v>938</v>
      </c>
      <c r="B482" t="s">
        <v>83</v>
      </c>
      <c r="C482" t="s">
        <v>435</v>
      </c>
      <c r="D482" t="s">
        <v>925</v>
      </c>
      <c r="E482" t="s">
        <v>437</v>
      </c>
      <c r="F482" t="s">
        <v>939</v>
      </c>
      <c r="H482" t="s">
        <v>51</v>
      </c>
      <c r="I482" t="s">
        <v>933</v>
      </c>
      <c r="J482" t="s">
        <v>124</v>
      </c>
      <c r="K482" t="s">
        <v>915</v>
      </c>
      <c r="L482" t="s">
        <v>910</v>
      </c>
      <c r="M482" t="s">
        <v>945</v>
      </c>
      <c r="Q482" t="s">
        <v>57</v>
      </c>
      <c r="R482">
        <v>9300523</v>
      </c>
      <c r="Y482" t="s">
        <v>948</v>
      </c>
      <c r="Z482">
        <v>76042990</v>
      </c>
      <c r="AC482">
        <v>1</v>
      </c>
      <c r="AE482">
        <v>3940</v>
      </c>
      <c r="AF482" s="4">
        <v>0.5</v>
      </c>
      <c r="AG482">
        <f t="shared" si="51"/>
        <v>1970</v>
      </c>
      <c r="AH482" s="4">
        <v>0.18</v>
      </c>
      <c r="AI482">
        <f t="shared" si="46"/>
        <v>2324.6</v>
      </c>
      <c r="AJ482" s="4">
        <v>0.2</v>
      </c>
      <c r="AK482">
        <f t="shared" si="47"/>
        <v>464.92</v>
      </c>
      <c r="AL482">
        <f t="shared" si="48"/>
        <v>2789.52</v>
      </c>
      <c r="AM482">
        <f t="shared" si="49"/>
        <v>1150.48</v>
      </c>
      <c r="AN482" s="4">
        <f t="shared" si="50"/>
        <v>0.292</v>
      </c>
      <c r="AO482" t="s">
        <v>221</v>
      </c>
      <c r="AQ482" t="s">
        <v>217</v>
      </c>
      <c r="AS482" t="s">
        <v>942</v>
      </c>
      <c r="AT482" t="s">
        <v>869</v>
      </c>
    </row>
    <row r="483" ht="15.75" customHeight="1" spans="1:46">
      <c r="A483" t="s">
        <v>938</v>
      </c>
      <c r="B483" t="s">
        <v>131</v>
      </c>
      <c r="C483" t="s">
        <v>435</v>
      </c>
      <c r="D483" t="s">
        <v>925</v>
      </c>
      <c r="E483" t="s">
        <v>437</v>
      </c>
      <c r="F483" t="s">
        <v>939</v>
      </c>
      <c r="H483" t="s">
        <v>51</v>
      </c>
      <c r="I483" t="s">
        <v>933</v>
      </c>
      <c r="J483" t="s">
        <v>124</v>
      </c>
      <c r="K483" t="s">
        <v>949</v>
      </c>
      <c r="L483" t="s">
        <v>910</v>
      </c>
      <c r="M483" t="s">
        <v>945</v>
      </c>
      <c r="Q483" t="s">
        <v>57</v>
      </c>
      <c r="R483">
        <v>9310268</v>
      </c>
      <c r="Y483" t="s">
        <v>950</v>
      </c>
      <c r="Z483">
        <v>76042990</v>
      </c>
      <c r="AC483">
        <v>1</v>
      </c>
      <c r="AE483">
        <v>3940</v>
      </c>
      <c r="AF483" s="4">
        <v>0.5</v>
      </c>
      <c r="AG483">
        <f t="shared" si="51"/>
        <v>1970</v>
      </c>
      <c r="AH483" s="4">
        <v>0.18</v>
      </c>
      <c r="AI483">
        <f t="shared" si="46"/>
        <v>2324.6</v>
      </c>
      <c r="AJ483" s="4">
        <v>0.2</v>
      </c>
      <c r="AK483">
        <f t="shared" si="47"/>
        <v>464.92</v>
      </c>
      <c r="AL483">
        <f t="shared" si="48"/>
        <v>2789.52</v>
      </c>
      <c r="AM483">
        <f t="shared" si="49"/>
        <v>1150.48</v>
      </c>
      <c r="AN483" s="4">
        <f t="shared" si="50"/>
        <v>0.292</v>
      </c>
      <c r="AO483" t="s">
        <v>221</v>
      </c>
      <c r="AQ483" t="s">
        <v>217</v>
      </c>
      <c r="AS483" t="s">
        <v>942</v>
      </c>
      <c r="AT483" t="s">
        <v>869</v>
      </c>
    </row>
    <row r="484" ht="15.75" customHeight="1" spans="1:46">
      <c r="A484" t="s">
        <v>951</v>
      </c>
      <c r="B484" t="s">
        <v>46</v>
      </c>
      <c r="C484" t="s">
        <v>435</v>
      </c>
      <c r="D484" t="s">
        <v>925</v>
      </c>
      <c r="E484" t="s">
        <v>437</v>
      </c>
      <c r="F484" t="s">
        <v>952</v>
      </c>
      <c r="H484" t="s">
        <v>51</v>
      </c>
      <c r="I484" t="s">
        <v>953</v>
      </c>
      <c r="J484" t="s">
        <v>124</v>
      </c>
      <c r="K484" t="s">
        <v>909</v>
      </c>
      <c r="L484" t="s">
        <v>910</v>
      </c>
      <c r="M484" t="s">
        <v>954</v>
      </c>
      <c r="Q484" t="s">
        <v>57</v>
      </c>
      <c r="R484">
        <v>9307859</v>
      </c>
      <c r="Y484" t="s">
        <v>955</v>
      </c>
      <c r="Z484">
        <v>76042990</v>
      </c>
      <c r="AE484">
        <v>3160</v>
      </c>
      <c r="AF484" s="4">
        <v>0.5</v>
      </c>
      <c r="AG484">
        <f t="shared" si="51"/>
        <v>1580</v>
      </c>
      <c r="AH484" s="4">
        <v>0.18</v>
      </c>
      <c r="AI484">
        <f t="shared" si="46"/>
        <v>1864.4</v>
      </c>
      <c r="AJ484" s="4">
        <v>0.2</v>
      </c>
      <c r="AK484">
        <f t="shared" si="47"/>
        <v>372.88</v>
      </c>
      <c r="AL484">
        <f t="shared" si="48"/>
        <v>2237.28</v>
      </c>
      <c r="AM484">
        <f t="shared" si="49"/>
        <v>922.72</v>
      </c>
      <c r="AN484" s="4">
        <f t="shared" si="50"/>
        <v>0.292</v>
      </c>
      <c r="AO484" t="s">
        <v>221</v>
      </c>
      <c r="AQ484" t="s">
        <v>217</v>
      </c>
      <c r="AS484" t="s">
        <v>956</v>
      </c>
      <c r="AT484" t="s">
        <v>869</v>
      </c>
    </row>
    <row r="485" ht="15.75" customHeight="1" spans="1:46">
      <c r="A485" t="s">
        <v>951</v>
      </c>
      <c r="B485" t="s">
        <v>67</v>
      </c>
      <c r="C485" t="s">
        <v>435</v>
      </c>
      <c r="D485" t="s">
        <v>925</v>
      </c>
      <c r="E485" t="s">
        <v>437</v>
      </c>
      <c r="F485" t="s">
        <v>952</v>
      </c>
      <c r="H485" t="s">
        <v>51</v>
      </c>
      <c r="I485" t="s">
        <v>953</v>
      </c>
      <c r="J485" t="s">
        <v>124</v>
      </c>
      <c r="K485" t="s">
        <v>442</v>
      </c>
      <c r="L485" t="s">
        <v>910</v>
      </c>
      <c r="M485" t="s">
        <v>954</v>
      </c>
      <c r="Q485" t="s">
        <v>57</v>
      </c>
      <c r="R485">
        <v>9299223</v>
      </c>
      <c r="Y485" t="s">
        <v>955</v>
      </c>
      <c r="Z485">
        <v>76042990</v>
      </c>
      <c r="AE485">
        <v>3160</v>
      </c>
      <c r="AF485" s="4">
        <v>0.5</v>
      </c>
      <c r="AG485">
        <f t="shared" si="51"/>
        <v>1580</v>
      </c>
      <c r="AH485" s="4">
        <v>0.18</v>
      </c>
      <c r="AI485">
        <f t="shared" si="46"/>
        <v>1864.4</v>
      </c>
      <c r="AJ485" s="4">
        <v>0.2</v>
      </c>
      <c r="AK485">
        <f t="shared" si="47"/>
        <v>372.88</v>
      </c>
      <c r="AL485">
        <f t="shared" si="48"/>
        <v>2237.28</v>
      </c>
      <c r="AM485">
        <f t="shared" si="49"/>
        <v>922.72</v>
      </c>
      <c r="AN485" s="4">
        <f t="shared" si="50"/>
        <v>0.292</v>
      </c>
      <c r="AO485" t="s">
        <v>221</v>
      </c>
      <c r="AQ485" t="s">
        <v>217</v>
      </c>
      <c r="AS485" t="s">
        <v>956</v>
      </c>
      <c r="AT485" t="s">
        <v>869</v>
      </c>
    </row>
    <row r="486" ht="15.75" customHeight="1" spans="1:46">
      <c r="A486" t="s">
        <v>951</v>
      </c>
      <c r="B486" t="s">
        <v>71</v>
      </c>
      <c r="C486" t="s">
        <v>435</v>
      </c>
      <c r="D486" t="s">
        <v>925</v>
      </c>
      <c r="E486" t="s">
        <v>437</v>
      </c>
      <c r="F486" t="s">
        <v>952</v>
      </c>
      <c r="H486" t="s">
        <v>51</v>
      </c>
      <c r="I486" t="s">
        <v>953</v>
      </c>
      <c r="J486" t="s">
        <v>124</v>
      </c>
      <c r="K486" t="s">
        <v>957</v>
      </c>
      <c r="L486" t="s">
        <v>910</v>
      </c>
      <c r="M486" t="s">
        <v>954</v>
      </c>
      <c r="Q486" t="s">
        <v>57</v>
      </c>
      <c r="R486">
        <v>9283517</v>
      </c>
      <c r="Y486" t="s">
        <v>955</v>
      </c>
      <c r="Z486">
        <v>76042990</v>
      </c>
      <c r="AE486">
        <v>2790</v>
      </c>
      <c r="AF486" s="4">
        <v>0.5</v>
      </c>
      <c r="AG486">
        <f t="shared" si="51"/>
        <v>1395</v>
      </c>
      <c r="AH486" s="4">
        <v>0.18</v>
      </c>
      <c r="AI486">
        <f t="shared" si="46"/>
        <v>1646.1</v>
      </c>
      <c r="AJ486" s="4">
        <v>0.2</v>
      </c>
      <c r="AK486">
        <f t="shared" si="47"/>
        <v>329.22</v>
      </c>
      <c r="AL486">
        <f t="shared" si="48"/>
        <v>1975.32</v>
      </c>
      <c r="AM486">
        <f t="shared" si="49"/>
        <v>814.68</v>
      </c>
      <c r="AN486" s="4">
        <f t="shared" si="50"/>
        <v>0.292</v>
      </c>
      <c r="AO486" t="s">
        <v>221</v>
      </c>
      <c r="AQ486" t="s">
        <v>217</v>
      </c>
      <c r="AS486" t="s">
        <v>956</v>
      </c>
      <c r="AT486" t="s">
        <v>869</v>
      </c>
    </row>
    <row r="487" ht="15.75" customHeight="1" spans="1:46">
      <c r="A487" t="s">
        <v>958</v>
      </c>
      <c r="B487" t="s">
        <v>46</v>
      </c>
      <c r="C487" t="s">
        <v>435</v>
      </c>
      <c r="D487" t="s">
        <v>959</v>
      </c>
      <c r="E487" t="s">
        <v>437</v>
      </c>
      <c r="F487" t="s">
        <v>960</v>
      </c>
      <c r="H487" t="s">
        <v>51</v>
      </c>
      <c r="I487" t="s">
        <v>961</v>
      </c>
      <c r="J487" t="s">
        <v>124</v>
      </c>
      <c r="K487" t="s">
        <v>909</v>
      </c>
      <c r="L487" t="s">
        <v>910</v>
      </c>
      <c r="M487" t="s">
        <v>962</v>
      </c>
      <c r="Q487" t="s">
        <v>57</v>
      </c>
      <c r="R487">
        <v>9345854</v>
      </c>
      <c r="Y487" t="s">
        <v>963</v>
      </c>
      <c r="Z487">
        <v>76042990</v>
      </c>
      <c r="AE487">
        <v>5640</v>
      </c>
      <c r="AF487" s="4">
        <v>0.5</v>
      </c>
      <c r="AG487">
        <f t="shared" si="51"/>
        <v>2820</v>
      </c>
      <c r="AH487" s="4">
        <v>0.18</v>
      </c>
      <c r="AI487">
        <f t="shared" si="46"/>
        <v>3327.6</v>
      </c>
      <c r="AJ487" s="4">
        <v>0.2</v>
      </c>
      <c r="AK487">
        <f t="shared" si="47"/>
        <v>665.52</v>
      </c>
      <c r="AL487">
        <f t="shared" si="48"/>
        <v>3993.12</v>
      </c>
      <c r="AM487">
        <f t="shared" si="49"/>
        <v>1646.88</v>
      </c>
      <c r="AN487" s="4">
        <f t="shared" si="50"/>
        <v>0.292</v>
      </c>
      <c r="AO487" t="s">
        <v>221</v>
      </c>
      <c r="AQ487" t="s">
        <v>217</v>
      </c>
      <c r="AT487" t="s">
        <v>869</v>
      </c>
    </row>
    <row r="488" ht="15.75" customHeight="1" spans="1:46">
      <c r="A488" t="s">
        <v>958</v>
      </c>
      <c r="B488" t="s">
        <v>67</v>
      </c>
      <c r="C488" t="s">
        <v>435</v>
      </c>
      <c r="D488" t="s">
        <v>959</v>
      </c>
      <c r="E488" t="s">
        <v>437</v>
      </c>
      <c r="F488" t="s">
        <v>960</v>
      </c>
      <c r="H488" t="s">
        <v>51</v>
      </c>
      <c r="I488" t="s">
        <v>961</v>
      </c>
      <c r="J488" t="s">
        <v>124</v>
      </c>
      <c r="K488" t="s">
        <v>964</v>
      </c>
      <c r="L488" t="s">
        <v>910</v>
      </c>
      <c r="M488" t="s">
        <v>962</v>
      </c>
      <c r="Q488" t="s">
        <v>57</v>
      </c>
      <c r="R488">
        <v>9345855</v>
      </c>
      <c r="Y488" t="s">
        <v>963</v>
      </c>
      <c r="Z488">
        <v>76042990</v>
      </c>
      <c r="AE488">
        <v>5640</v>
      </c>
      <c r="AF488" s="4">
        <v>0.5</v>
      </c>
      <c r="AG488">
        <f t="shared" si="51"/>
        <v>2820</v>
      </c>
      <c r="AH488" s="4">
        <v>0.18</v>
      </c>
      <c r="AI488">
        <f t="shared" si="46"/>
        <v>3327.6</v>
      </c>
      <c r="AJ488" s="4">
        <v>0.2</v>
      </c>
      <c r="AK488">
        <f t="shared" si="47"/>
        <v>665.52</v>
      </c>
      <c r="AL488">
        <f t="shared" si="48"/>
        <v>3993.12</v>
      </c>
      <c r="AM488">
        <f t="shared" si="49"/>
        <v>1646.88</v>
      </c>
      <c r="AN488" s="4">
        <f t="shared" si="50"/>
        <v>0.292</v>
      </c>
      <c r="AO488" t="s">
        <v>221</v>
      </c>
      <c r="AQ488" t="s">
        <v>217</v>
      </c>
      <c r="AT488" t="s">
        <v>869</v>
      </c>
    </row>
    <row r="489" ht="15.75" customHeight="1" spans="1:46">
      <c r="A489" t="s">
        <v>958</v>
      </c>
      <c r="B489" t="s">
        <v>71</v>
      </c>
      <c r="C489" t="s">
        <v>435</v>
      </c>
      <c r="D489" t="s">
        <v>959</v>
      </c>
      <c r="E489" t="s">
        <v>437</v>
      </c>
      <c r="F489" t="s">
        <v>960</v>
      </c>
      <c r="H489" t="s">
        <v>51</v>
      </c>
      <c r="I489" t="s">
        <v>961</v>
      </c>
      <c r="J489" t="s">
        <v>124</v>
      </c>
      <c r="K489" t="s">
        <v>442</v>
      </c>
      <c r="L489" t="s">
        <v>910</v>
      </c>
      <c r="M489" t="s">
        <v>962</v>
      </c>
      <c r="Q489" t="s">
        <v>57</v>
      </c>
      <c r="R489">
        <v>9345753</v>
      </c>
      <c r="Y489" t="s">
        <v>963</v>
      </c>
      <c r="Z489">
        <v>76042990</v>
      </c>
      <c r="AE489">
        <v>5000</v>
      </c>
      <c r="AF489" s="4">
        <v>0.5</v>
      </c>
      <c r="AG489">
        <f t="shared" si="51"/>
        <v>2500</v>
      </c>
      <c r="AH489" s="4">
        <v>0.18</v>
      </c>
      <c r="AI489">
        <f t="shared" si="46"/>
        <v>2950</v>
      </c>
      <c r="AJ489" s="4">
        <v>0.2</v>
      </c>
      <c r="AK489">
        <f t="shared" si="47"/>
        <v>590</v>
      </c>
      <c r="AL489">
        <f t="shared" si="48"/>
        <v>3540</v>
      </c>
      <c r="AM489">
        <f t="shared" si="49"/>
        <v>1460</v>
      </c>
      <c r="AN489" s="4">
        <f t="shared" si="50"/>
        <v>0.292</v>
      </c>
      <c r="AO489" t="s">
        <v>221</v>
      </c>
      <c r="AQ489" t="s">
        <v>217</v>
      </c>
      <c r="AT489" t="s">
        <v>869</v>
      </c>
    </row>
    <row r="490" ht="15.75" customHeight="1" spans="1:46">
      <c r="A490" t="s">
        <v>965</v>
      </c>
      <c r="B490" t="s">
        <v>46</v>
      </c>
      <c r="C490" t="s">
        <v>435</v>
      </c>
      <c r="D490" t="s">
        <v>959</v>
      </c>
      <c r="E490" t="s">
        <v>886</v>
      </c>
      <c r="F490" t="s">
        <v>966</v>
      </c>
      <c r="H490" t="s">
        <v>51</v>
      </c>
      <c r="I490" t="s">
        <v>967</v>
      </c>
      <c r="J490" t="s">
        <v>124</v>
      </c>
      <c r="K490" t="s">
        <v>909</v>
      </c>
      <c r="L490" t="s">
        <v>910</v>
      </c>
      <c r="M490" t="s">
        <v>968</v>
      </c>
      <c r="N490" t="s">
        <v>969</v>
      </c>
      <c r="O490" t="s">
        <v>970</v>
      </c>
      <c r="Q490" t="s">
        <v>57</v>
      </c>
      <c r="R490" t="s">
        <v>971</v>
      </c>
      <c r="V490" t="s">
        <v>972</v>
      </c>
      <c r="Y490" t="s">
        <v>973</v>
      </c>
      <c r="Z490">
        <v>7604</v>
      </c>
      <c r="AE490">
        <v>2966</v>
      </c>
      <c r="AF490" s="4">
        <v>0.4</v>
      </c>
      <c r="AG490">
        <f t="shared" si="51"/>
        <v>1779.6</v>
      </c>
      <c r="AH490" s="4">
        <v>0.18</v>
      </c>
      <c r="AI490">
        <f t="shared" si="46"/>
        <v>2099.93</v>
      </c>
      <c r="AJ490" s="4">
        <v>0.1</v>
      </c>
      <c r="AK490">
        <f t="shared" si="47"/>
        <v>209.99</v>
      </c>
      <c r="AL490">
        <f t="shared" si="48"/>
        <v>2309.92</v>
      </c>
      <c r="AM490">
        <f t="shared" si="49"/>
        <v>656.08</v>
      </c>
      <c r="AN490" s="4">
        <f t="shared" si="50"/>
        <v>0.221200269723533</v>
      </c>
      <c r="AO490" t="s">
        <v>221</v>
      </c>
      <c r="AQ490" t="s">
        <v>217</v>
      </c>
      <c r="AT490" t="s">
        <v>64</v>
      </c>
    </row>
    <row r="491" ht="15.75" customHeight="1" spans="1:46">
      <c r="A491" t="s">
        <v>965</v>
      </c>
      <c r="B491" t="s">
        <v>67</v>
      </c>
      <c r="C491" t="s">
        <v>435</v>
      </c>
      <c r="D491" t="s">
        <v>959</v>
      </c>
      <c r="E491" t="s">
        <v>886</v>
      </c>
      <c r="F491" t="s">
        <v>966</v>
      </c>
      <c r="H491" t="s">
        <v>51</v>
      </c>
      <c r="I491" t="s">
        <v>967</v>
      </c>
      <c r="J491" t="s">
        <v>124</v>
      </c>
      <c r="K491" t="s">
        <v>957</v>
      </c>
      <c r="L491" t="s">
        <v>910</v>
      </c>
      <c r="M491" t="s">
        <v>968</v>
      </c>
      <c r="N491" t="s">
        <v>969</v>
      </c>
      <c r="O491" t="s">
        <v>970</v>
      </c>
      <c r="Q491" t="s">
        <v>57</v>
      </c>
      <c r="R491" t="s">
        <v>974</v>
      </c>
      <c r="Y491" t="s">
        <v>973</v>
      </c>
      <c r="Z491">
        <v>7604</v>
      </c>
      <c r="AE491">
        <v>2966</v>
      </c>
      <c r="AF491" s="4">
        <v>0.4</v>
      </c>
      <c r="AG491">
        <f t="shared" si="51"/>
        <v>1779.6</v>
      </c>
      <c r="AH491" s="4">
        <v>0.18</v>
      </c>
      <c r="AI491">
        <f t="shared" si="46"/>
        <v>2099.93</v>
      </c>
      <c r="AJ491" s="4">
        <v>0.1</v>
      </c>
      <c r="AK491">
        <f t="shared" si="47"/>
        <v>209.99</v>
      </c>
      <c r="AL491">
        <f t="shared" si="48"/>
        <v>2309.92</v>
      </c>
      <c r="AM491">
        <f t="shared" si="49"/>
        <v>656.08</v>
      </c>
      <c r="AN491" s="4">
        <f t="shared" si="50"/>
        <v>0.221200269723533</v>
      </c>
      <c r="AO491" t="s">
        <v>221</v>
      </c>
      <c r="AQ491" t="s">
        <v>217</v>
      </c>
      <c r="AT491" t="s">
        <v>64</v>
      </c>
    </row>
    <row r="492" ht="15.75" customHeight="1" spans="1:46">
      <c r="A492" t="s">
        <v>965</v>
      </c>
      <c r="B492" t="s">
        <v>71</v>
      </c>
      <c r="C492" t="s">
        <v>435</v>
      </c>
      <c r="D492" t="s">
        <v>959</v>
      </c>
      <c r="E492" t="s">
        <v>886</v>
      </c>
      <c r="F492" t="s">
        <v>966</v>
      </c>
      <c r="H492" t="s">
        <v>51</v>
      </c>
      <c r="I492" t="s">
        <v>967</v>
      </c>
      <c r="J492" t="s">
        <v>124</v>
      </c>
      <c r="K492" t="s">
        <v>909</v>
      </c>
      <c r="L492" t="s">
        <v>910</v>
      </c>
      <c r="M492" t="s">
        <v>968</v>
      </c>
      <c r="N492" t="s">
        <v>969</v>
      </c>
      <c r="O492" t="s">
        <v>970</v>
      </c>
      <c r="Q492" t="s">
        <v>57</v>
      </c>
      <c r="R492" t="s">
        <v>975</v>
      </c>
      <c r="Y492" t="s">
        <v>973</v>
      </c>
      <c r="Z492">
        <v>7604</v>
      </c>
      <c r="AE492">
        <v>2531</v>
      </c>
      <c r="AF492" s="4">
        <v>0.4</v>
      </c>
      <c r="AG492">
        <f t="shared" si="51"/>
        <v>1518.6</v>
      </c>
      <c r="AH492" s="4">
        <v>0.18</v>
      </c>
      <c r="AI492">
        <f t="shared" si="46"/>
        <v>1791.95</v>
      </c>
      <c r="AJ492" s="4">
        <v>0.1</v>
      </c>
      <c r="AK492">
        <f t="shared" si="47"/>
        <v>179.2</v>
      </c>
      <c r="AL492">
        <f t="shared" si="48"/>
        <v>1971.15</v>
      </c>
      <c r="AM492">
        <f t="shared" si="49"/>
        <v>559.85</v>
      </c>
      <c r="AN492" s="4">
        <f t="shared" si="50"/>
        <v>0.221197155274595</v>
      </c>
      <c r="AO492" t="s">
        <v>221</v>
      </c>
      <c r="AQ492" t="s">
        <v>217</v>
      </c>
      <c r="AT492" t="s">
        <v>64</v>
      </c>
    </row>
    <row r="493" ht="15.75" customHeight="1" spans="1:46">
      <c r="A493" t="s">
        <v>965</v>
      </c>
      <c r="B493" t="s">
        <v>75</v>
      </c>
      <c r="C493" t="s">
        <v>435</v>
      </c>
      <c r="D493" t="s">
        <v>959</v>
      </c>
      <c r="E493" t="s">
        <v>886</v>
      </c>
      <c r="F493" t="s">
        <v>966</v>
      </c>
      <c r="H493" t="s">
        <v>51</v>
      </c>
      <c r="I493" t="s">
        <v>967</v>
      </c>
      <c r="J493" t="s">
        <v>124</v>
      </c>
      <c r="K493" t="s">
        <v>957</v>
      </c>
      <c r="L493" t="s">
        <v>910</v>
      </c>
      <c r="M493" t="s">
        <v>968</v>
      </c>
      <c r="N493" t="s">
        <v>969</v>
      </c>
      <c r="O493" t="s">
        <v>970</v>
      </c>
      <c r="Q493" t="s">
        <v>57</v>
      </c>
      <c r="R493" t="s">
        <v>975</v>
      </c>
      <c r="Y493" t="s">
        <v>973</v>
      </c>
      <c r="Z493">
        <v>7604</v>
      </c>
      <c r="AE493">
        <v>2531</v>
      </c>
      <c r="AF493" s="4">
        <v>0.4</v>
      </c>
      <c r="AG493">
        <f t="shared" si="51"/>
        <v>1518.6</v>
      </c>
      <c r="AH493" s="4">
        <v>0.18</v>
      </c>
      <c r="AI493">
        <f t="shared" si="46"/>
        <v>1791.95</v>
      </c>
      <c r="AJ493" s="4">
        <v>0.1</v>
      </c>
      <c r="AK493">
        <f t="shared" si="47"/>
        <v>179.2</v>
      </c>
      <c r="AL493">
        <f t="shared" si="48"/>
        <v>1971.15</v>
      </c>
      <c r="AM493">
        <f t="shared" si="49"/>
        <v>559.85</v>
      </c>
      <c r="AN493" s="4">
        <f t="shared" si="50"/>
        <v>0.221197155274595</v>
      </c>
      <c r="AO493" t="s">
        <v>221</v>
      </c>
      <c r="AQ493" t="s">
        <v>217</v>
      </c>
      <c r="AT493" t="s">
        <v>64</v>
      </c>
    </row>
    <row r="494" ht="15.75" customHeight="1" spans="1:46">
      <c r="A494" t="s">
        <v>976</v>
      </c>
      <c r="B494" t="s">
        <v>46</v>
      </c>
      <c r="C494" t="s">
        <v>435</v>
      </c>
      <c r="D494" t="s">
        <v>925</v>
      </c>
      <c r="E494" t="s">
        <v>886</v>
      </c>
      <c r="F494" t="s">
        <v>977</v>
      </c>
      <c r="H494" t="s">
        <v>51</v>
      </c>
      <c r="I494" t="s">
        <v>933</v>
      </c>
      <c r="J494" t="s">
        <v>124</v>
      </c>
      <c r="K494" t="s">
        <v>909</v>
      </c>
      <c r="L494" t="s">
        <v>910</v>
      </c>
      <c r="M494" t="s">
        <v>968</v>
      </c>
      <c r="N494" t="s">
        <v>969</v>
      </c>
      <c r="O494" t="s">
        <v>978</v>
      </c>
      <c r="Q494" t="s">
        <v>57</v>
      </c>
      <c r="R494" t="s">
        <v>979</v>
      </c>
      <c r="Y494" t="s">
        <v>980</v>
      </c>
      <c r="Z494">
        <v>7604</v>
      </c>
      <c r="AE494">
        <v>2141</v>
      </c>
      <c r="AF494" s="4">
        <v>0.4</v>
      </c>
      <c r="AG494">
        <f t="shared" si="51"/>
        <v>1284.6</v>
      </c>
      <c r="AH494" s="4">
        <v>0.18</v>
      </c>
      <c r="AI494">
        <f t="shared" si="46"/>
        <v>1515.83</v>
      </c>
      <c r="AJ494" s="4">
        <v>0.1</v>
      </c>
      <c r="AK494">
        <f t="shared" si="47"/>
        <v>151.58</v>
      </c>
      <c r="AL494">
        <f t="shared" si="48"/>
        <v>1667.41</v>
      </c>
      <c r="AM494">
        <f t="shared" si="49"/>
        <v>473.59</v>
      </c>
      <c r="AN494" s="4">
        <f t="shared" si="50"/>
        <v>0.22120037365717</v>
      </c>
      <c r="AO494" t="s">
        <v>221</v>
      </c>
      <c r="AQ494" t="s">
        <v>217</v>
      </c>
      <c r="AS494" t="s">
        <v>981</v>
      </c>
      <c r="AT494" t="s">
        <v>64</v>
      </c>
    </row>
    <row r="495" ht="15.75" customHeight="1" spans="1:46">
      <c r="A495" t="s">
        <v>976</v>
      </c>
      <c r="B495" t="s">
        <v>67</v>
      </c>
      <c r="C495" t="s">
        <v>435</v>
      </c>
      <c r="D495" t="s">
        <v>925</v>
      </c>
      <c r="E495" t="s">
        <v>886</v>
      </c>
      <c r="F495" t="s">
        <v>977</v>
      </c>
      <c r="H495" t="s">
        <v>51</v>
      </c>
      <c r="I495" t="s">
        <v>933</v>
      </c>
      <c r="J495" t="s">
        <v>124</v>
      </c>
      <c r="K495" t="s">
        <v>964</v>
      </c>
      <c r="L495" t="s">
        <v>910</v>
      </c>
      <c r="M495" t="s">
        <v>968</v>
      </c>
      <c r="N495" t="s">
        <v>969</v>
      </c>
      <c r="O495" t="s">
        <v>978</v>
      </c>
      <c r="Q495" t="s">
        <v>57</v>
      </c>
      <c r="R495" t="s">
        <v>979</v>
      </c>
      <c r="Y495" t="s">
        <v>980</v>
      </c>
      <c r="Z495">
        <v>7604</v>
      </c>
      <c r="AE495">
        <v>2704</v>
      </c>
      <c r="AF495" s="4">
        <v>0.4</v>
      </c>
      <c r="AG495">
        <f t="shared" si="51"/>
        <v>1622.4</v>
      </c>
      <c r="AH495" s="4">
        <v>0.18</v>
      </c>
      <c r="AI495">
        <f t="shared" si="46"/>
        <v>1914.43</v>
      </c>
      <c r="AJ495" s="4">
        <v>0.1</v>
      </c>
      <c r="AK495">
        <f t="shared" si="47"/>
        <v>191.44</v>
      </c>
      <c r="AL495">
        <f t="shared" si="48"/>
        <v>2105.87</v>
      </c>
      <c r="AM495">
        <f t="shared" si="49"/>
        <v>598.13</v>
      </c>
      <c r="AN495" s="4">
        <f t="shared" si="50"/>
        <v>0.221201923076923</v>
      </c>
      <c r="AO495" t="s">
        <v>221</v>
      </c>
      <c r="AQ495" t="s">
        <v>217</v>
      </c>
      <c r="AS495" t="s">
        <v>981</v>
      </c>
      <c r="AT495" t="s">
        <v>64</v>
      </c>
    </row>
    <row r="496" ht="15.75" customHeight="1" spans="1:46">
      <c r="A496" t="s">
        <v>976</v>
      </c>
      <c r="B496" t="s">
        <v>71</v>
      </c>
      <c r="C496" t="s">
        <v>435</v>
      </c>
      <c r="D496" t="s">
        <v>925</v>
      </c>
      <c r="E496" t="s">
        <v>886</v>
      </c>
      <c r="F496" t="s">
        <v>977</v>
      </c>
      <c r="H496" t="s">
        <v>51</v>
      </c>
      <c r="I496" t="s">
        <v>933</v>
      </c>
      <c r="J496" t="s">
        <v>124</v>
      </c>
      <c r="K496" t="s">
        <v>957</v>
      </c>
      <c r="L496" t="s">
        <v>910</v>
      </c>
      <c r="M496" t="s">
        <v>968</v>
      </c>
      <c r="N496" t="s">
        <v>969</v>
      </c>
      <c r="O496" t="s">
        <v>978</v>
      </c>
      <c r="Q496" t="s">
        <v>57</v>
      </c>
      <c r="R496" t="s">
        <v>979</v>
      </c>
      <c r="Y496" t="s">
        <v>980</v>
      </c>
      <c r="Z496">
        <v>7604</v>
      </c>
      <c r="AE496">
        <v>2141</v>
      </c>
      <c r="AF496" s="4">
        <v>0.4</v>
      </c>
      <c r="AG496">
        <f t="shared" si="51"/>
        <v>1284.6</v>
      </c>
      <c r="AH496" s="4">
        <v>0.18</v>
      </c>
      <c r="AI496">
        <f t="shared" si="46"/>
        <v>1515.83</v>
      </c>
      <c r="AJ496" s="4">
        <v>0.1</v>
      </c>
      <c r="AK496">
        <f t="shared" si="47"/>
        <v>151.58</v>
      </c>
      <c r="AL496">
        <f t="shared" si="48"/>
        <v>1667.41</v>
      </c>
      <c r="AM496">
        <f t="shared" si="49"/>
        <v>473.59</v>
      </c>
      <c r="AN496" s="4">
        <f t="shared" si="50"/>
        <v>0.22120037365717</v>
      </c>
      <c r="AO496" t="s">
        <v>221</v>
      </c>
      <c r="AQ496" t="s">
        <v>217</v>
      </c>
      <c r="AS496" t="s">
        <v>981</v>
      </c>
      <c r="AT496" t="s">
        <v>64</v>
      </c>
    </row>
    <row r="497" ht="15.75" customHeight="1" spans="1:46">
      <c r="A497" t="s">
        <v>976</v>
      </c>
      <c r="B497" t="s">
        <v>75</v>
      </c>
      <c r="C497" t="s">
        <v>435</v>
      </c>
      <c r="D497" t="s">
        <v>925</v>
      </c>
      <c r="E497" t="s">
        <v>886</v>
      </c>
      <c r="F497" t="s">
        <v>977</v>
      </c>
      <c r="H497" t="s">
        <v>51</v>
      </c>
      <c r="I497" t="s">
        <v>927</v>
      </c>
      <c r="J497" t="s">
        <v>124</v>
      </c>
      <c r="K497" t="s">
        <v>909</v>
      </c>
      <c r="L497" t="s">
        <v>910</v>
      </c>
      <c r="M497" t="s">
        <v>968</v>
      </c>
      <c r="N497" t="s">
        <v>969</v>
      </c>
      <c r="O497" t="s">
        <v>982</v>
      </c>
      <c r="Q497" t="s">
        <v>57</v>
      </c>
      <c r="R497" t="s">
        <v>983</v>
      </c>
      <c r="Y497" t="s">
        <v>980</v>
      </c>
      <c r="Z497">
        <v>7604</v>
      </c>
      <c r="AE497">
        <v>2251</v>
      </c>
      <c r="AF497" s="4">
        <v>0.4</v>
      </c>
      <c r="AG497">
        <f t="shared" si="51"/>
        <v>1350.6</v>
      </c>
      <c r="AH497" s="4">
        <v>0.18</v>
      </c>
      <c r="AI497">
        <f t="shared" si="46"/>
        <v>1593.71</v>
      </c>
      <c r="AJ497" s="4">
        <v>0.1</v>
      </c>
      <c r="AK497">
        <f t="shared" si="47"/>
        <v>159.37</v>
      </c>
      <c r="AL497">
        <f t="shared" si="48"/>
        <v>1753.08</v>
      </c>
      <c r="AM497">
        <f t="shared" si="49"/>
        <v>497.92</v>
      </c>
      <c r="AN497" s="4">
        <f t="shared" si="50"/>
        <v>0.221199466903598</v>
      </c>
      <c r="AO497" t="s">
        <v>221</v>
      </c>
      <c r="AQ497" t="s">
        <v>217</v>
      </c>
      <c r="AS497" t="s">
        <v>981</v>
      </c>
      <c r="AT497" t="s">
        <v>64</v>
      </c>
    </row>
    <row r="498" ht="15.75" customHeight="1" spans="1:46">
      <c r="A498" t="s">
        <v>976</v>
      </c>
      <c r="B498" t="s">
        <v>79</v>
      </c>
      <c r="C498" t="s">
        <v>435</v>
      </c>
      <c r="D498" t="s">
        <v>925</v>
      </c>
      <c r="E498" t="s">
        <v>886</v>
      </c>
      <c r="F498" t="s">
        <v>977</v>
      </c>
      <c r="H498" t="s">
        <v>51</v>
      </c>
      <c r="I498" t="s">
        <v>927</v>
      </c>
      <c r="J498" t="s">
        <v>124</v>
      </c>
      <c r="K498" t="s">
        <v>964</v>
      </c>
      <c r="L498" t="s">
        <v>910</v>
      </c>
      <c r="M498" t="s">
        <v>968</v>
      </c>
      <c r="N498" t="s">
        <v>969</v>
      </c>
      <c r="O498" t="s">
        <v>982</v>
      </c>
      <c r="Q498" t="s">
        <v>57</v>
      </c>
      <c r="R498" t="s">
        <v>983</v>
      </c>
      <c r="Y498" t="s">
        <v>980</v>
      </c>
      <c r="Z498">
        <v>7604</v>
      </c>
      <c r="AE498">
        <v>2722</v>
      </c>
      <c r="AF498" s="4">
        <v>0.4</v>
      </c>
      <c r="AG498">
        <f t="shared" si="51"/>
        <v>1633.2</v>
      </c>
      <c r="AH498" s="4">
        <v>0.18</v>
      </c>
      <c r="AI498">
        <f t="shared" si="46"/>
        <v>1927.18</v>
      </c>
      <c r="AJ498" s="4">
        <v>0.1</v>
      </c>
      <c r="AK498">
        <f t="shared" si="47"/>
        <v>192.72</v>
      </c>
      <c r="AL498">
        <f t="shared" si="48"/>
        <v>2119.9</v>
      </c>
      <c r="AM498">
        <f t="shared" si="49"/>
        <v>602.1</v>
      </c>
      <c r="AN498" s="4">
        <f t="shared" si="50"/>
        <v>0.221197648787656</v>
      </c>
      <c r="AO498" t="s">
        <v>221</v>
      </c>
      <c r="AQ498" t="s">
        <v>217</v>
      </c>
      <c r="AS498" t="s">
        <v>981</v>
      </c>
      <c r="AT498" t="s">
        <v>64</v>
      </c>
    </row>
    <row r="499" ht="15.75" customHeight="1" spans="1:46">
      <c r="A499" t="s">
        <v>976</v>
      </c>
      <c r="B499" t="s">
        <v>83</v>
      </c>
      <c r="C499" t="s">
        <v>435</v>
      </c>
      <c r="D499" t="s">
        <v>925</v>
      </c>
      <c r="E499" t="s">
        <v>886</v>
      </c>
      <c r="F499" t="s">
        <v>977</v>
      </c>
      <c r="H499" t="s">
        <v>51</v>
      </c>
      <c r="I499" t="s">
        <v>927</v>
      </c>
      <c r="J499" t="s">
        <v>124</v>
      </c>
      <c r="K499" t="s">
        <v>957</v>
      </c>
      <c r="L499" t="s">
        <v>910</v>
      </c>
      <c r="M499" t="s">
        <v>968</v>
      </c>
      <c r="N499" t="s">
        <v>969</v>
      </c>
      <c r="O499" t="s">
        <v>982</v>
      </c>
      <c r="Q499" t="s">
        <v>57</v>
      </c>
      <c r="R499" t="s">
        <v>983</v>
      </c>
      <c r="Y499" t="s">
        <v>980</v>
      </c>
      <c r="Z499">
        <v>7604</v>
      </c>
      <c r="AE499">
        <v>2251</v>
      </c>
      <c r="AF499" s="4">
        <v>0.4</v>
      </c>
      <c r="AG499">
        <f t="shared" si="51"/>
        <v>1350.6</v>
      </c>
      <c r="AH499" s="4">
        <v>0.18</v>
      </c>
      <c r="AI499">
        <f t="shared" si="46"/>
        <v>1593.71</v>
      </c>
      <c r="AJ499" s="4">
        <v>0.1</v>
      </c>
      <c r="AK499">
        <f t="shared" si="47"/>
        <v>159.37</v>
      </c>
      <c r="AL499">
        <f t="shared" si="48"/>
        <v>1753.08</v>
      </c>
      <c r="AM499">
        <f t="shared" si="49"/>
        <v>497.92</v>
      </c>
      <c r="AN499" s="4">
        <f t="shared" si="50"/>
        <v>0.221199466903598</v>
      </c>
      <c r="AO499" t="s">
        <v>221</v>
      </c>
      <c r="AQ499" t="s">
        <v>217</v>
      </c>
      <c r="AS499" t="s">
        <v>981</v>
      </c>
      <c r="AT499" t="s">
        <v>64</v>
      </c>
    </row>
    <row r="500" ht="15.75" customHeight="1" spans="1:46">
      <c r="A500" t="s">
        <v>984</v>
      </c>
      <c r="B500" t="s">
        <v>46</v>
      </c>
      <c r="C500" t="s">
        <v>435</v>
      </c>
      <c r="D500" t="s">
        <v>985</v>
      </c>
      <c r="E500" t="s">
        <v>886</v>
      </c>
      <c r="F500" t="s">
        <v>986</v>
      </c>
      <c r="H500" t="s">
        <v>51</v>
      </c>
      <c r="I500" t="s">
        <v>987</v>
      </c>
      <c r="J500" t="s">
        <v>124</v>
      </c>
      <c r="K500" t="s">
        <v>909</v>
      </c>
      <c r="L500" t="s">
        <v>910</v>
      </c>
      <c r="M500" t="s">
        <v>968</v>
      </c>
      <c r="N500" t="s">
        <v>969</v>
      </c>
      <c r="O500" t="s">
        <v>92</v>
      </c>
      <c r="Q500" t="s">
        <v>57</v>
      </c>
      <c r="R500" t="s">
        <v>988</v>
      </c>
      <c r="Y500" t="s">
        <v>989</v>
      </c>
      <c r="Z500">
        <v>7604</v>
      </c>
      <c r="AE500">
        <v>1273</v>
      </c>
      <c r="AF500" s="4">
        <v>0.4</v>
      </c>
      <c r="AG500">
        <f t="shared" si="51"/>
        <v>763.8</v>
      </c>
      <c r="AH500" s="4">
        <v>0.18</v>
      </c>
      <c r="AI500">
        <f t="shared" si="46"/>
        <v>901.28</v>
      </c>
      <c r="AJ500" s="4">
        <v>0.1</v>
      </c>
      <c r="AK500">
        <f t="shared" si="47"/>
        <v>90.13</v>
      </c>
      <c r="AL500">
        <f t="shared" si="48"/>
        <v>991.41</v>
      </c>
      <c r="AM500">
        <f t="shared" si="49"/>
        <v>281.59</v>
      </c>
      <c r="AN500" s="4">
        <f t="shared" si="50"/>
        <v>0.221201885310291</v>
      </c>
      <c r="AO500" t="s">
        <v>221</v>
      </c>
      <c r="AQ500" t="s">
        <v>217</v>
      </c>
      <c r="AT500" t="s">
        <v>64</v>
      </c>
    </row>
    <row r="501" ht="15.75" customHeight="1" spans="1:46">
      <c r="A501" t="s">
        <v>984</v>
      </c>
      <c r="B501" t="s">
        <v>67</v>
      </c>
      <c r="C501" t="s">
        <v>435</v>
      </c>
      <c r="D501" t="s">
        <v>985</v>
      </c>
      <c r="E501" t="s">
        <v>886</v>
      </c>
      <c r="F501" t="s">
        <v>986</v>
      </c>
      <c r="H501" t="s">
        <v>51</v>
      </c>
      <c r="I501" t="s">
        <v>987</v>
      </c>
      <c r="J501" t="s">
        <v>124</v>
      </c>
      <c r="K501" t="s">
        <v>990</v>
      </c>
      <c r="L501" t="s">
        <v>910</v>
      </c>
      <c r="M501" t="s">
        <v>968</v>
      </c>
      <c r="N501" t="s">
        <v>969</v>
      </c>
      <c r="O501" t="s">
        <v>92</v>
      </c>
      <c r="Q501" t="s">
        <v>57</v>
      </c>
      <c r="R501" t="s">
        <v>991</v>
      </c>
      <c r="Y501" t="s">
        <v>989</v>
      </c>
      <c r="Z501">
        <v>7604</v>
      </c>
      <c r="AE501">
        <v>1273</v>
      </c>
      <c r="AF501" s="4">
        <v>0.4</v>
      </c>
      <c r="AG501">
        <f t="shared" si="51"/>
        <v>763.8</v>
      </c>
      <c r="AH501" s="4">
        <v>0.18</v>
      </c>
      <c r="AI501">
        <f t="shared" si="46"/>
        <v>901.28</v>
      </c>
      <c r="AJ501" s="4">
        <v>0.1</v>
      </c>
      <c r="AK501">
        <f t="shared" si="47"/>
        <v>90.13</v>
      </c>
      <c r="AL501">
        <f t="shared" si="48"/>
        <v>991.41</v>
      </c>
      <c r="AM501">
        <f t="shared" si="49"/>
        <v>281.59</v>
      </c>
      <c r="AN501" s="4">
        <f t="shared" si="50"/>
        <v>0.221201885310291</v>
      </c>
      <c r="AO501" t="s">
        <v>221</v>
      </c>
      <c r="AQ501" t="s">
        <v>217</v>
      </c>
      <c r="AT501" t="s">
        <v>64</v>
      </c>
    </row>
    <row r="502" ht="15.75" customHeight="1" spans="1:46">
      <c r="A502" t="s">
        <v>984</v>
      </c>
      <c r="B502" t="s">
        <v>71</v>
      </c>
      <c r="C502" t="s">
        <v>435</v>
      </c>
      <c r="D502" t="s">
        <v>985</v>
      </c>
      <c r="E502" t="s">
        <v>886</v>
      </c>
      <c r="F502" t="s">
        <v>986</v>
      </c>
      <c r="H502" t="s">
        <v>51</v>
      </c>
      <c r="I502" t="s">
        <v>987</v>
      </c>
      <c r="J502" t="s">
        <v>124</v>
      </c>
      <c r="K502" t="s">
        <v>957</v>
      </c>
      <c r="L502" t="s">
        <v>910</v>
      </c>
      <c r="M502" t="s">
        <v>968</v>
      </c>
      <c r="N502" t="s">
        <v>969</v>
      </c>
      <c r="O502" t="s">
        <v>92</v>
      </c>
      <c r="Q502" t="s">
        <v>57</v>
      </c>
      <c r="R502" t="s">
        <v>992</v>
      </c>
      <c r="Y502" t="s">
        <v>989</v>
      </c>
      <c r="Z502">
        <v>7604</v>
      </c>
      <c r="AE502">
        <v>1273</v>
      </c>
      <c r="AF502" s="4">
        <v>0.4</v>
      </c>
      <c r="AG502">
        <f t="shared" si="51"/>
        <v>763.8</v>
      </c>
      <c r="AH502" s="4">
        <v>0.18</v>
      </c>
      <c r="AI502">
        <f t="shared" si="46"/>
        <v>901.28</v>
      </c>
      <c r="AJ502" s="4">
        <v>0.1</v>
      </c>
      <c r="AK502">
        <f t="shared" si="47"/>
        <v>90.13</v>
      </c>
      <c r="AL502">
        <f t="shared" si="48"/>
        <v>991.41</v>
      </c>
      <c r="AM502">
        <f t="shared" si="49"/>
        <v>281.59</v>
      </c>
      <c r="AN502" s="4">
        <f t="shared" si="50"/>
        <v>0.221201885310291</v>
      </c>
      <c r="AO502" t="s">
        <v>221</v>
      </c>
      <c r="AQ502" t="s">
        <v>217</v>
      </c>
      <c r="AT502" t="s">
        <v>64</v>
      </c>
    </row>
    <row r="503" ht="15.75" customHeight="1" spans="1:46">
      <c r="A503" t="s">
        <v>993</v>
      </c>
      <c r="B503" t="s">
        <v>46</v>
      </c>
      <c r="C503" t="s">
        <v>435</v>
      </c>
      <c r="D503" t="s">
        <v>994</v>
      </c>
      <c r="E503" t="s">
        <v>886</v>
      </c>
      <c r="F503" t="s">
        <v>995</v>
      </c>
      <c r="H503" t="s">
        <v>51</v>
      </c>
      <c r="I503" t="s">
        <v>60</v>
      </c>
      <c r="J503" t="s">
        <v>124</v>
      </c>
      <c r="K503" t="s">
        <v>996</v>
      </c>
      <c r="L503" t="s">
        <v>910</v>
      </c>
      <c r="M503" t="s">
        <v>997</v>
      </c>
      <c r="N503" t="s">
        <v>969</v>
      </c>
      <c r="O503" t="s">
        <v>998</v>
      </c>
      <c r="Q503" t="s">
        <v>57</v>
      </c>
      <c r="R503" t="s">
        <v>999</v>
      </c>
      <c r="Y503" t="s">
        <v>1000</v>
      </c>
      <c r="Z503">
        <v>7604</v>
      </c>
      <c r="AE503">
        <v>1138</v>
      </c>
      <c r="AF503" s="4">
        <v>0.4</v>
      </c>
      <c r="AG503">
        <f t="shared" si="51"/>
        <v>682.8</v>
      </c>
      <c r="AH503" s="4">
        <v>0.18</v>
      </c>
      <c r="AI503">
        <f t="shared" si="46"/>
        <v>805.7</v>
      </c>
      <c r="AJ503" s="4">
        <v>0.1</v>
      </c>
      <c r="AK503">
        <f t="shared" si="47"/>
        <v>80.57</v>
      </c>
      <c r="AL503">
        <f t="shared" si="48"/>
        <v>886.27</v>
      </c>
      <c r="AM503">
        <f t="shared" si="49"/>
        <v>251.73</v>
      </c>
      <c r="AN503" s="4">
        <f t="shared" si="50"/>
        <v>0.221203866432337</v>
      </c>
      <c r="AO503" t="s">
        <v>221</v>
      </c>
      <c r="AQ503" t="s">
        <v>217</v>
      </c>
      <c r="AT503" t="s">
        <v>64</v>
      </c>
    </row>
    <row r="504" ht="15.75" customHeight="1" spans="1:46">
      <c r="A504" t="s">
        <v>993</v>
      </c>
      <c r="B504" t="s">
        <v>67</v>
      </c>
      <c r="C504" t="s">
        <v>435</v>
      </c>
      <c r="D504" t="s">
        <v>994</v>
      </c>
      <c r="E504" t="s">
        <v>886</v>
      </c>
      <c r="F504" t="s">
        <v>995</v>
      </c>
      <c r="H504" t="s">
        <v>51</v>
      </c>
      <c r="I504" t="s">
        <v>60</v>
      </c>
      <c r="J504" t="s">
        <v>124</v>
      </c>
      <c r="K504" t="s">
        <v>1001</v>
      </c>
      <c r="L504" t="s">
        <v>910</v>
      </c>
      <c r="M504" t="s">
        <v>997</v>
      </c>
      <c r="N504" t="s">
        <v>969</v>
      </c>
      <c r="O504" t="s">
        <v>998</v>
      </c>
      <c r="Q504" t="s">
        <v>57</v>
      </c>
      <c r="R504" t="s">
        <v>1002</v>
      </c>
      <c r="Y504" t="s">
        <v>1000</v>
      </c>
      <c r="Z504">
        <v>7604</v>
      </c>
      <c r="AE504">
        <v>1138</v>
      </c>
      <c r="AF504" s="4">
        <v>0.4</v>
      </c>
      <c r="AG504">
        <f t="shared" si="51"/>
        <v>682.8</v>
      </c>
      <c r="AH504" s="4">
        <v>0.18</v>
      </c>
      <c r="AI504">
        <f t="shared" si="46"/>
        <v>805.7</v>
      </c>
      <c r="AJ504" s="4">
        <v>0.1</v>
      </c>
      <c r="AK504">
        <f t="shared" si="47"/>
        <v>80.57</v>
      </c>
      <c r="AL504">
        <f t="shared" si="48"/>
        <v>886.27</v>
      </c>
      <c r="AM504">
        <f t="shared" si="49"/>
        <v>251.73</v>
      </c>
      <c r="AN504" s="4">
        <f t="shared" si="50"/>
        <v>0.221203866432337</v>
      </c>
      <c r="AO504" t="s">
        <v>221</v>
      </c>
      <c r="AQ504" t="s">
        <v>217</v>
      </c>
      <c r="AT504" t="s">
        <v>64</v>
      </c>
    </row>
    <row r="505" ht="15.75" customHeight="1" spans="1:46">
      <c r="A505" t="s">
        <v>993</v>
      </c>
      <c r="B505" t="s">
        <v>71</v>
      </c>
      <c r="C505" t="s">
        <v>435</v>
      </c>
      <c r="D505" t="s">
        <v>994</v>
      </c>
      <c r="E505" t="s">
        <v>886</v>
      </c>
      <c r="F505" t="s">
        <v>995</v>
      </c>
      <c r="H505" t="s">
        <v>51</v>
      </c>
      <c r="I505" t="s">
        <v>60</v>
      </c>
      <c r="J505" t="s">
        <v>124</v>
      </c>
      <c r="K505" t="s">
        <v>1003</v>
      </c>
      <c r="L505" t="s">
        <v>910</v>
      </c>
      <c r="M505" t="s">
        <v>997</v>
      </c>
      <c r="N505" t="s">
        <v>969</v>
      </c>
      <c r="O505" t="s">
        <v>998</v>
      </c>
      <c r="Q505" t="s">
        <v>57</v>
      </c>
      <c r="R505" t="s">
        <v>1004</v>
      </c>
      <c r="Y505" t="s">
        <v>1000</v>
      </c>
      <c r="Z505">
        <v>7604</v>
      </c>
      <c r="AE505">
        <v>937</v>
      </c>
      <c r="AF505" s="4">
        <v>0.4</v>
      </c>
      <c r="AG505">
        <f t="shared" si="51"/>
        <v>562.2</v>
      </c>
      <c r="AH505" s="4">
        <v>0.18</v>
      </c>
      <c r="AI505">
        <f t="shared" si="46"/>
        <v>663.4</v>
      </c>
      <c r="AJ505" s="4">
        <v>0.1</v>
      </c>
      <c r="AK505">
        <f t="shared" si="47"/>
        <v>66.34</v>
      </c>
      <c r="AL505">
        <f t="shared" si="48"/>
        <v>729.74</v>
      </c>
      <c r="AM505">
        <f t="shared" si="49"/>
        <v>207.26</v>
      </c>
      <c r="AN505" s="4">
        <f t="shared" si="50"/>
        <v>0.22119530416222</v>
      </c>
      <c r="AO505" t="s">
        <v>221</v>
      </c>
      <c r="AQ505" t="s">
        <v>217</v>
      </c>
      <c r="AT505" t="s">
        <v>64</v>
      </c>
    </row>
    <row r="506" ht="15.75" customHeight="1" spans="1:46">
      <c r="A506" t="s">
        <v>1005</v>
      </c>
      <c r="B506" t="s">
        <v>46</v>
      </c>
      <c r="C506" t="s">
        <v>435</v>
      </c>
      <c r="D506" t="s">
        <v>994</v>
      </c>
      <c r="E506" t="s">
        <v>886</v>
      </c>
      <c r="F506" t="s">
        <v>1006</v>
      </c>
      <c r="H506" t="s">
        <v>51</v>
      </c>
      <c r="I506" t="s">
        <v>60</v>
      </c>
      <c r="J506" t="s">
        <v>124</v>
      </c>
      <c r="K506" t="s">
        <v>996</v>
      </c>
      <c r="L506" t="s">
        <v>910</v>
      </c>
      <c r="M506" t="s">
        <v>1007</v>
      </c>
      <c r="N506" t="s">
        <v>969</v>
      </c>
      <c r="O506" t="s">
        <v>998</v>
      </c>
      <c r="Q506" t="s">
        <v>57</v>
      </c>
      <c r="R506" t="s">
        <v>1008</v>
      </c>
      <c r="Y506" t="s">
        <v>1000</v>
      </c>
      <c r="Z506">
        <v>7604</v>
      </c>
      <c r="AE506">
        <v>1239</v>
      </c>
      <c r="AF506" s="4">
        <v>0.4</v>
      </c>
      <c r="AG506">
        <f t="shared" si="51"/>
        <v>743.4</v>
      </c>
      <c r="AH506" s="4">
        <v>0.18</v>
      </c>
      <c r="AI506">
        <f t="shared" si="46"/>
        <v>877.21</v>
      </c>
      <c r="AJ506" s="4">
        <v>0.1</v>
      </c>
      <c r="AK506">
        <f t="shared" si="47"/>
        <v>87.72</v>
      </c>
      <c r="AL506">
        <f t="shared" si="48"/>
        <v>964.93</v>
      </c>
      <c r="AM506">
        <f t="shared" si="49"/>
        <v>274.07</v>
      </c>
      <c r="AN506" s="4">
        <f t="shared" si="50"/>
        <v>0.221202582728006</v>
      </c>
      <c r="AO506" t="s">
        <v>221</v>
      </c>
      <c r="AQ506" t="s">
        <v>217</v>
      </c>
      <c r="AT506" t="s">
        <v>64</v>
      </c>
    </row>
    <row r="507" ht="15.75" customHeight="1" spans="1:46">
      <c r="A507" t="s">
        <v>1005</v>
      </c>
      <c r="B507" t="s">
        <v>67</v>
      </c>
      <c r="C507" t="s">
        <v>435</v>
      </c>
      <c r="D507" t="s">
        <v>994</v>
      </c>
      <c r="E507" t="s">
        <v>886</v>
      </c>
      <c r="F507" t="s">
        <v>1006</v>
      </c>
      <c r="H507" t="s">
        <v>51</v>
      </c>
      <c r="I507" t="s">
        <v>60</v>
      </c>
      <c r="J507" t="s">
        <v>124</v>
      </c>
      <c r="K507" t="s">
        <v>1001</v>
      </c>
      <c r="L507" t="s">
        <v>910</v>
      </c>
      <c r="M507" t="s">
        <v>1007</v>
      </c>
      <c r="N507" t="s">
        <v>969</v>
      </c>
      <c r="O507" t="s">
        <v>998</v>
      </c>
      <c r="Q507" t="s">
        <v>57</v>
      </c>
      <c r="R507" t="s">
        <v>1009</v>
      </c>
      <c r="Y507" t="s">
        <v>1000</v>
      </c>
      <c r="Z507">
        <v>7604</v>
      </c>
      <c r="AE507">
        <v>1239</v>
      </c>
      <c r="AF507" s="4">
        <v>0.4</v>
      </c>
      <c r="AG507">
        <f t="shared" si="51"/>
        <v>743.4</v>
      </c>
      <c r="AH507" s="4">
        <v>0.18</v>
      </c>
      <c r="AI507">
        <f t="shared" si="46"/>
        <v>877.21</v>
      </c>
      <c r="AJ507" s="4">
        <v>0.1</v>
      </c>
      <c r="AK507">
        <f t="shared" si="47"/>
        <v>87.72</v>
      </c>
      <c r="AL507">
        <f t="shared" si="48"/>
        <v>964.93</v>
      </c>
      <c r="AM507">
        <f t="shared" si="49"/>
        <v>274.07</v>
      </c>
      <c r="AN507" s="4">
        <f t="shared" si="50"/>
        <v>0.221202582728006</v>
      </c>
      <c r="AO507" t="s">
        <v>221</v>
      </c>
      <c r="AQ507" t="s">
        <v>217</v>
      </c>
      <c r="AT507" t="s">
        <v>64</v>
      </c>
    </row>
    <row r="508" ht="15.75" customHeight="1" spans="1:46">
      <c r="A508" t="s">
        <v>1005</v>
      </c>
      <c r="B508" t="s">
        <v>71</v>
      </c>
      <c r="C508" t="s">
        <v>435</v>
      </c>
      <c r="D508" t="s">
        <v>994</v>
      </c>
      <c r="E508" t="s">
        <v>886</v>
      </c>
      <c r="F508" t="s">
        <v>1006</v>
      </c>
      <c r="H508" t="s">
        <v>51</v>
      </c>
      <c r="I508" t="s">
        <v>60</v>
      </c>
      <c r="J508" t="s">
        <v>124</v>
      </c>
      <c r="K508" t="s">
        <v>1003</v>
      </c>
      <c r="L508" t="s">
        <v>910</v>
      </c>
      <c r="M508" t="s">
        <v>1007</v>
      </c>
      <c r="N508" t="s">
        <v>969</v>
      </c>
      <c r="O508" t="s">
        <v>998</v>
      </c>
      <c r="Q508" t="s">
        <v>57</v>
      </c>
      <c r="R508" t="s">
        <v>1010</v>
      </c>
      <c r="Y508" t="s">
        <v>1000</v>
      </c>
      <c r="Z508">
        <v>7604</v>
      </c>
      <c r="AE508">
        <v>1019</v>
      </c>
      <c r="AF508" s="4">
        <v>0.4</v>
      </c>
      <c r="AG508">
        <f t="shared" si="51"/>
        <v>611.4</v>
      </c>
      <c r="AH508" s="4">
        <v>0.18</v>
      </c>
      <c r="AI508">
        <f t="shared" si="46"/>
        <v>721.45</v>
      </c>
      <c r="AJ508" s="4">
        <v>0.1</v>
      </c>
      <c r="AK508">
        <f t="shared" si="47"/>
        <v>72.15</v>
      </c>
      <c r="AL508">
        <f t="shared" si="48"/>
        <v>793.6</v>
      </c>
      <c r="AM508">
        <f t="shared" si="49"/>
        <v>225.4</v>
      </c>
      <c r="AN508" s="4">
        <f t="shared" si="50"/>
        <v>0.221197252208047</v>
      </c>
      <c r="AO508" t="s">
        <v>221</v>
      </c>
      <c r="AQ508" t="s">
        <v>217</v>
      </c>
      <c r="AT508" t="s">
        <v>64</v>
      </c>
    </row>
    <row r="509" ht="15.75" customHeight="1" spans="1:46">
      <c r="A509" t="s">
        <v>1011</v>
      </c>
      <c r="B509" t="s">
        <v>46</v>
      </c>
      <c r="C509" t="s">
        <v>435</v>
      </c>
      <c r="D509" t="s">
        <v>994</v>
      </c>
      <c r="E509" t="s">
        <v>886</v>
      </c>
      <c r="F509" t="s">
        <v>1012</v>
      </c>
      <c r="H509" t="s">
        <v>51</v>
      </c>
      <c r="I509" t="s">
        <v>60</v>
      </c>
      <c r="J509" t="s">
        <v>124</v>
      </c>
      <c r="K509" t="s">
        <v>996</v>
      </c>
      <c r="L509" t="s">
        <v>910</v>
      </c>
      <c r="M509" t="s">
        <v>997</v>
      </c>
      <c r="N509" t="s">
        <v>969</v>
      </c>
      <c r="O509" t="s">
        <v>1013</v>
      </c>
      <c r="Q509" t="s">
        <v>57</v>
      </c>
      <c r="R509" t="s">
        <v>1014</v>
      </c>
      <c r="Y509" t="s">
        <v>1015</v>
      </c>
      <c r="Z509">
        <v>7604</v>
      </c>
      <c r="AE509">
        <v>2186</v>
      </c>
      <c r="AF509" s="4">
        <v>0.4</v>
      </c>
      <c r="AG509">
        <f t="shared" si="51"/>
        <v>1311.6</v>
      </c>
      <c r="AH509" s="4">
        <v>0.18</v>
      </c>
      <c r="AI509">
        <f t="shared" si="46"/>
        <v>1547.69</v>
      </c>
      <c r="AJ509" s="4">
        <v>0.1</v>
      </c>
      <c r="AK509">
        <f t="shared" si="47"/>
        <v>154.77</v>
      </c>
      <c r="AL509">
        <f t="shared" si="48"/>
        <v>1702.46</v>
      </c>
      <c r="AM509">
        <f t="shared" si="49"/>
        <v>483.54</v>
      </c>
      <c r="AN509" s="4">
        <f t="shared" si="50"/>
        <v>0.221198536139067</v>
      </c>
      <c r="AO509" t="s">
        <v>221</v>
      </c>
      <c r="AQ509" t="s">
        <v>217</v>
      </c>
      <c r="AT509" t="s">
        <v>64</v>
      </c>
    </row>
    <row r="510" ht="15.75" customHeight="1" spans="1:46">
      <c r="A510" t="s">
        <v>1011</v>
      </c>
      <c r="B510" t="s">
        <v>67</v>
      </c>
      <c r="C510" t="s">
        <v>435</v>
      </c>
      <c r="D510" t="s">
        <v>994</v>
      </c>
      <c r="E510" t="s">
        <v>886</v>
      </c>
      <c r="F510" t="s">
        <v>1012</v>
      </c>
      <c r="H510" t="s">
        <v>51</v>
      </c>
      <c r="I510" t="s">
        <v>60</v>
      </c>
      <c r="J510" t="s">
        <v>124</v>
      </c>
      <c r="K510" t="s">
        <v>1001</v>
      </c>
      <c r="L510" t="s">
        <v>910</v>
      </c>
      <c r="M510" t="s">
        <v>997</v>
      </c>
      <c r="N510" t="s">
        <v>969</v>
      </c>
      <c r="O510" t="s">
        <v>1013</v>
      </c>
      <c r="Q510" t="s">
        <v>57</v>
      </c>
      <c r="R510" t="s">
        <v>1016</v>
      </c>
      <c r="Y510" t="s">
        <v>1015</v>
      </c>
      <c r="Z510">
        <v>7604</v>
      </c>
      <c r="AE510">
        <v>2186</v>
      </c>
      <c r="AF510" s="4">
        <v>0.4</v>
      </c>
      <c r="AG510">
        <f t="shared" si="51"/>
        <v>1311.6</v>
      </c>
      <c r="AH510" s="4">
        <v>0.18</v>
      </c>
      <c r="AI510">
        <f t="shared" si="46"/>
        <v>1547.69</v>
      </c>
      <c r="AJ510" s="4">
        <v>0.1</v>
      </c>
      <c r="AK510">
        <f t="shared" si="47"/>
        <v>154.77</v>
      </c>
      <c r="AL510">
        <f t="shared" si="48"/>
        <v>1702.46</v>
      </c>
      <c r="AM510">
        <f t="shared" si="49"/>
        <v>483.54</v>
      </c>
      <c r="AN510" s="4">
        <f t="shared" si="50"/>
        <v>0.221198536139067</v>
      </c>
      <c r="AO510" t="s">
        <v>221</v>
      </c>
      <c r="AQ510" t="s">
        <v>217</v>
      </c>
      <c r="AT510" t="s">
        <v>64</v>
      </c>
    </row>
    <row r="511" ht="15.75" customHeight="1" spans="1:46">
      <c r="A511" t="s">
        <v>1011</v>
      </c>
      <c r="B511" t="s">
        <v>71</v>
      </c>
      <c r="C511" t="s">
        <v>435</v>
      </c>
      <c r="D511" t="s">
        <v>994</v>
      </c>
      <c r="E511" t="s">
        <v>886</v>
      </c>
      <c r="F511" t="s">
        <v>1012</v>
      </c>
      <c r="H511" t="s">
        <v>51</v>
      </c>
      <c r="I511" t="s">
        <v>60</v>
      </c>
      <c r="J511" t="s">
        <v>124</v>
      </c>
      <c r="K511" t="s">
        <v>1017</v>
      </c>
      <c r="L511" t="s">
        <v>910</v>
      </c>
      <c r="M511" t="s">
        <v>997</v>
      </c>
      <c r="N511" t="s">
        <v>969</v>
      </c>
      <c r="O511" t="s">
        <v>1013</v>
      </c>
      <c r="Q511" t="s">
        <v>57</v>
      </c>
      <c r="R511" t="s">
        <v>1018</v>
      </c>
      <c r="Y511" t="s">
        <v>1015</v>
      </c>
      <c r="Z511">
        <v>7604</v>
      </c>
      <c r="AE511">
        <v>1859</v>
      </c>
      <c r="AF511" s="4">
        <v>0.4</v>
      </c>
      <c r="AG511">
        <f t="shared" si="51"/>
        <v>1115.4</v>
      </c>
      <c r="AH511" s="4">
        <v>0.18</v>
      </c>
      <c r="AI511">
        <f t="shared" si="46"/>
        <v>1316.17</v>
      </c>
      <c r="AJ511" s="4">
        <v>0.1</v>
      </c>
      <c r="AK511">
        <f t="shared" si="47"/>
        <v>131.62</v>
      </c>
      <c r="AL511">
        <f t="shared" si="48"/>
        <v>1447.79</v>
      </c>
      <c r="AM511">
        <f t="shared" si="49"/>
        <v>411.21</v>
      </c>
      <c r="AN511" s="4">
        <f t="shared" si="50"/>
        <v>0.221199569661108</v>
      </c>
      <c r="AO511" t="s">
        <v>221</v>
      </c>
      <c r="AQ511" t="s">
        <v>217</v>
      </c>
      <c r="AT511" t="s">
        <v>64</v>
      </c>
    </row>
    <row r="512" ht="15.75" customHeight="1" spans="1:46">
      <c r="A512" t="s">
        <v>1011</v>
      </c>
      <c r="B512" t="s">
        <v>75</v>
      </c>
      <c r="C512" t="s">
        <v>435</v>
      </c>
      <c r="D512" t="s">
        <v>994</v>
      </c>
      <c r="E512" t="s">
        <v>886</v>
      </c>
      <c r="F512" t="s">
        <v>1012</v>
      </c>
      <c r="H512" t="s">
        <v>51</v>
      </c>
      <c r="I512" t="s">
        <v>60</v>
      </c>
      <c r="J512" t="s">
        <v>124</v>
      </c>
      <c r="K512" t="s">
        <v>1019</v>
      </c>
      <c r="L512" t="s">
        <v>910</v>
      </c>
      <c r="M512" t="s">
        <v>997</v>
      </c>
      <c r="N512" t="s">
        <v>969</v>
      </c>
      <c r="O512" t="s">
        <v>1013</v>
      </c>
      <c r="Q512" t="s">
        <v>57</v>
      </c>
      <c r="R512" t="s">
        <v>1020</v>
      </c>
      <c r="Y512" t="s">
        <v>1015</v>
      </c>
      <c r="Z512">
        <v>7604</v>
      </c>
      <c r="AE512">
        <v>2186</v>
      </c>
      <c r="AF512" s="4">
        <v>0.4</v>
      </c>
      <c r="AG512">
        <f t="shared" si="51"/>
        <v>1311.6</v>
      </c>
      <c r="AH512" s="4">
        <v>0.18</v>
      </c>
      <c r="AI512">
        <f t="shared" si="46"/>
        <v>1547.69</v>
      </c>
      <c r="AJ512" s="4">
        <v>0.1</v>
      </c>
      <c r="AK512">
        <f t="shared" si="47"/>
        <v>154.77</v>
      </c>
      <c r="AL512">
        <f t="shared" si="48"/>
        <v>1702.46</v>
      </c>
      <c r="AM512">
        <f t="shared" si="49"/>
        <v>483.54</v>
      </c>
      <c r="AN512" s="4">
        <f t="shared" si="50"/>
        <v>0.221198536139067</v>
      </c>
      <c r="AO512" t="s">
        <v>221</v>
      </c>
      <c r="AQ512" t="s">
        <v>217</v>
      </c>
      <c r="AT512" t="s">
        <v>64</v>
      </c>
    </row>
    <row r="513" ht="15.75" customHeight="1" spans="1:46">
      <c r="A513" t="s">
        <v>1021</v>
      </c>
      <c r="B513" t="s">
        <v>46</v>
      </c>
      <c r="C513" t="s">
        <v>435</v>
      </c>
      <c r="D513" t="s">
        <v>925</v>
      </c>
      <c r="E513" t="s">
        <v>1022</v>
      </c>
      <c r="F513" t="s">
        <v>1023</v>
      </c>
      <c r="H513" t="s">
        <v>51</v>
      </c>
      <c r="I513" t="s">
        <v>927</v>
      </c>
      <c r="J513" t="s">
        <v>124</v>
      </c>
      <c r="K513" t="s">
        <v>909</v>
      </c>
      <c r="L513" t="s">
        <v>910</v>
      </c>
      <c r="M513" t="s">
        <v>1024</v>
      </c>
      <c r="N513" t="s">
        <v>969</v>
      </c>
      <c r="O513" t="s">
        <v>1025</v>
      </c>
      <c r="Q513" t="s">
        <v>57</v>
      </c>
      <c r="Y513" t="s">
        <v>1026</v>
      </c>
      <c r="Z513">
        <v>7604</v>
      </c>
      <c r="AE513">
        <v>1800</v>
      </c>
      <c r="AF513" s="4">
        <v>0.5</v>
      </c>
      <c r="AG513">
        <f t="shared" si="51"/>
        <v>900</v>
      </c>
      <c r="AH513" s="4">
        <v>0.18</v>
      </c>
      <c r="AI513">
        <f t="shared" si="46"/>
        <v>1062</v>
      </c>
      <c r="AJ513" s="4">
        <v>0.2</v>
      </c>
      <c r="AK513">
        <f t="shared" si="47"/>
        <v>212.4</v>
      </c>
      <c r="AL513">
        <f t="shared" si="48"/>
        <v>1274.4</v>
      </c>
      <c r="AM513">
        <f t="shared" si="49"/>
        <v>525.6</v>
      </c>
      <c r="AN513" s="4">
        <f t="shared" si="50"/>
        <v>0.292</v>
      </c>
      <c r="AO513" t="s">
        <v>221</v>
      </c>
      <c r="AQ513" t="s">
        <v>217</v>
      </c>
      <c r="AS513" t="s">
        <v>981</v>
      </c>
      <c r="AT513" t="s">
        <v>221</v>
      </c>
    </row>
    <row r="514" ht="15.75" customHeight="1" spans="1:46">
      <c r="A514" t="s">
        <v>1021</v>
      </c>
      <c r="B514" t="s">
        <v>67</v>
      </c>
      <c r="C514" t="s">
        <v>435</v>
      </c>
      <c r="D514" t="s">
        <v>925</v>
      </c>
      <c r="E514" t="s">
        <v>1022</v>
      </c>
      <c r="F514" t="s">
        <v>1023</v>
      </c>
      <c r="H514" t="s">
        <v>51</v>
      </c>
      <c r="I514" t="s">
        <v>927</v>
      </c>
      <c r="J514" t="s">
        <v>124</v>
      </c>
      <c r="K514" t="s">
        <v>964</v>
      </c>
      <c r="L514" t="s">
        <v>910</v>
      </c>
      <c r="M514" t="s">
        <v>1024</v>
      </c>
      <c r="N514" t="s">
        <v>969</v>
      </c>
      <c r="O514" t="s">
        <v>1025</v>
      </c>
      <c r="Q514" t="s">
        <v>57</v>
      </c>
      <c r="Y514" t="s">
        <v>1027</v>
      </c>
      <c r="Z514">
        <v>7604</v>
      </c>
      <c r="AE514">
        <v>2000</v>
      </c>
      <c r="AF514" s="4">
        <v>0.5</v>
      </c>
      <c r="AG514">
        <f t="shared" si="51"/>
        <v>1000</v>
      </c>
      <c r="AH514" s="4">
        <v>0.18</v>
      </c>
      <c r="AI514">
        <f t="shared" ref="AI514:AI577" si="52">ROUND(AG514+(AG514*AH514),2)</f>
        <v>1180</v>
      </c>
      <c r="AJ514" s="4">
        <v>0.2</v>
      </c>
      <c r="AK514">
        <f t="shared" ref="AK514:AK577" si="53">ROUND(AI514*AJ514,2)</f>
        <v>236</v>
      </c>
      <c r="AL514">
        <f t="shared" ref="AL514:AL577" si="54">AI514+AK514</f>
        <v>1416</v>
      </c>
      <c r="AM514">
        <f t="shared" ref="AM514:AM577" si="55">AE514-AL514</f>
        <v>584</v>
      </c>
      <c r="AN514" s="4">
        <f t="shared" ref="AN514:AN577" si="56">AM514/AE514</f>
        <v>0.292</v>
      </c>
      <c r="AO514" t="s">
        <v>221</v>
      </c>
      <c r="AQ514" t="s">
        <v>217</v>
      </c>
      <c r="AS514" t="s">
        <v>981</v>
      </c>
      <c r="AT514" t="s">
        <v>221</v>
      </c>
    </row>
    <row r="515" ht="15.75" customHeight="1" spans="1:46">
      <c r="A515" t="s">
        <v>1021</v>
      </c>
      <c r="B515" t="s">
        <v>71</v>
      </c>
      <c r="C515" t="s">
        <v>435</v>
      </c>
      <c r="D515" t="s">
        <v>925</v>
      </c>
      <c r="E515" t="s">
        <v>1022</v>
      </c>
      <c r="F515" t="s">
        <v>1023</v>
      </c>
      <c r="H515" t="s">
        <v>51</v>
      </c>
      <c r="I515" t="s">
        <v>927</v>
      </c>
      <c r="J515" t="s">
        <v>124</v>
      </c>
      <c r="K515" t="s">
        <v>957</v>
      </c>
      <c r="L515" t="s">
        <v>910</v>
      </c>
      <c r="M515" t="s">
        <v>1024</v>
      </c>
      <c r="N515" t="s">
        <v>969</v>
      </c>
      <c r="O515" t="s">
        <v>1025</v>
      </c>
      <c r="Q515" t="s">
        <v>57</v>
      </c>
      <c r="Y515" t="s">
        <v>1028</v>
      </c>
      <c r="Z515">
        <v>7604</v>
      </c>
      <c r="AE515">
        <v>1700</v>
      </c>
      <c r="AF515" s="4">
        <v>0.5</v>
      </c>
      <c r="AG515">
        <f t="shared" si="51"/>
        <v>850</v>
      </c>
      <c r="AH515" s="4">
        <v>0.18</v>
      </c>
      <c r="AI515">
        <f t="shared" si="52"/>
        <v>1003</v>
      </c>
      <c r="AJ515" s="4">
        <v>0.2</v>
      </c>
      <c r="AK515">
        <f t="shared" si="53"/>
        <v>200.6</v>
      </c>
      <c r="AL515">
        <f t="shared" si="54"/>
        <v>1203.6</v>
      </c>
      <c r="AM515">
        <f t="shared" si="55"/>
        <v>496.4</v>
      </c>
      <c r="AN515" s="4">
        <f t="shared" si="56"/>
        <v>0.292</v>
      </c>
      <c r="AO515" t="s">
        <v>221</v>
      </c>
      <c r="AQ515" t="s">
        <v>217</v>
      </c>
      <c r="AS515" t="s">
        <v>981</v>
      </c>
      <c r="AT515" t="s">
        <v>221</v>
      </c>
    </row>
    <row r="516" ht="15.75" customHeight="1" spans="1:46">
      <c r="A516" t="s">
        <v>1029</v>
      </c>
      <c r="B516" t="s">
        <v>46</v>
      </c>
      <c r="C516" t="s">
        <v>435</v>
      </c>
      <c r="D516" t="s">
        <v>925</v>
      </c>
      <c r="E516" t="s">
        <v>1022</v>
      </c>
      <c r="F516" t="s">
        <v>1030</v>
      </c>
      <c r="H516" t="s">
        <v>51</v>
      </c>
      <c r="I516" t="s">
        <v>933</v>
      </c>
      <c r="J516" t="s">
        <v>124</v>
      </c>
      <c r="K516" t="s">
        <v>909</v>
      </c>
      <c r="L516" t="s">
        <v>910</v>
      </c>
      <c r="M516" t="s">
        <v>1024</v>
      </c>
      <c r="N516" t="s">
        <v>969</v>
      </c>
      <c r="O516" t="s">
        <v>1031</v>
      </c>
      <c r="Q516" t="s">
        <v>57</v>
      </c>
      <c r="Y516" t="s">
        <v>1032</v>
      </c>
      <c r="Z516">
        <v>7604</v>
      </c>
      <c r="AE516">
        <v>1600</v>
      </c>
      <c r="AF516" s="4">
        <v>0.5</v>
      </c>
      <c r="AG516">
        <f t="shared" si="51"/>
        <v>800</v>
      </c>
      <c r="AH516" s="4">
        <v>0.18</v>
      </c>
      <c r="AI516">
        <f t="shared" si="52"/>
        <v>944</v>
      </c>
      <c r="AJ516" s="4">
        <v>0.2</v>
      </c>
      <c r="AK516">
        <f t="shared" si="53"/>
        <v>188.8</v>
      </c>
      <c r="AL516">
        <f t="shared" si="54"/>
        <v>1132.8</v>
      </c>
      <c r="AM516">
        <f t="shared" si="55"/>
        <v>467.2</v>
      </c>
      <c r="AN516" s="4">
        <f t="shared" si="56"/>
        <v>0.292</v>
      </c>
      <c r="AO516" t="s">
        <v>221</v>
      </c>
      <c r="AQ516" t="s">
        <v>217</v>
      </c>
      <c r="AS516" t="s">
        <v>981</v>
      </c>
      <c r="AT516" t="s">
        <v>221</v>
      </c>
    </row>
    <row r="517" ht="15.75" customHeight="1" spans="1:46">
      <c r="A517" t="s">
        <v>1029</v>
      </c>
      <c r="B517" t="s">
        <v>67</v>
      </c>
      <c r="C517" t="s">
        <v>435</v>
      </c>
      <c r="D517" t="s">
        <v>925</v>
      </c>
      <c r="E517" t="s">
        <v>1022</v>
      </c>
      <c r="F517" t="s">
        <v>1030</v>
      </c>
      <c r="H517" t="s">
        <v>51</v>
      </c>
      <c r="I517" t="s">
        <v>933</v>
      </c>
      <c r="J517" t="s">
        <v>124</v>
      </c>
      <c r="K517" t="s">
        <v>964</v>
      </c>
      <c r="L517" t="s">
        <v>910</v>
      </c>
      <c r="M517" t="s">
        <v>1024</v>
      </c>
      <c r="N517" t="s">
        <v>969</v>
      </c>
      <c r="O517" t="s">
        <v>1031</v>
      </c>
      <c r="Q517" t="s">
        <v>57</v>
      </c>
      <c r="Y517" t="s">
        <v>1033</v>
      </c>
      <c r="Z517">
        <v>7604</v>
      </c>
      <c r="AE517">
        <v>1800</v>
      </c>
      <c r="AF517" s="4">
        <v>0.5</v>
      </c>
      <c r="AG517">
        <f t="shared" si="51"/>
        <v>900</v>
      </c>
      <c r="AH517" s="4">
        <v>0.18</v>
      </c>
      <c r="AI517">
        <f t="shared" si="52"/>
        <v>1062</v>
      </c>
      <c r="AJ517" s="4">
        <v>0.2</v>
      </c>
      <c r="AK517">
        <f t="shared" si="53"/>
        <v>212.4</v>
      </c>
      <c r="AL517">
        <f t="shared" si="54"/>
        <v>1274.4</v>
      </c>
      <c r="AM517">
        <f t="shared" si="55"/>
        <v>525.6</v>
      </c>
      <c r="AN517" s="4">
        <f t="shared" si="56"/>
        <v>0.292</v>
      </c>
      <c r="AO517" t="s">
        <v>221</v>
      </c>
      <c r="AQ517" t="s">
        <v>217</v>
      </c>
      <c r="AS517" t="s">
        <v>981</v>
      </c>
      <c r="AT517" t="s">
        <v>221</v>
      </c>
    </row>
    <row r="518" ht="15.75" customHeight="1" spans="1:46">
      <c r="A518" t="s">
        <v>1029</v>
      </c>
      <c r="B518" t="s">
        <v>71</v>
      </c>
      <c r="C518" t="s">
        <v>435</v>
      </c>
      <c r="D518" t="s">
        <v>925</v>
      </c>
      <c r="E518" t="s">
        <v>1022</v>
      </c>
      <c r="F518" t="s">
        <v>1030</v>
      </c>
      <c r="H518" t="s">
        <v>51</v>
      </c>
      <c r="I518" t="s">
        <v>933</v>
      </c>
      <c r="J518" t="s">
        <v>124</v>
      </c>
      <c r="K518" t="s">
        <v>957</v>
      </c>
      <c r="L518" t="s">
        <v>910</v>
      </c>
      <c r="M518" t="s">
        <v>1024</v>
      </c>
      <c r="N518" t="s">
        <v>969</v>
      </c>
      <c r="O518" t="s">
        <v>1031</v>
      </c>
      <c r="Q518" t="s">
        <v>57</v>
      </c>
      <c r="Y518" t="s">
        <v>1034</v>
      </c>
      <c r="Z518">
        <v>7604</v>
      </c>
      <c r="AE518">
        <v>1500</v>
      </c>
      <c r="AF518" s="4">
        <v>0.5</v>
      </c>
      <c r="AG518">
        <f t="shared" si="51"/>
        <v>750</v>
      </c>
      <c r="AH518" s="4">
        <v>0.18</v>
      </c>
      <c r="AI518">
        <f t="shared" si="52"/>
        <v>885</v>
      </c>
      <c r="AJ518" s="4">
        <v>0.2</v>
      </c>
      <c r="AK518">
        <f t="shared" si="53"/>
        <v>177</v>
      </c>
      <c r="AL518">
        <f t="shared" si="54"/>
        <v>1062</v>
      </c>
      <c r="AM518">
        <f t="shared" si="55"/>
        <v>438</v>
      </c>
      <c r="AN518" s="4">
        <f t="shared" si="56"/>
        <v>0.292</v>
      </c>
      <c r="AO518" t="s">
        <v>221</v>
      </c>
      <c r="AQ518" t="s">
        <v>217</v>
      </c>
      <c r="AS518" t="s">
        <v>981</v>
      </c>
      <c r="AT518" t="s">
        <v>221</v>
      </c>
    </row>
    <row r="519" ht="15.75" customHeight="1" spans="1:46">
      <c r="A519" t="s">
        <v>1035</v>
      </c>
      <c r="B519" t="s">
        <v>46</v>
      </c>
      <c r="C519" t="s">
        <v>435</v>
      </c>
      <c r="D519" t="s">
        <v>925</v>
      </c>
      <c r="E519" t="s">
        <v>1022</v>
      </c>
      <c r="F519" t="s">
        <v>1036</v>
      </c>
      <c r="H519" t="s">
        <v>51</v>
      </c>
      <c r="I519" t="s">
        <v>1037</v>
      </c>
      <c r="J519" t="s">
        <v>124</v>
      </c>
      <c r="K519" t="s">
        <v>909</v>
      </c>
      <c r="L519" t="s">
        <v>910</v>
      </c>
      <c r="M519" t="s">
        <v>997</v>
      </c>
      <c r="N519" t="s">
        <v>969</v>
      </c>
      <c r="O519" t="s">
        <v>1013</v>
      </c>
      <c r="Q519" t="s">
        <v>57</v>
      </c>
      <c r="Y519" t="s">
        <v>1038</v>
      </c>
      <c r="Z519">
        <v>7604</v>
      </c>
      <c r="AE519">
        <v>1600</v>
      </c>
      <c r="AF519" s="4">
        <v>0.5</v>
      </c>
      <c r="AG519">
        <f t="shared" si="51"/>
        <v>800</v>
      </c>
      <c r="AH519" s="4">
        <v>0.18</v>
      </c>
      <c r="AI519">
        <f t="shared" si="52"/>
        <v>944</v>
      </c>
      <c r="AJ519" s="4">
        <v>0.2</v>
      </c>
      <c r="AK519">
        <f t="shared" si="53"/>
        <v>188.8</v>
      </c>
      <c r="AL519">
        <f t="shared" si="54"/>
        <v>1132.8</v>
      </c>
      <c r="AM519">
        <f t="shared" si="55"/>
        <v>467.2</v>
      </c>
      <c r="AN519" s="4">
        <f t="shared" si="56"/>
        <v>0.292</v>
      </c>
      <c r="AO519" t="s">
        <v>221</v>
      </c>
      <c r="AQ519" t="s">
        <v>217</v>
      </c>
      <c r="AS519" t="s">
        <v>1039</v>
      </c>
      <c r="AT519" t="s">
        <v>221</v>
      </c>
    </row>
    <row r="520" ht="15.75" customHeight="1" spans="1:46">
      <c r="A520" t="s">
        <v>1035</v>
      </c>
      <c r="B520" t="s">
        <v>67</v>
      </c>
      <c r="C520" t="s">
        <v>435</v>
      </c>
      <c r="D520" t="s">
        <v>925</v>
      </c>
      <c r="E520" t="s">
        <v>1022</v>
      </c>
      <c r="F520" t="s">
        <v>1036</v>
      </c>
      <c r="H520" t="s">
        <v>51</v>
      </c>
      <c r="I520" t="s">
        <v>1037</v>
      </c>
      <c r="J520" t="s">
        <v>124</v>
      </c>
      <c r="K520" t="s">
        <v>964</v>
      </c>
      <c r="L520" t="s">
        <v>910</v>
      </c>
      <c r="M520" t="s">
        <v>997</v>
      </c>
      <c r="N520" t="s">
        <v>969</v>
      </c>
      <c r="O520" t="s">
        <v>1013</v>
      </c>
      <c r="Q520" t="s">
        <v>57</v>
      </c>
      <c r="Y520" t="s">
        <v>1040</v>
      </c>
      <c r="Z520">
        <v>7604</v>
      </c>
      <c r="AE520">
        <v>1600</v>
      </c>
      <c r="AF520" s="4">
        <v>0.5</v>
      </c>
      <c r="AG520">
        <f t="shared" si="51"/>
        <v>800</v>
      </c>
      <c r="AH520" s="4">
        <v>0.18</v>
      </c>
      <c r="AI520">
        <f t="shared" si="52"/>
        <v>944</v>
      </c>
      <c r="AJ520" s="4">
        <v>0.2</v>
      </c>
      <c r="AK520">
        <f t="shared" si="53"/>
        <v>188.8</v>
      </c>
      <c r="AL520">
        <f t="shared" si="54"/>
        <v>1132.8</v>
      </c>
      <c r="AM520">
        <f t="shared" si="55"/>
        <v>467.2</v>
      </c>
      <c r="AN520" s="4">
        <f t="shared" si="56"/>
        <v>0.292</v>
      </c>
      <c r="AO520" t="s">
        <v>221</v>
      </c>
      <c r="AQ520" t="s">
        <v>217</v>
      </c>
      <c r="AS520" t="s">
        <v>1039</v>
      </c>
      <c r="AT520" t="s">
        <v>221</v>
      </c>
    </row>
    <row r="521" ht="15.75" customHeight="1" spans="1:46">
      <c r="A521" t="s">
        <v>1035</v>
      </c>
      <c r="B521" t="s">
        <v>71</v>
      </c>
      <c r="C521" t="s">
        <v>435</v>
      </c>
      <c r="D521" t="s">
        <v>925</v>
      </c>
      <c r="E521" t="s">
        <v>1022</v>
      </c>
      <c r="F521" t="s">
        <v>1036</v>
      </c>
      <c r="H521" t="s">
        <v>51</v>
      </c>
      <c r="I521" t="s">
        <v>1037</v>
      </c>
      <c r="J521" t="s">
        <v>124</v>
      </c>
      <c r="K521" t="s">
        <v>957</v>
      </c>
      <c r="L521" t="s">
        <v>910</v>
      </c>
      <c r="M521" t="s">
        <v>997</v>
      </c>
      <c r="N521" t="s">
        <v>969</v>
      </c>
      <c r="O521" t="s">
        <v>1013</v>
      </c>
      <c r="Q521" t="s">
        <v>57</v>
      </c>
      <c r="Y521" t="s">
        <v>1041</v>
      </c>
      <c r="Z521">
        <v>7604</v>
      </c>
      <c r="AE521">
        <v>1600</v>
      </c>
      <c r="AF521" s="4">
        <v>0.5</v>
      </c>
      <c r="AG521">
        <f t="shared" si="51"/>
        <v>800</v>
      </c>
      <c r="AH521" s="4">
        <v>0.18</v>
      </c>
      <c r="AI521">
        <f t="shared" si="52"/>
        <v>944</v>
      </c>
      <c r="AJ521" s="4">
        <v>0.2</v>
      </c>
      <c r="AK521">
        <f t="shared" si="53"/>
        <v>188.8</v>
      </c>
      <c r="AL521">
        <f t="shared" si="54"/>
        <v>1132.8</v>
      </c>
      <c r="AM521">
        <f t="shared" si="55"/>
        <v>467.2</v>
      </c>
      <c r="AN521" s="4">
        <f t="shared" si="56"/>
        <v>0.292</v>
      </c>
      <c r="AO521" t="s">
        <v>221</v>
      </c>
      <c r="AQ521" t="s">
        <v>217</v>
      </c>
      <c r="AS521" t="s">
        <v>1039</v>
      </c>
      <c r="AT521" t="s">
        <v>221</v>
      </c>
    </row>
    <row r="522" ht="15.75" customHeight="1" spans="1:46">
      <c r="A522" t="s">
        <v>1035</v>
      </c>
      <c r="B522" t="s">
        <v>75</v>
      </c>
      <c r="C522" t="s">
        <v>435</v>
      </c>
      <c r="D522" t="s">
        <v>925</v>
      </c>
      <c r="E522" t="s">
        <v>1022</v>
      </c>
      <c r="F522" t="s">
        <v>1036</v>
      </c>
      <c r="H522" t="s">
        <v>51</v>
      </c>
      <c r="I522" t="s">
        <v>1042</v>
      </c>
      <c r="J522" t="s">
        <v>124</v>
      </c>
      <c r="K522" t="s">
        <v>909</v>
      </c>
      <c r="Q522" t="s">
        <v>57</v>
      </c>
      <c r="Y522" t="s">
        <v>1038</v>
      </c>
      <c r="Z522">
        <v>7604</v>
      </c>
      <c r="AE522">
        <v>1500</v>
      </c>
      <c r="AF522" s="4">
        <v>0.5</v>
      </c>
      <c r="AG522">
        <f t="shared" si="51"/>
        <v>750</v>
      </c>
      <c r="AH522" s="4">
        <v>0.18</v>
      </c>
      <c r="AI522">
        <f t="shared" si="52"/>
        <v>885</v>
      </c>
      <c r="AJ522" s="4">
        <v>0.2</v>
      </c>
      <c r="AK522">
        <f t="shared" si="53"/>
        <v>177</v>
      </c>
      <c r="AL522">
        <f t="shared" si="54"/>
        <v>1062</v>
      </c>
      <c r="AM522">
        <f t="shared" si="55"/>
        <v>438</v>
      </c>
      <c r="AN522" s="4">
        <f t="shared" si="56"/>
        <v>0.292</v>
      </c>
      <c r="AO522" t="s">
        <v>221</v>
      </c>
      <c r="AQ522" t="s">
        <v>217</v>
      </c>
      <c r="AS522" t="s">
        <v>1039</v>
      </c>
      <c r="AT522" t="s">
        <v>221</v>
      </c>
    </row>
    <row r="523" ht="15.75" customHeight="1" spans="1:46">
      <c r="A523" t="s">
        <v>1035</v>
      </c>
      <c r="B523" t="s">
        <v>79</v>
      </c>
      <c r="C523" t="s">
        <v>435</v>
      </c>
      <c r="D523" t="s">
        <v>925</v>
      </c>
      <c r="E523" t="s">
        <v>1022</v>
      </c>
      <c r="F523" t="s">
        <v>1036</v>
      </c>
      <c r="H523" t="s">
        <v>51</v>
      </c>
      <c r="I523" t="s">
        <v>1042</v>
      </c>
      <c r="J523" t="s">
        <v>124</v>
      </c>
      <c r="K523" t="s">
        <v>964</v>
      </c>
      <c r="Q523" t="s">
        <v>57</v>
      </c>
      <c r="Y523" t="s">
        <v>1043</v>
      </c>
      <c r="Z523">
        <v>7604</v>
      </c>
      <c r="AE523">
        <v>1500</v>
      </c>
      <c r="AF523" s="4">
        <v>0.5</v>
      </c>
      <c r="AG523">
        <f t="shared" si="51"/>
        <v>750</v>
      </c>
      <c r="AH523" s="4">
        <v>0.18</v>
      </c>
      <c r="AI523">
        <f t="shared" si="52"/>
        <v>885</v>
      </c>
      <c r="AJ523" s="4">
        <v>0.2</v>
      </c>
      <c r="AK523">
        <f t="shared" si="53"/>
        <v>177</v>
      </c>
      <c r="AL523">
        <f t="shared" si="54"/>
        <v>1062</v>
      </c>
      <c r="AM523">
        <f t="shared" si="55"/>
        <v>438</v>
      </c>
      <c r="AN523" s="4">
        <f t="shared" si="56"/>
        <v>0.292</v>
      </c>
      <c r="AO523" t="s">
        <v>221</v>
      </c>
      <c r="AQ523" t="s">
        <v>217</v>
      </c>
      <c r="AS523" t="s">
        <v>1039</v>
      </c>
      <c r="AT523" t="s">
        <v>221</v>
      </c>
    </row>
    <row r="524" ht="15.75" customHeight="1" spans="1:46">
      <c r="A524" t="s">
        <v>1035</v>
      </c>
      <c r="B524" t="s">
        <v>83</v>
      </c>
      <c r="C524" t="s">
        <v>435</v>
      </c>
      <c r="D524" t="s">
        <v>925</v>
      </c>
      <c r="E524" t="s">
        <v>1022</v>
      </c>
      <c r="F524" t="s">
        <v>1036</v>
      </c>
      <c r="H524" t="s">
        <v>51</v>
      </c>
      <c r="I524" t="s">
        <v>1042</v>
      </c>
      <c r="J524" t="s">
        <v>124</v>
      </c>
      <c r="K524" t="s">
        <v>957</v>
      </c>
      <c r="Q524" t="s">
        <v>57</v>
      </c>
      <c r="Y524" t="s">
        <v>1044</v>
      </c>
      <c r="Z524">
        <v>7604</v>
      </c>
      <c r="AE524">
        <v>1500</v>
      </c>
      <c r="AF524" s="4">
        <v>0.5</v>
      </c>
      <c r="AG524">
        <f t="shared" si="51"/>
        <v>750</v>
      </c>
      <c r="AH524" s="4">
        <v>0.18</v>
      </c>
      <c r="AI524">
        <f t="shared" si="52"/>
        <v>885</v>
      </c>
      <c r="AJ524" s="4">
        <v>0.2</v>
      </c>
      <c r="AK524">
        <f t="shared" si="53"/>
        <v>177</v>
      </c>
      <c r="AL524">
        <f t="shared" si="54"/>
        <v>1062</v>
      </c>
      <c r="AM524">
        <f t="shared" si="55"/>
        <v>438</v>
      </c>
      <c r="AN524" s="4">
        <f t="shared" si="56"/>
        <v>0.292</v>
      </c>
      <c r="AO524" t="s">
        <v>221</v>
      </c>
      <c r="AQ524" t="s">
        <v>217</v>
      </c>
      <c r="AS524" t="s">
        <v>1039</v>
      </c>
      <c r="AT524" t="s">
        <v>221</v>
      </c>
    </row>
    <row r="525" ht="15.75" customHeight="1" spans="1:46">
      <c r="A525" t="s">
        <v>1045</v>
      </c>
      <c r="B525" t="s">
        <v>46</v>
      </c>
      <c r="C525" t="s">
        <v>435</v>
      </c>
      <c r="D525" t="s">
        <v>1046</v>
      </c>
      <c r="E525" t="s">
        <v>437</v>
      </c>
      <c r="F525" t="s">
        <v>1047</v>
      </c>
      <c r="H525" t="s">
        <v>186</v>
      </c>
      <c r="I525" t="s">
        <v>1048</v>
      </c>
      <c r="J525" t="s">
        <v>124</v>
      </c>
      <c r="K525" t="s">
        <v>1049</v>
      </c>
      <c r="L525" t="s">
        <v>969</v>
      </c>
      <c r="M525" t="s">
        <v>746</v>
      </c>
      <c r="Q525" t="s">
        <v>57</v>
      </c>
      <c r="R525">
        <v>9194937</v>
      </c>
      <c r="Y525" t="s">
        <v>1050</v>
      </c>
      <c r="Z525">
        <v>39249000</v>
      </c>
      <c r="AE525">
        <v>830</v>
      </c>
      <c r="AF525" s="4">
        <v>0.45</v>
      </c>
      <c r="AG525">
        <f t="shared" si="51"/>
        <v>456.5</v>
      </c>
      <c r="AH525" s="4">
        <v>0.18</v>
      </c>
      <c r="AI525">
        <f t="shared" si="52"/>
        <v>538.67</v>
      </c>
      <c r="AJ525" s="4">
        <v>0.2</v>
      </c>
      <c r="AK525">
        <f t="shared" si="53"/>
        <v>107.73</v>
      </c>
      <c r="AL525">
        <f t="shared" si="54"/>
        <v>646.4</v>
      </c>
      <c r="AM525">
        <f t="shared" si="55"/>
        <v>183.6</v>
      </c>
      <c r="AN525" s="4">
        <f t="shared" si="56"/>
        <v>0.221204819277108</v>
      </c>
      <c r="AO525" t="s">
        <v>221</v>
      </c>
      <c r="AQ525" t="s">
        <v>217</v>
      </c>
      <c r="AS525" t="s">
        <v>1051</v>
      </c>
      <c r="AT525" t="s">
        <v>221</v>
      </c>
    </row>
    <row r="526" ht="15.75" customHeight="1" spans="1:46">
      <c r="A526" t="s">
        <v>1045</v>
      </c>
      <c r="B526" t="s">
        <v>67</v>
      </c>
      <c r="C526" t="s">
        <v>435</v>
      </c>
      <c r="D526" t="s">
        <v>1046</v>
      </c>
      <c r="E526" t="s">
        <v>437</v>
      </c>
      <c r="F526" t="s">
        <v>1047</v>
      </c>
      <c r="H526" t="s">
        <v>186</v>
      </c>
      <c r="I526" t="s">
        <v>1048</v>
      </c>
      <c r="J526" t="s">
        <v>124</v>
      </c>
      <c r="K526" t="s">
        <v>1049</v>
      </c>
      <c r="L526" t="s">
        <v>969</v>
      </c>
      <c r="M526" t="s">
        <v>1052</v>
      </c>
      <c r="Q526" t="s">
        <v>57</v>
      </c>
      <c r="R526">
        <v>9194940</v>
      </c>
      <c r="Y526" t="s">
        <v>1053</v>
      </c>
      <c r="Z526">
        <v>39249000</v>
      </c>
      <c r="AE526">
        <v>1670</v>
      </c>
      <c r="AF526" s="4">
        <v>0.45</v>
      </c>
      <c r="AG526">
        <f t="shared" si="51"/>
        <v>918.5</v>
      </c>
      <c r="AH526" s="4">
        <v>0.18</v>
      </c>
      <c r="AI526">
        <f t="shared" si="52"/>
        <v>1083.83</v>
      </c>
      <c r="AJ526" s="4">
        <v>0.2</v>
      </c>
      <c r="AK526">
        <f t="shared" si="53"/>
        <v>216.77</v>
      </c>
      <c r="AL526">
        <f t="shared" si="54"/>
        <v>1300.6</v>
      </c>
      <c r="AM526">
        <f t="shared" si="55"/>
        <v>369.4</v>
      </c>
      <c r="AN526" s="4">
        <f t="shared" si="56"/>
        <v>0.221197604790419</v>
      </c>
      <c r="AO526" t="s">
        <v>221</v>
      </c>
      <c r="AQ526" t="s">
        <v>217</v>
      </c>
      <c r="AS526" t="s">
        <v>1051</v>
      </c>
      <c r="AT526" t="s">
        <v>221</v>
      </c>
    </row>
    <row r="527" ht="15.75" customHeight="1" spans="1:46">
      <c r="A527" t="s">
        <v>1045</v>
      </c>
      <c r="B527" t="s">
        <v>71</v>
      </c>
      <c r="C527" t="s">
        <v>435</v>
      </c>
      <c r="D527" t="s">
        <v>1046</v>
      </c>
      <c r="E527" t="s">
        <v>437</v>
      </c>
      <c r="F527" t="s">
        <v>1047</v>
      </c>
      <c r="H527" t="s">
        <v>186</v>
      </c>
      <c r="I527" t="s">
        <v>1054</v>
      </c>
      <c r="J527" t="s">
        <v>124</v>
      </c>
      <c r="K527" t="s">
        <v>1049</v>
      </c>
      <c r="L527" t="s">
        <v>969</v>
      </c>
      <c r="M527" t="s">
        <v>746</v>
      </c>
      <c r="Q527" t="s">
        <v>57</v>
      </c>
      <c r="R527">
        <v>9194891</v>
      </c>
      <c r="Y527" t="s">
        <v>1055</v>
      </c>
      <c r="Z527">
        <v>73239390</v>
      </c>
      <c r="AE527">
        <v>2340</v>
      </c>
      <c r="AF527" s="4">
        <v>0.45</v>
      </c>
      <c r="AG527">
        <f t="shared" si="51"/>
        <v>1287</v>
      </c>
      <c r="AH527" s="4">
        <v>0.18</v>
      </c>
      <c r="AI527">
        <f t="shared" si="52"/>
        <v>1518.66</v>
      </c>
      <c r="AJ527" s="4">
        <v>0.2</v>
      </c>
      <c r="AK527">
        <f t="shared" si="53"/>
        <v>303.73</v>
      </c>
      <c r="AL527">
        <f t="shared" si="54"/>
        <v>1822.39</v>
      </c>
      <c r="AM527">
        <f t="shared" si="55"/>
        <v>517.61</v>
      </c>
      <c r="AN527" s="4">
        <f t="shared" si="56"/>
        <v>0.221200854700855</v>
      </c>
      <c r="AO527" t="s">
        <v>221</v>
      </c>
      <c r="AQ527" t="s">
        <v>217</v>
      </c>
      <c r="AS527" t="s">
        <v>1051</v>
      </c>
      <c r="AT527" t="s">
        <v>221</v>
      </c>
    </row>
    <row r="528" ht="15.75" customHeight="1" spans="1:46">
      <c r="A528" t="s">
        <v>1045</v>
      </c>
      <c r="B528" t="s">
        <v>75</v>
      </c>
      <c r="C528" t="s">
        <v>435</v>
      </c>
      <c r="D528" t="s">
        <v>1046</v>
      </c>
      <c r="E528" t="s">
        <v>437</v>
      </c>
      <c r="F528" t="s">
        <v>1047</v>
      </c>
      <c r="H528" t="s">
        <v>186</v>
      </c>
      <c r="I528" t="s">
        <v>1054</v>
      </c>
      <c r="J528" t="s">
        <v>124</v>
      </c>
      <c r="K528" t="s">
        <v>1049</v>
      </c>
      <c r="L528" t="s">
        <v>969</v>
      </c>
      <c r="M528" t="s">
        <v>1052</v>
      </c>
      <c r="Q528" t="s">
        <v>57</v>
      </c>
      <c r="R528">
        <v>9194893</v>
      </c>
      <c r="Y528" t="s">
        <v>1056</v>
      </c>
      <c r="Z528">
        <v>73239390</v>
      </c>
      <c r="AE528">
        <v>4520</v>
      </c>
      <c r="AF528" s="4">
        <v>0.45</v>
      </c>
      <c r="AG528">
        <f t="shared" si="51"/>
        <v>2486</v>
      </c>
      <c r="AH528" s="4">
        <v>0.18</v>
      </c>
      <c r="AI528">
        <f t="shared" si="52"/>
        <v>2933.48</v>
      </c>
      <c r="AJ528" s="4">
        <v>0.2</v>
      </c>
      <c r="AK528">
        <f t="shared" si="53"/>
        <v>586.7</v>
      </c>
      <c r="AL528">
        <f t="shared" si="54"/>
        <v>3520.18</v>
      </c>
      <c r="AM528">
        <f t="shared" si="55"/>
        <v>999.82</v>
      </c>
      <c r="AN528" s="4">
        <f t="shared" si="56"/>
        <v>0.221199115044248</v>
      </c>
      <c r="AO528" t="s">
        <v>221</v>
      </c>
      <c r="AQ528" t="s">
        <v>217</v>
      </c>
      <c r="AS528" t="s">
        <v>1051</v>
      </c>
      <c r="AT528" t="s">
        <v>221</v>
      </c>
    </row>
    <row r="529" ht="15.75" customHeight="1" spans="1:46">
      <c r="A529" t="s">
        <v>1057</v>
      </c>
      <c r="B529" t="s">
        <v>46</v>
      </c>
      <c r="C529" t="s">
        <v>435</v>
      </c>
      <c r="D529" t="s">
        <v>1046</v>
      </c>
      <c r="E529" t="s">
        <v>437</v>
      </c>
      <c r="F529" t="s">
        <v>1058</v>
      </c>
      <c r="H529" t="s">
        <v>186</v>
      </c>
      <c r="I529" t="s">
        <v>442</v>
      </c>
      <c r="L529" t="s">
        <v>969</v>
      </c>
      <c r="M529" t="s">
        <v>746</v>
      </c>
      <c r="Q529" t="s">
        <v>57</v>
      </c>
      <c r="R529">
        <v>9219096</v>
      </c>
      <c r="Y529" t="s">
        <v>1059</v>
      </c>
      <c r="Z529">
        <v>73239410</v>
      </c>
      <c r="AE529">
        <v>5306</v>
      </c>
      <c r="AF529" s="4">
        <v>0.45</v>
      </c>
      <c r="AG529">
        <f t="shared" si="51"/>
        <v>2918.3</v>
      </c>
      <c r="AH529" s="4">
        <v>0.18</v>
      </c>
      <c r="AI529">
        <f t="shared" si="52"/>
        <v>3443.59</v>
      </c>
      <c r="AJ529" s="4">
        <v>0.2</v>
      </c>
      <c r="AK529">
        <f t="shared" si="53"/>
        <v>688.72</v>
      </c>
      <c r="AL529">
        <f t="shared" si="54"/>
        <v>4132.31</v>
      </c>
      <c r="AM529">
        <f t="shared" si="55"/>
        <v>1173.69</v>
      </c>
      <c r="AN529" s="4">
        <f t="shared" si="56"/>
        <v>0.221200527704485</v>
      </c>
      <c r="AO529" t="s">
        <v>221</v>
      </c>
      <c r="AQ529" t="s">
        <v>217</v>
      </c>
      <c r="AS529" t="s">
        <v>1060</v>
      </c>
      <c r="AT529" t="s">
        <v>221</v>
      </c>
    </row>
    <row r="530" ht="15.75" customHeight="1" spans="1:46">
      <c r="A530" t="s">
        <v>1057</v>
      </c>
      <c r="B530" t="s">
        <v>67</v>
      </c>
      <c r="C530" t="s">
        <v>435</v>
      </c>
      <c r="D530" t="s">
        <v>1046</v>
      </c>
      <c r="E530" t="s">
        <v>437</v>
      </c>
      <c r="F530" t="s">
        <v>1058</v>
      </c>
      <c r="H530" t="s">
        <v>186</v>
      </c>
      <c r="I530" t="s">
        <v>442</v>
      </c>
      <c r="L530" t="s">
        <v>969</v>
      </c>
      <c r="M530" t="s">
        <v>1052</v>
      </c>
      <c r="Q530" t="s">
        <v>57</v>
      </c>
      <c r="R530">
        <v>9219097</v>
      </c>
      <c r="Y530" t="s">
        <v>1061</v>
      </c>
      <c r="Z530">
        <v>73239410</v>
      </c>
      <c r="AE530">
        <v>7433</v>
      </c>
      <c r="AF530" s="4">
        <v>0.45</v>
      </c>
      <c r="AG530">
        <f t="shared" si="51"/>
        <v>4088.15</v>
      </c>
      <c r="AH530" s="4">
        <v>0.18</v>
      </c>
      <c r="AI530">
        <f t="shared" si="52"/>
        <v>4824.02</v>
      </c>
      <c r="AJ530" s="4">
        <v>0.2</v>
      </c>
      <c r="AK530">
        <f t="shared" si="53"/>
        <v>964.8</v>
      </c>
      <c r="AL530">
        <f t="shared" si="54"/>
        <v>5788.82</v>
      </c>
      <c r="AM530">
        <f t="shared" si="55"/>
        <v>1644.18</v>
      </c>
      <c r="AN530" s="4">
        <f t="shared" si="56"/>
        <v>0.221200053814072</v>
      </c>
      <c r="AO530" t="s">
        <v>221</v>
      </c>
      <c r="AQ530" t="s">
        <v>217</v>
      </c>
      <c r="AS530" t="s">
        <v>1060</v>
      </c>
      <c r="AT530" t="s">
        <v>221</v>
      </c>
    </row>
    <row r="531" ht="15.75" customHeight="1" spans="1:46">
      <c r="A531" t="s">
        <v>1062</v>
      </c>
      <c r="B531" t="s">
        <v>46</v>
      </c>
      <c r="C531" t="s">
        <v>435</v>
      </c>
      <c r="D531" t="s">
        <v>1046</v>
      </c>
      <c r="E531" t="s">
        <v>437</v>
      </c>
      <c r="F531" t="s">
        <v>1063</v>
      </c>
      <c r="H531" t="s">
        <v>1064</v>
      </c>
      <c r="I531" t="s">
        <v>1065</v>
      </c>
      <c r="L531" t="s">
        <v>969</v>
      </c>
      <c r="M531" t="s">
        <v>1066</v>
      </c>
      <c r="Q531" t="s">
        <v>57</v>
      </c>
      <c r="R531">
        <v>9191703</v>
      </c>
      <c r="Y531" t="s">
        <v>1067</v>
      </c>
      <c r="Z531">
        <v>73239390</v>
      </c>
      <c r="AE531">
        <v>4331</v>
      </c>
      <c r="AF531" s="4">
        <v>0.45</v>
      </c>
      <c r="AG531">
        <f t="shared" si="51"/>
        <v>2382.05</v>
      </c>
      <c r="AH531" s="4">
        <v>0.18</v>
      </c>
      <c r="AI531">
        <f t="shared" si="52"/>
        <v>2810.82</v>
      </c>
      <c r="AJ531" s="4">
        <v>0.2</v>
      </c>
      <c r="AK531">
        <f t="shared" si="53"/>
        <v>562.16</v>
      </c>
      <c r="AL531">
        <f t="shared" si="54"/>
        <v>3372.98</v>
      </c>
      <c r="AM531">
        <f t="shared" si="55"/>
        <v>958.02</v>
      </c>
      <c r="AN531" s="4">
        <f t="shared" si="56"/>
        <v>0.221200646501963</v>
      </c>
      <c r="AO531" t="s">
        <v>221</v>
      </c>
      <c r="AQ531" t="s">
        <v>217</v>
      </c>
      <c r="AS531" t="s">
        <v>1068</v>
      </c>
      <c r="AT531" t="s">
        <v>869</v>
      </c>
    </row>
    <row r="532" ht="15.75" customHeight="1" spans="1:46">
      <c r="A532" t="s">
        <v>1062</v>
      </c>
      <c r="B532" t="s">
        <v>67</v>
      </c>
      <c r="C532" t="s">
        <v>435</v>
      </c>
      <c r="D532" t="s">
        <v>1046</v>
      </c>
      <c r="E532" t="s">
        <v>437</v>
      </c>
      <c r="F532" t="s">
        <v>1063</v>
      </c>
      <c r="H532" t="s">
        <v>1064</v>
      </c>
      <c r="I532" t="s">
        <v>1069</v>
      </c>
      <c r="L532" t="s">
        <v>969</v>
      </c>
      <c r="M532" t="s">
        <v>676</v>
      </c>
      <c r="Q532" t="s">
        <v>57</v>
      </c>
      <c r="R532">
        <v>9191708</v>
      </c>
      <c r="Y532" t="s">
        <v>1067</v>
      </c>
      <c r="Z532">
        <v>73239390</v>
      </c>
      <c r="AE532">
        <v>5141</v>
      </c>
      <c r="AF532" s="4">
        <v>0.45</v>
      </c>
      <c r="AG532">
        <f t="shared" si="51"/>
        <v>2827.55</v>
      </c>
      <c r="AH532" s="4">
        <v>0.18</v>
      </c>
      <c r="AI532">
        <f t="shared" si="52"/>
        <v>3336.51</v>
      </c>
      <c r="AJ532" s="4">
        <v>0.2</v>
      </c>
      <c r="AK532">
        <f t="shared" si="53"/>
        <v>667.3</v>
      </c>
      <c r="AL532">
        <f t="shared" si="54"/>
        <v>4003.81</v>
      </c>
      <c r="AM532">
        <f t="shared" si="55"/>
        <v>1137.19</v>
      </c>
      <c r="AN532" s="4">
        <f t="shared" si="56"/>
        <v>0.221200155611749</v>
      </c>
      <c r="AO532" t="s">
        <v>221</v>
      </c>
      <c r="AQ532" t="s">
        <v>217</v>
      </c>
      <c r="AS532" t="s">
        <v>1068</v>
      </c>
      <c r="AT532" t="s">
        <v>869</v>
      </c>
    </row>
    <row r="533" ht="15.75" customHeight="1" spans="1:46">
      <c r="A533" t="s">
        <v>1062</v>
      </c>
      <c r="B533" t="s">
        <v>71</v>
      </c>
      <c r="C533" t="s">
        <v>435</v>
      </c>
      <c r="D533" t="s">
        <v>1046</v>
      </c>
      <c r="E533" t="s">
        <v>437</v>
      </c>
      <c r="F533" t="s">
        <v>1063</v>
      </c>
      <c r="H533" t="s">
        <v>1064</v>
      </c>
      <c r="I533" t="s">
        <v>1070</v>
      </c>
      <c r="L533" t="s">
        <v>969</v>
      </c>
      <c r="M533" t="s">
        <v>1071</v>
      </c>
      <c r="Q533" t="s">
        <v>57</v>
      </c>
      <c r="R533">
        <v>9247908</v>
      </c>
      <c r="Y533" t="s">
        <v>1067</v>
      </c>
      <c r="Z533">
        <v>73239390</v>
      </c>
      <c r="AE533">
        <v>5715</v>
      </c>
      <c r="AF533" s="4">
        <v>0.45</v>
      </c>
      <c r="AG533">
        <f t="shared" si="51"/>
        <v>3143.25</v>
      </c>
      <c r="AH533" s="4">
        <v>0.18</v>
      </c>
      <c r="AI533">
        <f t="shared" si="52"/>
        <v>3709.04</v>
      </c>
      <c r="AJ533" s="4">
        <v>0.2</v>
      </c>
      <c r="AK533">
        <f t="shared" si="53"/>
        <v>741.81</v>
      </c>
      <c r="AL533">
        <f t="shared" si="54"/>
        <v>4450.85</v>
      </c>
      <c r="AM533">
        <f t="shared" si="55"/>
        <v>1264.15</v>
      </c>
      <c r="AN533" s="4">
        <f t="shared" si="56"/>
        <v>0.221198600174978</v>
      </c>
      <c r="AO533" t="s">
        <v>221</v>
      </c>
      <c r="AQ533" t="s">
        <v>217</v>
      </c>
      <c r="AS533" t="s">
        <v>1068</v>
      </c>
      <c r="AT533" t="s">
        <v>869</v>
      </c>
    </row>
    <row r="534" ht="15.75" customHeight="1" spans="1:46">
      <c r="A534" t="s">
        <v>1062</v>
      </c>
      <c r="B534" t="s">
        <v>75</v>
      </c>
      <c r="C534" t="s">
        <v>435</v>
      </c>
      <c r="D534" t="s">
        <v>1046</v>
      </c>
      <c r="E534" t="s">
        <v>437</v>
      </c>
      <c r="F534" t="s">
        <v>1063</v>
      </c>
      <c r="H534" t="s">
        <v>1064</v>
      </c>
      <c r="I534" t="s">
        <v>1072</v>
      </c>
      <c r="L534" t="s">
        <v>969</v>
      </c>
      <c r="M534" t="s">
        <v>680</v>
      </c>
      <c r="Q534" t="s">
        <v>57</v>
      </c>
      <c r="R534">
        <v>9191711</v>
      </c>
      <c r="Y534" t="s">
        <v>1067</v>
      </c>
      <c r="Z534">
        <v>73239390</v>
      </c>
      <c r="AE534">
        <v>5952</v>
      </c>
      <c r="AF534" s="4">
        <v>0.45</v>
      </c>
      <c r="AG534">
        <f t="shared" si="51"/>
        <v>3273.6</v>
      </c>
      <c r="AH534" s="4">
        <v>0.18</v>
      </c>
      <c r="AI534">
        <f t="shared" si="52"/>
        <v>3862.85</v>
      </c>
      <c r="AJ534" s="4">
        <v>0.2</v>
      </c>
      <c r="AK534">
        <f t="shared" si="53"/>
        <v>772.57</v>
      </c>
      <c r="AL534">
        <f t="shared" si="54"/>
        <v>4635.42</v>
      </c>
      <c r="AM534">
        <f t="shared" si="55"/>
        <v>1316.58</v>
      </c>
      <c r="AN534" s="4">
        <f t="shared" si="56"/>
        <v>0.221199596774194</v>
      </c>
      <c r="AO534" t="s">
        <v>221</v>
      </c>
      <c r="AQ534" t="s">
        <v>217</v>
      </c>
      <c r="AS534" t="s">
        <v>1068</v>
      </c>
      <c r="AT534" t="s">
        <v>869</v>
      </c>
    </row>
    <row r="535" ht="15.75" customHeight="1" spans="1:46">
      <c r="A535" t="s">
        <v>1073</v>
      </c>
      <c r="B535" t="s">
        <v>46</v>
      </c>
      <c r="C535" t="s">
        <v>435</v>
      </c>
      <c r="D535" t="s">
        <v>1046</v>
      </c>
      <c r="E535" t="s">
        <v>437</v>
      </c>
      <c r="F535" t="s">
        <v>1074</v>
      </c>
      <c r="H535" t="s">
        <v>186</v>
      </c>
      <c r="I535" t="s">
        <v>442</v>
      </c>
      <c r="J535" t="s">
        <v>910</v>
      </c>
      <c r="K535" t="s">
        <v>1075</v>
      </c>
      <c r="L535" t="s">
        <v>969</v>
      </c>
      <c r="M535" t="s">
        <v>683</v>
      </c>
      <c r="Q535" t="s">
        <v>57</v>
      </c>
      <c r="R535">
        <v>9190382</v>
      </c>
      <c r="Y535" t="s">
        <v>1076</v>
      </c>
      <c r="Z535">
        <v>73239390</v>
      </c>
      <c r="AE535">
        <v>2500</v>
      </c>
      <c r="AF535" s="4">
        <v>0.45</v>
      </c>
      <c r="AG535">
        <f t="shared" ref="AG535:AG598" si="57">ROUND(AE535-(AE535*AF535),2)</f>
        <v>1375</v>
      </c>
      <c r="AH535" s="4">
        <v>0.18</v>
      </c>
      <c r="AI535">
        <f t="shared" si="52"/>
        <v>1622.5</v>
      </c>
      <c r="AJ535" s="4">
        <v>0.2</v>
      </c>
      <c r="AK535">
        <f t="shared" si="53"/>
        <v>324.5</v>
      </c>
      <c r="AL535">
        <f t="shared" si="54"/>
        <v>1947</v>
      </c>
      <c r="AM535">
        <f t="shared" si="55"/>
        <v>553</v>
      </c>
      <c r="AN535" s="4">
        <f t="shared" si="56"/>
        <v>0.2212</v>
      </c>
      <c r="AO535" t="s">
        <v>221</v>
      </c>
      <c r="AQ535" t="s">
        <v>217</v>
      </c>
      <c r="AS535" t="s">
        <v>1077</v>
      </c>
      <c r="AT535" t="s">
        <v>64</v>
      </c>
    </row>
    <row r="536" ht="15.75" customHeight="1" spans="1:46">
      <c r="A536" t="s">
        <v>1073</v>
      </c>
      <c r="B536" t="s">
        <v>67</v>
      </c>
      <c r="C536" t="s">
        <v>435</v>
      </c>
      <c r="D536" t="s">
        <v>1046</v>
      </c>
      <c r="E536" t="s">
        <v>437</v>
      </c>
      <c r="F536" t="s">
        <v>1074</v>
      </c>
      <c r="H536" t="s">
        <v>186</v>
      </c>
      <c r="I536" t="s">
        <v>442</v>
      </c>
      <c r="J536" t="s">
        <v>910</v>
      </c>
      <c r="K536" t="s">
        <v>1078</v>
      </c>
      <c r="L536" t="s">
        <v>969</v>
      </c>
      <c r="M536" t="s">
        <v>683</v>
      </c>
      <c r="Q536" t="s">
        <v>57</v>
      </c>
      <c r="R536">
        <v>9190383</v>
      </c>
      <c r="Y536" t="s">
        <v>1079</v>
      </c>
      <c r="Z536">
        <v>73239390</v>
      </c>
      <c r="AE536">
        <v>3030</v>
      </c>
      <c r="AF536" s="4">
        <v>0.45</v>
      </c>
      <c r="AG536">
        <f t="shared" si="57"/>
        <v>1666.5</v>
      </c>
      <c r="AH536" s="4">
        <v>0.18</v>
      </c>
      <c r="AI536">
        <f t="shared" si="52"/>
        <v>1966.47</v>
      </c>
      <c r="AJ536" s="4">
        <v>0.2</v>
      </c>
      <c r="AK536">
        <f t="shared" si="53"/>
        <v>393.29</v>
      </c>
      <c r="AL536">
        <f t="shared" si="54"/>
        <v>2359.76</v>
      </c>
      <c r="AM536">
        <f t="shared" si="55"/>
        <v>670.24</v>
      </c>
      <c r="AN536" s="4">
        <f t="shared" si="56"/>
        <v>0.221201320132013</v>
      </c>
      <c r="AO536" t="s">
        <v>221</v>
      </c>
      <c r="AQ536" t="s">
        <v>217</v>
      </c>
      <c r="AS536" t="s">
        <v>1077</v>
      </c>
      <c r="AT536" t="s">
        <v>64</v>
      </c>
    </row>
    <row r="537" ht="15.75" customHeight="1" spans="1:46">
      <c r="A537" t="s">
        <v>1073</v>
      </c>
      <c r="B537" t="s">
        <v>71</v>
      </c>
      <c r="C537" t="s">
        <v>435</v>
      </c>
      <c r="D537" t="s">
        <v>1046</v>
      </c>
      <c r="E537" t="s">
        <v>437</v>
      </c>
      <c r="F537" t="s">
        <v>1074</v>
      </c>
      <c r="H537" t="s">
        <v>186</v>
      </c>
      <c r="I537" t="s">
        <v>442</v>
      </c>
      <c r="J537" t="s">
        <v>910</v>
      </c>
      <c r="K537" t="s">
        <v>1080</v>
      </c>
      <c r="L537" t="s">
        <v>969</v>
      </c>
      <c r="M537" t="s">
        <v>683</v>
      </c>
      <c r="Q537" t="s">
        <v>57</v>
      </c>
      <c r="R537">
        <v>9190384</v>
      </c>
      <c r="Y537" t="s">
        <v>1081</v>
      </c>
      <c r="Z537">
        <v>73239390</v>
      </c>
      <c r="AE537">
        <v>3445</v>
      </c>
      <c r="AF537" s="4">
        <v>0.45</v>
      </c>
      <c r="AG537">
        <f t="shared" si="57"/>
        <v>1894.75</v>
      </c>
      <c r="AH537" s="4">
        <v>0.18</v>
      </c>
      <c r="AI537">
        <f t="shared" si="52"/>
        <v>2235.81</v>
      </c>
      <c r="AJ537" s="4">
        <v>0.2</v>
      </c>
      <c r="AK537">
        <f t="shared" si="53"/>
        <v>447.16</v>
      </c>
      <c r="AL537">
        <f t="shared" si="54"/>
        <v>2682.97</v>
      </c>
      <c r="AM537">
        <f t="shared" si="55"/>
        <v>762.03</v>
      </c>
      <c r="AN537" s="4">
        <f t="shared" si="56"/>
        <v>0.221198838896952</v>
      </c>
      <c r="AO537" t="s">
        <v>221</v>
      </c>
      <c r="AQ537" t="s">
        <v>217</v>
      </c>
      <c r="AS537" t="s">
        <v>1077</v>
      </c>
      <c r="AT537" t="s">
        <v>64</v>
      </c>
    </row>
    <row r="538" ht="15.75" customHeight="1" spans="1:46">
      <c r="A538" t="s">
        <v>1073</v>
      </c>
      <c r="B538" t="s">
        <v>75</v>
      </c>
      <c r="C538" t="s">
        <v>435</v>
      </c>
      <c r="D538" t="s">
        <v>1046</v>
      </c>
      <c r="E538" t="s">
        <v>437</v>
      </c>
      <c r="F538" t="s">
        <v>1074</v>
      </c>
      <c r="H538" t="s">
        <v>186</v>
      </c>
      <c r="I538" t="s">
        <v>442</v>
      </c>
      <c r="J538" t="s">
        <v>910</v>
      </c>
      <c r="K538" t="s">
        <v>1082</v>
      </c>
      <c r="L538" t="s">
        <v>969</v>
      </c>
      <c r="M538" t="s">
        <v>683</v>
      </c>
      <c r="Q538" t="s">
        <v>57</v>
      </c>
      <c r="R538">
        <v>9190385</v>
      </c>
      <c r="Y538" t="s">
        <v>1076</v>
      </c>
      <c r="Z538">
        <v>73239390</v>
      </c>
      <c r="AE538">
        <v>2615</v>
      </c>
      <c r="AF538" s="4">
        <v>0.45</v>
      </c>
      <c r="AG538">
        <f t="shared" si="57"/>
        <v>1438.25</v>
      </c>
      <c r="AH538" s="4">
        <v>0.18</v>
      </c>
      <c r="AI538">
        <f t="shared" si="52"/>
        <v>1697.14</v>
      </c>
      <c r="AJ538" s="4">
        <v>0.2</v>
      </c>
      <c r="AK538">
        <f t="shared" si="53"/>
        <v>339.43</v>
      </c>
      <c r="AL538">
        <f t="shared" si="54"/>
        <v>2036.57</v>
      </c>
      <c r="AM538">
        <f t="shared" si="55"/>
        <v>578.43</v>
      </c>
      <c r="AN538" s="4">
        <f t="shared" si="56"/>
        <v>0.221196940726577</v>
      </c>
      <c r="AO538" t="s">
        <v>221</v>
      </c>
      <c r="AQ538" t="s">
        <v>217</v>
      </c>
      <c r="AS538" t="s">
        <v>1077</v>
      </c>
      <c r="AT538" t="s">
        <v>64</v>
      </c>
    </row>
    <row r="539" ht="15.75" customHeight="1" spans="1:46">
      <c r="A539" t="s">
        <v>1073</v>
      </c>
      <c r="B539" t="s">
        <v>79</v>
      </c>
      <c r="C539" t="s">
        <v>435</v>
      </c>
      <c r="D539" t="s">
        <v>1046</v>
      </c>
      <c r="E539" t="s">
        <v>437</v>
      </c>
      <c r="F539" t="s">
        <v>1074</v>
      </c>
      <c r="H539" t="s">
        <v>186</v>
      </c>
      <c r="I539" t="s">
        <v>442</v>
      </c>
      <c r="J539" t="s">
        <v>910</v>
      </c>
      <c r="K539" t="s">
        <v>1083</v>
      </c>
      <c r="L539" t="s">
        <v>969</v>
      </c>
      <c r="M539" t="s">
        <v>683</v>
      </c>
      <c r="Q539" t="s">
        <v>57</v>
      </c>
      <c r="R539">
        <v>9190386</v>
      </c>
      <c r="Y539" t="s">
        <v>1079</v>
      </c>
      <c r="Z539">
        <v>73239390</v>
      </c>
      <c r="AE539">
        <v>3086</v>
      </c>
      <c r="AF539" s="4">
        <v>0.45</v>
      </c>
      <c r="AG539">
        <f t="shared" si="57"/>
        <v>1697.3</v>
      </c>
      <c r="AH539" s="4">
        <v>0.18</v>
      </c>
      <c r="AI539">
        <f t="shared" si="52"/>
        <v>2002.81</v>
      </c>
      <c r="AJ539" s="4">
        <v>0.2</v>
      </c>
      <c r="AK539">
        <f t="shared" si="53"/>
        <v>400.56</v>
      </c>
      <c r="AL539">
        <f t="shared" si="54"/>
        <v>2403.37</v>
      </c>
      <c r="AM539">
        <f t="shared" si="55"/>
        <v>682.63</v>
      </c>
      <c r="AN539" s="4">
        <f t="shared" si="56"/>
        <v>0.221202203499676</v>
      </c>
      <c r="AO539" t="s">
        <v>221</v>
      </c>
      <c r="AQ539" t="s">
        <v>217</v>
      </c>
      <c r="AS539" t="s">
        <v>1077</v>
      </c>
      <c r="AT539" t="s">
        <v>64</v>
      </c>
    </row>
    <row r="540" ht="15.75" customHeight="1" spans="1:46">
      <c r="A540" t="s">
        <v>1073</v>
      </c>
      <c r="B540" t="s">
        <v>83</v>
      </c>
      <c r="C540" t="s">
        <v>435</v>
      </c>
      <c r="D540" t="s">
        <v>1046</v>
      </c>
      <c r="E540" t="s">
        <v>437</v>
      </c>
      <c r="F540" t="s">
        <v>1074</v>
      </c>
      <c r="H540" t="s">
        <v>186</v>
      </c>
      <c r="I540" t="s">
        <v>442</v>
      </c>
      <c r="J540" t="s">
        <v>910</v>
      </c>
      <c r="K540" t="s">
        <v>1084</v>
      </c>
      <c r="L540" t="s">
        <v>969</v>
      </c>
      <c r="M540" t="s">
        <v>683</v>
      </c>
      <c r="Q540" t="s">
        <v>57</v>
      </c>
      <c r="R540">
        <v>9190387</v>
      </c>
      <c r="Y540" t="s">
        <v>1081</v>
      </c>
      <c r="Z540">
        <v>73239390</v>
      </c>
      <c r="AE540">
        <v>3771</v>
      </c>
      <c r="AF540" s="4">
        <v>0.45</v>
      </c>
      <c r="AG540">
        <f t="shared" si="57"/>
        <v>2074.05</v>
      </c>
      <c r="AH540" s="4">
        <v>0.18</v>
      </c>
      <c r="AI540">
        <f t="shared" si="52"/>
        <v>2447.38</v>
      </c>
      <c r="AJ540" s="4">
        <v>0.2</v>
      </c>
      <c r="AK540">
        <f t="shared" si="53"/>
        <v>489.48</v>
      </c>
      <c r="AL540">
        <f t="shared" si="54"/>
        <v>2936.86</v>
      </c>
      <c r="AM540">
        <f t="shared" si="55"/>
        <v>834.14</v>
      </c>
      <c r="AN540" s="4">
        <f t="shared" si="56"/>
        <v>0.221198621055423</v>
      </c>
      <c r="AO540" t="s">
        <v>221</v>
      </c>
      <c r="AQ540" t="s">
        <v>217</v>
      </c>
      <c r="AS540" t="s">
        <v>1077</v>
      </c>
      <c r="AT540" t="s">
        <v>64</v>
      </c>
    </row>
    <row r="541" ht="15.75" customHeight="1" spans="1:46">
      <c r="A541" t="s">
        <v>1073</v>
      </c>
      <c r="B541" t="s">
        <v>131</v>
      </c>
      <c r="C541" t="s">
        <v>435</v>
      </c>
      <c r="D541" t="s">
        <v>1046</v>
      </c>
      <c r="E541" t="s">
        <v>437</v>
      </c>
      <c r="F541" t="s">
        <v>1074</v>
      </c>
      <c r="H541" t="s">
        <v>186</v>
      </c>
      <c r="I541" t="s">
        <v>442</v>
      </c>
      <c r="J541" t="s">
        <v>910</v>
      </c>
      <c r="K541" t="s">
        <v>1085</v>
      </c>
      <c r="L541" t="s">
        <v>969</v>
      </c>
      <c r="M541" t="s">
        <v>744</v>
      </c>
      <c r="Q541" t="s">
        <v>57</v>
      </c>
      <c r="R541">
        <v>9190388</v>
      </c>
      <c r="Y541" t="s">
        <v>1076</v>
      </c>
      <c r="Z541">
        <v>73239390</v>
      </c>
      <c r="AE541">
        <v>2748</v>
      </c>
      <c r="AF541" s="4">
        <v>0.45</v>
      </c>
      <c r="AG541">
        <f t="shared" si="57"/>
        <v>1511.4</v>
      </c>
      <c r="AH541" s="4">
        <v>0.18</v>
      </c>
      <c r="AI541">
        <f t="shared" si="52"/>
        <v>1783.45</v>
      </c>
      <c r="AJ541" s="4">
        <v>0.2</v>
      </c>
      <c r="AK541">
        <f t="shared" si="53"/>
        <v>356.69</v>
      </c>
      <c r="AL541">
        <f t="shared" si="54"/>
        <v>2140.14</v>
      </c>
      <c r="AM541">
        <f t="shared" si="55"/>
        <v>607.86</v>
      </c>
      <c r="AN541" s="4">
        <f t="shared" si="56"/>
        <v>0.221200873362445</v>
      </c>
      <c r="AO541" t="s">
        <v>221</v>
      </c>
      <c r="AQ541" t="s">
        <v>217</v>
      </c>
      <c r="AS541" t="s">
        <v>1077</v>
      </c>
      <c r="AT541" t="s">
        <v>64</v>
      </c>
    </row>
    <row r="542" ht="15.75" customHeight="1" spans="1:46">
      <c r="A542" t="s">
        <v>1073</v>
      </c>
      <c r="B542" t="s">
        <v>133</v>
      </c>
      <c r="C542" t="s">
        <v>435</v>
      </c>
      <c r="D542" t="s">
        <v>1046</v>
      </c>
      <c r="E542" t="s">
        <v>437</v>
      </c>
      <c r="F542" t="s">
        <v>1074</v>
      </c>
      <c r="H542" t="s">
        <v>186</v>
      </c>
      <c r="I542" t="s">
        <v>442</v>
      </c>
      <c r="J542" t="s">
        <v>910</v>
      </c>
      <c r="K542" t="s">
        <v>1086</v>
      </c>
      <c r="L542" t="s">
        <v>969</v>
      </c>
      <c r="M542" t="s">
        <v>744</v>
      </c>
      <c r="Q542" t="s">
        <v>57</v>
      </c>
      <c r="R542">
        <v>9190389</v>
      </c>
      <c r="Y542" t="s">
        <v>1079</v>
      </c>
      <c r="Z542">
        <v>73239390</v>
      </c>
      <c r="AE542">
        <v>3320</v>
      </c>
      <c r="AF542" s="4">
        <v>0.45</v>
      </c>
      <c r="AG542">
        <f t="shared" si="57"/>
        <v>1826</v>
      </c>
      <c r="AH542" s="4">
        <v>0.18</v>
      </c>
      <c r="AI542">
        <f t="shared" si="52"/>
        <v>2154.68</v>
      </c>
      <c r="AJ542" s="4">
        <v>0.2</v>
      </c>
      <c r="AK542">
        <f t="shared" si="53"/>
        <v>430.94</v>
      </c>
      <c r="AL542">
        <f t="shared" si="54"/>
        <v>2585.62</v>
      </c>
      <c r="AM542">
        <f t="shared" si="55"/>
        <v>734.38</v>
      </c>
      <c r="AN542" s="4">
        <f t="shared" si="56"/>
        <v>0.221198795180723</v>
      </c>
      <c r="AO542" t="s">
        <v>221</v>
      </c>
      <c r="AQ542" t="s">
        <v>217</v>
      </c>
      <c r="AS542" t="s">
        <v>1077</v>
      </c>
      <c r="AT542" t="s">
        <v>64</v>
      </c>
    </row>
    <row r="543" ht="15.75" customHeight="1" spans="1:46">
      <c r="A543" t="s">
        <v>1073</v>
      </c>
      <c r="B543" t="s">
        <v>135</v>
      </c>
      <c r="C543" t="s">
        <v>435</v>
      </c>
      <c r="D543" t="s">
        <v>1046</v>
      </c>
      <c r="E543" t="s">
        <v>437</v>
      </c>
      <c r="F543" t="s">
        <v>1074</v>
      </c>
      <c r="H543" t="s">
        <v>186</v>
      </c>
      <c r="I543" t="s">
        <v>442</v>
      </c>
      <c r="J543" t="s">
        <v>910</v>
      </c>
      <c r="K543" t="s">
        <v>1087</v>
      </c>
      <c r="L543" t="s">
        <v>969</v>
      </c>
      <c r="M543" t="s">
        <v>744</v>
      </c>
      <c r="Q543" t="s">
        <v>57</v>
      </c>
      <c r="R543">
        <v>9190390</v>
      </c>
      <c r="Y543" t="s">
        <v>1081</v>
      </c>
      <c r="Z543">
        <v>73239390</v>
      </c>
      <c r="AE543">
        <v>3942</v>
      </c>
      <c r="AF543" s="4">
        <v>0.45</v>
      </c>
      <c r="AG543">
        <f t="shared" si="57"/>
        <v>2168.1</v>
      </c>
      <c r="AH543" s="4">
        <v>0.18</v>
      </c>
      <c r="AI543">
        <f t="shared" si="52"/>
        <v>2558.36</v>
      </c>
      <c r="AJ543" s="4">
        <v>0.2</v>
      </c>
      <c r="AK543">
        <f t="shared" si="53"/>
        <v>511.67</v>
      </c>
      <c r="AL543">
        <f t="shared" si="54"/>
        <v>3070.03</v>
      </c>
      <c r="AM543">
        <f t="shared" si="55"/>
        <v>871.97</v>
      </c>
      <c r="AN543" s="4">
        <f t="shared" si="56"/>
        <v>0.221199898528666</v>
      </c>
      <c r="AO543" t="s">
        <v>221</v>
      </c>
      <c r="AQ543" t="s">
        <v>217</v>
      </c>
      <c r="AS543" t="s">
        <v>1077</v>
      </c>
      <c r="AT543" t="s">
        <v>64</v>
      </c>
    </row>
    <row r="544" ht="15.75" customHeight="1" spans="1:46">
      <c r="A544" t="s">
        <v>1073</v>
      </c>
      <c r="B544" t="s">
        <v>137</v>
      </c>
      <c r="C544" t="s">
        <v>435</v>
      </c>
      <c r="D544" t="s">
        <v>1046</v>
      </c>
      <c r="E544" t="s">
        <v>437</v>
      </c>
      <c r="F544" t="s">
        <v>1074</v>
      </c>
      <c r="H544" t="s">
        <v>186</v>
      </c>
      <c r="I544" t="s">
        <v>442</v>
      </c>
      <c r="J544" t="s">
        <v>910</v>
      </c>
      <c r="K544" t="s">
        <v>1088</v>
      </c>
      <c r="L544" t="s">
        <v>969</v>
      </c>
      <c r="M544" t="s">
        <v>746</v>
      </c>
      <c r="Q544" t="s">
        <v>57</v>
      </c>
      <c r="R544">
        <v>9190401</v>
      </c>
      <c r="Y544" t="s">
        <v>1076</v>
      </c>
      <c r="Z544">
        <v>73239390</v>
      </c>
      <c r="AE544">
        <v>2543</v>
      </c>
      <c r="AF544" s="4">
        <v>0.45</v>
      </c>
      <c r="AG544">
        <f t="shared" si="57"/>
        <v>1398.65</v>
      </c>
      <c r="AH544" s="4">
        <v>0.18</v>
      </c>
      <c r="AI544">
        <f t="shared" si="52"/>
        <v>1650.41</v>
      </c>
      <c r="AJ544" s="4">
        <v>0.2</v>
      </c>
      <c r="AK544">
        <f t="shared" si="53"/>
        <v>330.08</v>
      </c>
      <c r="AL544">
        <f t="shared" si="54"/>
        <v>1980.49</v>
      </c>
      <c r="AM544">
        <f t="shared" si="55"/>
        <v>562.51</v>
      </c>
      <c r="AN544" s="4">
        <f t="shared" si="56"/>
        <v>0.221199370821864</v>
      </c>
      <c r="AO544" t="s">
        <v>221</v>
      </c>
      <c r="AQ544" t="s">
        <v>217</v>
      </c>
      <c r="AS544" t="s">
        <v>1077</v>
      </c>
      <c r="AT544" t="s">
        <v>64</v>
      </c>
    </row>
    <row r="545" ht="15.75" customHeight="1" spans="1:46">
      <c r="A545" t="s">
        <v>1073</v>
      </c>
      <c r="B545" t="s">
        <v>138</v>
      </c>
      <c r="C545" t="s">
        <v>435</v>
      </c>
      <c r="D545" t="s">
        <v>1046</v>
      </c>
      <c r="E545" t="s">
        <v>437</v>
      </c>
      <c r="F545" t="s">
        <v>1074</v>
      </c>
      <c r="H545" t="s">
        <v>186</v>
      </c>
      <c r="I545" t="s">
        <v>442</v>
      </c>
      <c r="J545" t="s">
        <v>910</v>
      </c>
      <c r="K545" t="s">
        <v>1089</v>
      </c>
      <c r="L545" t="s">
        <v>969</v>
      </c>
      <c r="M545" t="s">
        <v>746</v>
      </c>
      <c r="Q545" t="s">
        <v>57</v>
      </c>
      <c r="R545">
        <v>9190402</v>
      </c>
      <c r="Y545" t="s">
        <v>1079</v>
      </c>
      <c r="Z545">
        <v>73239390</v>
      </c>
      <c r="AE545">
        <v>3053</v>
      </c>
      <c r="AF545" s="4">
        <v>0.45</v>
      </c>
      <c r="AG545">
        <f t="shared" si="57"/>
        <v>1679.15</v>
      </c>
      <c r="AH545" s="4">
        <v>0.18</v>
      </c>
      <c r="AI545">
        <f t="shared" si="52"/>
        <v>1981.4</v>
      </c>
      <c r="AJ545" s="4">
        <v>0.2</v>
      </c>
      <c r="AK545">
        <f t="shared" si="53"/>
        <v>396.28</v>
      </c>
      <c r="AL545">
        <f t="shared" si="54"/>
        <v>2377.68</v>
      </c>
      <c r="AM545">
        <f t="shared" si="55"/>
        <v>675.32</v>
      </c>
      <c r="AN545" s="4">
        <f t="shared" si="56"/>
        <v>0.221198820831968</v>
      </c>
      <c r="AO545" t="s">
        <v>221</v>
      </c>
      <c r="AQ545" t="s">
        <v>217</v>
      </c>
      <c r="AS545" t="s">
        <v>1077</v>
      </c>
      <c r="AT545" t="s">
        <v>64</v>
      </c>
    </row>
    <row r="546" ht="15.75" customHeight="1" spans="1:46">
      <c r="A546" t="s">
        <v>1073</v>
      </c>
      <c r="B546" t="s">
        <v>140</v>
      </c>
      <c r="C546" t="s">
        <v>435</v>
      </c>
      <c r="D546" t="s">
        <v>1046</v>
      </c>
      <c r="E546" t="s">
        <v>437</v>
      </c>
      <c r="F546" t="s">
        <v>1074</v>
      </c>
      <c r="H546" t="s">
        <v>186</v>
      </c>
      <c r="I546" t="s">
        <v>442</v>
      </c>
      <c r="J546" t="s">
        <v>910</v>
      </c>
      <c r="K546" t="s">
        <v>1090</v>
      </c>
      <c r="L546" t="s">
        <v>969</v>
      </c>
      <c r="M546" t="s">
        <v>746</v>
      </c>
      <c r="Q546" t="s">
        <v>57</v>
      </c>
      <c r="R546">
        <v>9190403</v>
      </c>
      <c r="Y546" t="s">
        <v>1081</v>
      </c>
      <c r="Z546">
        <v>73239390</v>
      </c>
      <c r="AE546">
        <v>3561</v>
      </c>
      <c r="AF546" s="4">
        <v>0.45</v>
      </c>
      <c r="AG546">
        <f t="shared" si="57"/>
        <v>1958.55</v>
      </c>
      <c r="AH546" s="4">
        <v>0.18</v>
      </c>
      <c r="AI546">
        <f t="shared" si="52"/>
        <v>2311.09</v>
      </c>
      <c r="AJ546" s="4">
        <v>0.2</v>
      </c>
      <c r="AK546">
        <f t="shared" si="53"/>
        <v>462.22</v>
      </c>
      <c r="AL546">
        <f t="shared" si="54"/>
        <v>2773.31</v>
      </c>
      <c r="AM546">
        <f t="shared" si="55"/>
        <v>787.69</v>
      </c>
      <c r="AN546" s="4">
        <f t="shared" si="56"/>
        <v>0.221199101376018</v>
      </c>
      <c r="AO546" t="s">
        <v>221</v>
      </c>
      <c r="AQ546" t="s">
        <v>217</v>
      </c>
      <c r="AS546" t="s">
        <v>1077</v>
      </c>
      <c r="AT546" t="s">
        <v>64</v>
      </c>
    </row>
    <row r="547" ht="15.75" customHeight="1" spans="1:46">
      <c r="A547" t="s">
        <v>1073</v>
      </c>
      <c r="B547" t="s">
        <v>202</v>
      </c>
      <c r="C547" t="s">
        <v>435</v>
      </c>
      <c r="D547" t="s">
        <v>1046</v>
      </c>
      <c r="E547" t="s">
        <v>437</v>
      </c>
      <c r="F547" t="s">
        <v>1074</v>
      </c>
      <c r="H547" t="s">
        <v>186</v>
      </c>
      <c r="I547" t="s">
        <v>442</v>
      </c>
      <c r="J547" t="s">
        <v>910</v>
      </c>
      <c r="K547" t="s">
        <v>1091</v>
      </c>
      <c r="L547" t="s">
        <v>969</v>
      </c>
      <c r="M547" t="s">
        <v>1052</v>
      </c>
      <c r="Q547" t="s">
        <v>57</v>
      </c>
      <c r="R547">
        <v>9190404</v>
      </c>
      <c r="Y547" t="s">
        <v>1076</v>
      </c>
      <c r="Z547">
        <v>73239390</v>
      </c>
      <c r="AE547">
        <v>3759</v>
      </c>
      <c r="AF547" s="4">
        <v>0.45</v>
      </c>
      <c r="AG547">
        <f t="shared" si="57"/>
        <v>2067.45</v>
      </c>
      <c r="AH547" s="4">
        <v>0.18</v>
      </c>
      <c r="AI547">
        <f t="shared" si="52"/>
        <v>2439.59</v>
      </c>
      <c r="AJ547" s="4">
        <v>0.2</v>
      </c>
      <c r="AK547">
        <f t="shared" si="53"/>
        <v>487.92</v>
      </c>
      <c r="AL547">
        <f t="shared" si="54"/>
        <v>2927.51</v>
      </c>
      <c r="AM547">
        <f t="shared" si="55"/>
        <v>831.49</v>
      </c>
      <c r="AN547" s="4">
        <f t="shared" si="56"/>
        <v>0.221199787177441</v>
      </c>
      <c r="AO547" t="s">
        <v>221</v>
      </c>
      <c r="AQ547" t="s">
        <v>217</v>
      </c>
      <c r="AS547" t="s">
        <v>1077</v>
      </c>
      <c r="AT547" t="s">
        <v>64</v>
      </c>
    </row>
    <row r="548" ht="15.75" customHeight="1" spans="1:46">
      <c r="A548" t="s">
        <v>1073</v>
      </c>
      <c r="B548" t="s">
        <v>203</v>
      </c>
      <c r="C548" t="s">
        <v>435</v>
      </c>
      <c r="D548" t="s">
        <v>1046</v>
      </c>
      <c r="E548" t="s">
        <v>437</v>
      </c>
      <c r="F548" t="s">
        <v>1074</v>
      </c>
      <c r="H548" t="s">
        <v>186</v>
      </c>
      <c r="I548" t="s">
        <v>442</v>
      </c>
      <c r="J548" t="s">
        <v>910</v>
      </c>
      <c r="K548" t="s">
        <v>1092</v>
      </c>
      <c r="L548" t="s">
        <v>969</v>
      </c>
      <c r="M548" t="s">
        <v>1052</v>
      </c>
      <c r="Q548" t="s">
        <v>57</v>
      </c>
      <c r="R548">
        <v>9190405</v>
      </c>
      <c r="Y548" t="s">
        <v>1079</v>
      </c>
      <c r="Z548">
        <v>73239390</v>
      </c>
      <c r="AE548">
        <v>4541</v>
      </c>
      <c r="AF548" s="4">
        <v>0.45</v>
      </c>
      <c r="AG548">
        <f t="shared" si="57"/>
        <v>2497.55</v>
      </c>
      <c r="AH548" s="4">
        <v>0.18</v>
      </c>
      <c r="AI548">
        <f t="shared" si="52"/>
        <v>2947.11</v>
      </c>
      <c r="AJ548" s="4">
        <v>0.2</v>
      </c>
      <c r="AK548">
        <f t="shared" si="53"/>
        <v>589.42</v>
      </c>
      <c r="AL548">
        <f t="shared" si="54"/>
        <v>3536.53</v>
      </c>
      <c r="AM548">
        <f t="shared" si="55"/>
        <v>1004.47</v>
      </c>
      <c r="AN548" s="4">
        <f t="shared" si="56"/>
        <v>0.221200176172649</v>
      </c>
      <c r="AO548" t="s">
        <v>221</v>
      </c>
      <c r="AQ548" t="s">
        <v>217</v>
      </c>
      <c r="AS548" t="s">
        <v>1077</v>
      </c>
      <c r="AT548" t="s">
        <v>64</v>
      </c>
    </row>
    <row r="549" ht="15.75" customHeight="1" spans="1:46">
      <c r="A549" t="s">
        <v>1073</v>
      </c>
      <c r="B549" t="s">
        <v>204</v>
      </c>
      <c r="C549" t="s">
        <v>435</v>
      </c>
      <c r="D549" t="s">
        <v>1046</v>
      </c>
      <c r="E549" t="s">
        <v>437</v>
      </c>
      <c r="F549" t="s">
        <v>1074</v>
      </c>
      <c r="H549" t="s">
        <v>186</v>
      </c>
      <c r="I549" t="s">
        <v>442</v>
      </c>
      <c r="J549" t="s">
        <v>910</v>
      </c>
      <c r="K549" t="s">
        <v>1093</v>
      </c>
      <c r="L549" t="s">
        <v>969</v>
      </c>
      <c r="M549" t="s">
        <v>1052</v>
      </c>
      <c r="Q549" t="s">
        <v>57</v>
      </c>
      <c r="R549">
        <v>9190406</v>
      </c>
      <c r="Y549" t="s">
        <v>1081</v>
      </c>
      <c r="Z549">
        <v>73239390</v>
      </c>
      <c r="AE549">
        <v>5385</v>
      </c>
      <c r="AF549" s="4">
        <v>0.45</v>
      </c>
      <c r="AG549">
        <f t="shared" si="57"/>
        <v>2961.75</v>
      </c>
      <c r="AH549" s="4">
        <v>0.18</v>
      </c>
      <c r="AI549">
        <f t="shared" si="52"/>
        <v>3494.87</v>
      </c>
      <c r="AJ549" s="4">
        <v>0.2</v>
      </c>
      <c r="AK549">
        <f t="shared" si="53"/>
        <v>698.97</v>
      </c>
      <c r="AL549">
        <f t="shared" si="54"/>
        <v>4193.84</v>
      </c>
      <c r="AM549">
        <f t="shared" si="55"/>
        <v>1191.16</v>
      </c>
      <c r="AN549" s="4">
        <f t="shared" si="56"/>
        <v>0.221199628597957</v>
      </c>
      <c r="AO549" t="s">
        <v>221</v>
      </c>
      <c r="AQ549" t="s">
        <v>217</v>
      </c>
      <c r="AS549" t="s">
        <v>1077</v>
      </c>
      <c r="AT549" t="s">
        <v>64</v>
      </c>
    </row>
    <row r="550" ht="15.75" customHeight="1" spans="1:46">
      <c r="A550" t="s">
        <v>1094</v>
      </c>
      <c r="B550" t="s">
        <v>46</v>
      </c>
      <c r="C550" t="s">
        <v>435</v>
      </c>
      <c r="D550" t="s">
        <v>1046</v>
      </c>
      <c r="E550" t="s">
        <v>437</v>
      </c>
      <c r="F550" t="s">
        <v>1095</v>
      </c>
      <c r="H550" t="s">
        <v>186</v>
      </c>
      <c r="I550" t="s">
        <v>442</v>
      </c>
      <c r="J550" t="s">
        <v>910</v>
      </c>
      <c r="K550" t="s">
        <v>1080</v>
      </c>
      <c r="L550" t="s">
        <v>969</v>
      </c>
      <c r="M550" t="s">
        <v>683</v>
      </c>
      <c r="Q550" t="s">
        <v>57</v>
      </c>
      <c r="R550">
        <v>9194315</v>
      </c>
      <c r="Y550" t="s">
        <v>1096</v>
      </c>
      <c r="Z550">
        <v>73239390</v>
      </c>
      <c r="AE550">
        <v>3750</v>
      </c>
      <c r="AF550" s="4">
        <v>0.45</v>
      </c>
      <c r="AG550">
        <f t="shared" si="57"/>
        <v>2062.5</v>
      </c>
      <c r="AH550" s="4">
        <v>0.18</v>
      </c>
      <c r="AI550">
        <f t="shared" si="52"/>
        <v>2433.75</v>
      </c>
      <c r="AJ550" s="4">
        <v>0.2</v>
      </c>
      <c r="AK550">
        <f t="shared" si="53"/>
        <v>486.75</v>
      </c>
      <c r="AL550">
        <f t="shared" si="54"/>
        <v>2920.5</v>
      </c>
      <c r="AM550">
        <f t="shared" si="55"/>
        <v>829.5</v>
      </c>
      <c r="AN550" s="4">
        <f t="shared" si="56"/>
        <v>0.2212</v>
      </c>
      <c r="AO550" t="s">
        <v>221</v>
      </c>
      <c r="AQ550" t="s">
        <v>217</v>
      </c>
      <c r="AS550" t="s">
        <v>1097</v>
      </c>
      <c r="AT550" t="s">
        <v>64</v>
      </c>
    </row>
    <row r="551" ht="15.75" customHeight="1" spans="1:46">
      <c r="A551" t="s">
        <v>1094</v>
      </c>
      <c r="B551" t="s">
        <v>67</v>
      </c>
      <c r="C551" t="s">
        <v>435</v>
      </c>
      <c r="D551" t="s">
        <v>1046</v>
      </c>
      <c r="E551" t="s">
        <v>437</v>
      </c>
      <c r="F551" t="s">
        <v>1095</v>
      </c>
      <c r="H551" t="s">
        <v>186</v>
      </c>
      <c r="I551" t="s">
        <v>442</v>
      </c>
      <c r="J551" t="s">
        <v>910</v>
      </c>
      <c r="K551" t="s">
        <v>1084</v>
      </c>
      <c r="L551" t="s">
        <v>969</v>
      </c>
      <c r="M551" t="s">
        <v>684</v>
      </c>
      <c r="Q551" t="s">
        <v>57</v>
      </c>
      <c r="R551">
        <v>9194317</v>
      </c>
      <c r="Y551" t="s">
        <v>1096</v>
      </c>
      <c r="Z551">
        <v>73239390</v>
      </c>
      <c r="AE551">
        <v>4059</v>
      </c>
      <c r="AF551" s="4">
        <v>0.45</v>
      </c>
      <c r="AG551">
        <f t="shared" si="57"/>
        <v>2232.45</v>
      </c>
      <c r="AH551" s="4">
        <v>0.18</v>
      </c>
      <c r="AI551">
        <f t="shared" si="52"/>
        <v>2634.29</v>
      </c>
      <c r="AJ551" s="4">
        <v>0.2</v>
      </c>
      <c r="AK551">
        <f t="shared" si="53"/>
        <v>526.86</v>
      </c>
      <c r="AL551">
        <f t="shared" si="54"/>
        <v>3161.15</v>
      </c>
      <c r="AM551">
        <f t="shared" si="55"/>
        <v>897.85</v>
      </c>
      <c r="AN551" s="4">
        <f t="shared" si="56"/>
        <v>0.22119980290712</v>
      </c>
      <c r="AO551" t="s">
        <v>221</v>
      </c>
      <c r="AQ551" t="s">
        <v>217</v>
      </c>
      <c r="AS551" t="s">
        <v>1097</v>
      </c>
      <c r="AT551" t="s">
        <v>64</v>
      </c>
    </row>
    <row r="552" ht="15.75" customHeight="1" spans="1:46">
      <c r="A552" t="s">
        <v>1094</v>
      </c>
      <c r="B552" t="s">
        <v>71</v>
      </c>
      <c r="C552" t="s">
        <v>435</v>
      </c>
      <c r="D552" t="s">
        <v>1046</v>
      </c>
      <c r="E552" t="s">
        <v>437</v>
      </c>
      <c r="F552" t="s">
        <v>1095</v>
      </c>
      <c r="H552" t="s">
        <v>186</v>
      </c>
      <c r="I552" t="s">
        <v>442</v>
      </c>
      <c r="J552" t="s">
        <v>910</v>
      </c>
      <c r="K552" t="s">
        <v>1087</v>
      </c>
      <c r="L552" t="s">
        <v>969</v>
      </c>
      <c r="M552" t="s">
        <v>744</v>
      </c>
      <c r="Q552" t="s">
        <v>57</v>
      </c>
      <c r="R552">
        <v>9194319</v>
      </c>
      <c r="Y552" t="s">
        <v>1096</v>
      </c>
      <c r="Z552">
        <v>73239390</v>
      </c>
      <c r="AE552">
        <v>4420</v>
      </c>
      <c r="AF552" s="4">
        <v>0.45</v>
      </c>
      <c r="AG552">
        <f t="shared" si="57"/>
        <v>2431</v>
      </c>
      <c r="AH552" s="4">
        <v>0.18</v>
      </c>
      <c r="AI552">
        <f t="shared" si="52"/>
        <v>2868.58</v>
      </c>
      <c r="AJ552" s="4">
        <v>0.2</v>
      </c>
      <c r="AK552">
        <f t="shared" si="53"/>
        <v>573.72</v>
      </c>
      <c r="AL552">
        <f t="shared" si="54"/>
        <v>3442.3</v>
      </c>
      <c r="AM552">
        <f t="shared" si="55"/>
        <v>977.7</v>
      </c>
      <c r="AN552" s="4">
        <f t="shared" si="56"/>
        <v>0.221199095022624</v>
      </c>
      <c r="AO552" t="s">
        <v>221</v>
      </c>
      <c r="AQ552" t="s">
        <v>217</v>
      </c>
      <c r="AS552" t="s">
        <v>1097</v>
      </c>
      <c r="AT552" t="s">
        <v>64</v>
      </c>
    </row>
    <row r="553" ht="15.75" customHeight="1" spans="1:46">
      <c r="A553" t="s">
        <v>1098</v>
      </c>
      <c r="B553" t="s">
        <v>46</v>
      </c>
      <c r="C553" t="s">
        <v>435</v>
      </c>
      <c r="D553" t="s">
        <v>1046</v>
      </c>
      <c r="E553" t="s">
        <v>437</v>
      </c>
      <c r="F553" t="s">
        <v>1099</v>
      </c>
      <c r="H553" t="s">
        <v>186</v>
      </c>
      <c r="I553" t="s">
        <v>442</v>
      </c>
      <c r="J553" t="s">
        <v>910</v>
      </c>
      <c r="K553" t="s">
        <v>1075</v>
      </c>
      <c r="L553" t="s">
        <v>969</v>
      </c>
      <c r="M553" t="s">
        <v>683</v>
      </c>
      <c r="Q553" t="s">
        <v>57</v>
      </c>
      <c r="R553">
        <v>9194314</v>
      </c>
      <c r="Y553" t="s">
        <v>1100</v>
      </c>
      <c r="Z553">
        <v>73239390</v>
      </c>
      <c r="AE553">
        <v>3127</v>
      </c>
      <c r="AF553" s="4">
        <v>0.45</v>
      </c>
      <c r="AG553">
        <f t="shared" si="57"/>
        <v>1719.85</v>
      </c>
      <c r="AH553" s="4">
        <v>0.18</v>
      </c>
      <c r="AI553">
        <f t="shared" si="52"/>
        <v>2029.42</v>
      </c>
      <c r="AJ553" s="4">
        <v>0.2</v>
      </c>
      <c r="AK553">
        <f t="shared" si="53"/>
        <v>405.88</v>
      </c>
      <c r="AL553">
        <f t="shared" si="54"/>
        <v>2435.3</v>
      </c>
      <c r="AM553">
        <f t="shared" si="55"/>
        <v>691.7</v>
      </c>
      <c r="AN553" s="4">
        <f t="shared" si="56"/>
        <v>0.221202430444515</v>
      </c>
      <c r="AO553" t="s">
        <v>221</v>
      </c>
      <c r="AQ553" t="s">
        <v>217</v>
      </c>
      <c r="AS553" t="s">
        <v>1101</v>
      </c>
      <c r="AT553" t="s">
        <v>64</v>
      </c>
    </row>
    <row r="554" ht="15.75" customHeight="1" spans="1:46">
      <c r="A554" t="s">
        <v>1102</v>
      </c>
      <c r="B554" t="s">
        <v>46</v>
      </c>
      <c r="C554" t="s">
        <v>435</v>
      </c>
      <c r="D554" t="s">
        <v>1046</v>
      </c>
      <c r="E554" t="s">
        <v>437</v>
      </c>
      <c r="F554" t="s">
        <v>1103</v>
      </c>
      <c r="H554" t="s">
        <v>186</v>
      </c>
      <c r="I554" t="s">
        <v>442</v>
      </c>
      <c r="J554" t="s">
        <v>910</v>
      </c>
      <c r="K554" t="s">
        <v>1082</v>
      </c>
      <c r="L554" t="s">
        <v>969</v>
      </c>
      <c r="M554" t="s">
        <v>684</v>
      </c>
      <c r="Q554" t="s">
        <v>57</v>
      </c>
      <c r="R554">
        <v>9194316</v>
      </c>
      <c r="Y554" t="s">
        <v>1104</v>
      </c>
      <c r="Z554">
        <v>73239390</v>
      </c>
      <c r="AE554">
        <v>3097</v>
      </c>
      <c r="AF554" s="4">
        <v>0.45</v>
      </c>
      <c r="AG554">
        <f t="shared" si="57"/>
        <v>1703.35</v>
      </c>
      <c r="AH554" s="4">
        <v>0.18</v>
      </c>
      <c r="AI554">
        <f t="shared" si="52"/>
        <v>2009.95</v>
      </c>
      <c r="AJ554" s="4">
        <v>0.2</v>
      </c>
      <c r="AK554">
        <f t="shared" si="53"/>
        <v>401.99</v>
      </c>
      <c r="AL554">
        <f t="shared" si="54"/>
        <v>2411.94</v>
      </c>
      <c r="AM554">
        <f t="shared" si="55"/>
        <v>685.06</v>
      </c>
      <c r="AN554" s="4">
        <f t="shared" si="56"/>
        <v>0.221201162415241</v>
      </c>
      <c r="AO554" t="s">
        <v>221</v>
      </c>
      <c r="AQ554" t="s">
        <v>217</v>
      </c>
      <c r="AT554" t="s">
        <v>64</v>
      </c>
    </row>
    <row r="555" ht="15.75" customHeight="1" spans="1:46">
      <c r="A555" t="s">
        <v>1102</v>
      </c>
      <c r="B555" t="s">
        <v>67</v>
      </c>
      <c r="C555" t="s">
        <v>435</v>
      </c>
      <c r="D555" t="s">
        <v>1046</v>
      </c>
      <c r="E555" t="s">
        <v>437</v>
      </c>
      <c r="F555" t="s">
        <v>1103</v>
      </c>
      <c r="H555" t="s">
        <v>186</v>
      </c>
      <c r="I555" t="s">
        <v>442</v>
      </c>
      <c r="J555" t="s">
        <v>910</v>
      </c>
      <c r="K555" t="s">
        <v>1085</v>
      </c>
      <c r="L555" t="s">
        <v>969</v>
      </c>
      <c r="M555" t="s">
        <v>744</v>
      </c>
      <c r="Q555" t="s">
        <v>57</v>
      </c>
      <c r="R555">
        <v>9194318</v>
      </c>
      <c r="Y555" t="s">
        <v>1104</v>
      </c>
      <c r="Z555">
        <v>73239390</v>
      </c>
      <c r="AE555">
        <v>3763</v>
      </c>
      <c r="AF555" s="4">
        <v>0.45</v>
      </c>
      <c r="AG555">
        <f t="shared" si="57"/>
        <v>2069.65</v>
      </c>
      <c r="AH555" s="4">
        <v>0.18</v>
      </c>
      <c r="AI555">
        <f t="shared" si="52"/>
        <v>2442.19</v>
      </c>
      <c r="AJ555" s="4">
        <v>0.2</v>
      </c>
      <c r="AK555">
        <f t="shared" si="53"/>
        <v>488.44</v>
      </c>
      <c r="AL555">
        <f t="shared" si="54"/>
        <v>2930.63</v>
      </c>
      <c r="AM555">
        <f t="shared" si="55"/>
        <v>832.37</v>
      </c>
      <c r="AN555" s="4">
        <f t="shared" si="56"/>
        <v>0.221198511825671</v>
      </c>
      <c r="AO555" t="s">
        <v>221</v>
      </c>
      <c r="AQ555" t="s">
        <v>217</v>
      </c>
      <c r="AT555" t="s">
        <v>64</v>
      </c>
    </row>
    <row r="556" ht="15.75" customHeight="1" spans="1:46">
      <c r="A556" t="s">
        <v>1102</v>
      </c>
      <c r="B556" t="s">
        <v>71</v>
      </c>
      <c r="C556" t="s">
        <v>435</v>
      </c>
      <c r="D556" t="s">
        <v>1046</v>
      </c>
      <c r="E556" t="s">
        <v>437</v>
      </c>
      <c r="F556" t="s">
        <v>1103</v>
      </c>
      <c r="H556" t="s">
        <v>186</v>
      </c>
      <c r="I556" t="s">
        <v>442</v>
      </c>
      <c r="J556" t="s">
        <v>910</v>
      </c>
      <c r="K556" t="s">
        <v>1088</v>
      </c>
      <c r="L556" t="s">
        <v>969</v>
      </c>
      <c r="M556" t="s">
        <v>746</v>
      </c>
      <c r="Q556" t="s">
        <v>57</v>
      </c>
      <c r="R556">
        <v>9194320</v>
      </c>
      <c r="Y556" t="s">
        <v>1104</v>
      </c>
      <c r="Z556">
        <v>73239390</v>
      </c>
      <c r="AE556">
        <v>3763</v>
      </c>
      <c r="AF556" s="4">
        <v>0.45</v>
      </c>
      <c r="AG556">
        <f t="shared" si="57"/>
        <v>2069.65</v>
      </c>
      <c r="AH556" s="4">
        <v>0.18</v>
      </c>
      <c r="AI556">
        <f t="shared" si="52"/>
        <v>2442.19</v>
      </c>
      <c r="AJ556" s="4">
        <v>0.2</v>
      </c>
      <c r="AK556">
        <f t="shared" si="53"/>
        <v>488.44</v>
      </c>
      <c r="AL556">
        <f t="shared" si="54"/>
        <v>2930.63</v>
      </c>
      <c r="AM556">
        <f t="shared" si="55"/>
        <v>832.37</v>
      </c>
      <c r="AN556" s="4">
        <f t="shared" si="56"/>
        <v>0.221198511825671</v>
      </c>
      <c r="AO556" t="s">
        <v>221</v>
      </c>
      <c r="AQ556" t="s">
        <v>217</v>
      </c>
      <c r="AT556" t="s">
        <v>64</v>
      </c>
    </row>
    <row r="557" ht="15.75" customHeight="1" spans="1:46">
      <c r="A557" t="s">
        <v>1105</v>
      </c>
      <c r="B557" t="s">
        <v>46</v>
      </c>
      <c r="C557" t="s">
        <v>435</v>
      </c>
      <c r="D557" t="s">
        <v>1046</v>
      </c>
      <c r="E557" t="s">
        <v>886</v>
      </c>
      <c r="F557" t="s">
        <v>1106</v>
      </c>
      <c r="H557" t="s">
        <v>186</v>
      </c>
      <c r="I557" t="s">
        <v>1107</v>
      </c>
      <c r="J557" t="s">
        <v>1108</v>
      </c>
      <c r="K557" t="s">
        <v>1109</v>
      </c>
      <c r="L557" t="s">
        <v>969</v>
      </c>
      <c r="M557" t="s">
        <v>746</v>
      </c>
      <c r="Q557" t="s">
        <v>57</v>
      </c>
      <c r="R557" t="s">
        <v>1110</v>
      </c>
      <c r="Y557" t="s">
        <v>1111</v>
      </c>
      <c r="Z557">
        <v>37170</v>
      </c>
      <c r="AE557">
        <v>40647</v>
      </c>
      <c r="AF557" s="4">
        <v>0.4</v>
      </c>
      <c r="AG557">
        <f t="shared" si="57"/>
        <v>24388.2</v>
      </c>
      <c r="AH557" s="4">
        <v>0.18</v>
      </c>
      <c r="AI557">
        <f t="shared" si="52"/>
        <v>28778.08</v>
      </c>
      <c r="AJ557" s="4">
        <v>0.1</v>
      </c>
      <c r="AK557">
        <f t="shared" si="53"/>
        <v>2877.81</v>
      </c>
      <c r="AL557">
        <f t="shared" si="54"/>
        <v>31655.89</v>
      </c>
      <c r="AM557">
        <f t="shared" si="55"/>
        <v>8991.11</v>
      </c>
      <c r="AN557" s="4">
        <f t="shared" si="56"/>
        <v>0.221199842546805</v>
      </c>
      <c r="AO557" t="s">
        <v>221</v>
      </c>
      <c r="AQ557" t="s">
        <v>217</v>
      </c>
      <c r="AS557" t="s">
        <v>1112</v>
      </c>
      <c r="AT557" t="s">
        <v>64</v>
      </c>
    </row>
    <row r="558" ht="15.75" customHeight="1" spans="1:46">
      <c r="A558" t="s">
        <v>1105</v>
      </c>
      <c r="B558" t="s">
        <v>67</v>
      </c>
      <c r="C558" t="s">
        <v>435</v>
      </c>
      <c r="D558" t="s">
        <v>1046</v>
      </c>
      <c r="E558" t="s">
        <v>886</v>
      </c>
      <c r="F558" t="s">
        <v>1106</v>
      </c>
      <c r="H558" t="s">
        <v>186</v>
      </c>
      <c r="I558" t="s">
        <v>1113</v>
      </c>
      <c r="J558" t="s">
        <v>1108</v>
      </c>
      <c r="K558" t="s">
        <v>1109</v>
      </c>
      <c r="L558" t="s">
        <v>969</v>
      </c>
      <c r="M558" t="s">
        <v>683</v>
      </c>
      <c r="Q558" t="s">
        <v>57</v>
      </c>
      <c r="R558" t="s">
        <v>1114</v>
      </c>
      <c r="Y558" t="s">
        <v>1115</v>
      </c>
      <c r="Z558">
        <v>392690</v>
      </c>
      <c r="AE558">
        <v>17660</v>
      </c>
      <c r="AF558" s="4">
        <v>0.4</v>
      </c>
      <c r="AG558">
        <f t="shared" si="57"/>
        <v>10596</v>
      </c>
      <c r="AH558" s="4">
        <v>0.18</v>
      </c>
      <c r="AI558">
        <f t="shared" si="52"/>
        <v>12503.28</v>
      </c>
      <c r="AJ558" s="4">
        <v>0.1</v>
      </c>
      <c r="AK558">
        <f t="shared" si="53"/>
        <v>1250.33</v>
      </c>
      <c r="AL558">
        <f t="shared" si="54"/>
        <v>13753.61</v>
      </c>
      <c r="AM558">
        <f t="shared" si="55"/>
        <v>3906.39</v>
      </c>
      <c r="AN558" s="4">
        <f t="shared" si="56"/>
        <v>0.221199886749717</v>
      </c>
      <c r="AO558" t="s">
        <v>221</v>
      </c>
      <c r="AQ558" t="s">
        <v>217</v>
      </c>
      <c r="AS558" t="s">
        <v>1112</v>
      </c>
      <c r="AT558" t="s">
        <v>64</v>
      </c>
    </row>
    <row r="559" ht="15.75" customHeight="1" spans="1:46">
      <c r="A559" t="s">
        <v>1105</v>
      </c>
      <c r="B559" t="s">
        <v>71</v>
      </c>
      <c r="C559" t="s">
        <v>435</v>
      </c>
      <c r="D559" t="s">
        <v>1046</v>
      </c>
      <c r="E559" t="s">
        <v>886</v>
      </c>
      <c r="F559" t="s">
        <v>1106</v>
      </c>
      <c r="H559" t="s">
        <v>186</v>
      </c>
      <c r="I559" t="s">
        <v>1113</v>
      </c>
      <c r="J559" t="s">
        <v>1108</v>
      </c>
      <c r="K559" t="s">
        <v>1109</v>
      </c>
      <c r="L559" t="s">
        <v>969</v>
      </c>
      <c r="M559" t="s">
        <v>746</v>
      </c>
      <c r="Q559" t="s">
        <v>57</v>
      </c>
      <c r="R559" t="s">
        <v>1116</v>
      </c>
      <c r="Y559" t="s">
        <v>1115</v>
      </c>
      <c r="Z559">
        <v>392690</v>
      </c>
      <c r="AE559">
        <v>21710</v>
      </c>
      <c r="AF559" s="4">
        <v>0.4</v>
      </c>
      <c r="AG559">
        <f t="shared" si="57"/>
        <v>13026</v>
      </c>
      <c r="AH559" s="4">
        <v>0.18</v>
      </c>
      <c r="AI559">
        <f t="shared" si="52"/>
        <v>15370.68</v>
      </c>
      <c r="AJ559" s="4">
        <v>0.1</v>
      </c>
      <c r="AK559">
        <f t="shared" si="53"/>
        <v>1537.07</v>
      </c>
      <c r="AL559">
        <f t="shared" si="54"/>
        <v>16907.75</v>
      </c>
      <c r="AM559">
        <f t="shared" si="55"/>
        <v>4802.25</v>
      </c>
      <c r="AN559" s="4">
        <f t="shared" si="56"/>
        <v>0.221199907876555</v>
      </c>
      <c r="AO559" t="s">
        <v>221</v>
      </c>
      <c r="AQ559" t="s">
        <v>217</v>
      </c>
      <c r="AS559" t="s">
        <v>1112</v>
      </c>
      <c r="AT559" t="s">
        <v>64</v>
      </c>
    </row>
    <row r="560" ht="15.75" customHeight="1" spans="1:46">
      <c r="A560" t="s">
        <v>1105</v>
      </c>
      <c r="B560" t="s">
        <v>75</v>
      </c>
      <c r="C560" t="s">
        <v>435</v>
      </c>
      <c r="D560" t="s">
        <v>1046</v>
      </c>
      <c r="E560" t="s">
        <v>886</v>
      </c>
      <c r="F560" t="s">
        <v>1106</v>
      </c>
      <c r="H560" t="s">
        <v>186</v>
      </c>
      <c r="I560" t="s">
        <v>1113</v>
      </c>
      <c r="J560" t="s">
        <v>1108</v>
      </c>
      <c r="K560" t="s">
        <v>1109</v>
      </c>
      <c r="L560" t="s">
        <v>969</v>
      </c>
      <c r="M560" t="s">
        <v>1052</v>
      </c>
      <c r="Q560" t="s">
        <v>57</v>
      </c>
      <c r="R560" t="s">
        <v>1117</v>
      </c>
      <c r="Y560" t="s">
        <v>1115</v>
      </c>
      <c r="Z560">
        <v>392690</v>
      </c>
      <c r="AE560">
        <v>25219</v>
      </c>
      <c r="AF560" s="4">
        <v>0.4</v>
      </c>
      <c r="AG560">
        <f t="shared" si="57"/>
        <v>15131.4</v>
      </c>
      <c r="AH560" s="4">
        <v>0.18</v>
      </c>
      <c r="AI560">
        <f t="shared" si="52"/>
        <v>17855.05</v>
      </c>
      <c r="AJ560" s="4">
        <v>0.1</v>
      </c>
      <c r="AK560">
        <f t="shared" si="53"/>
        <v>1785.51</v>
      </c>
      <c r="AL560">
        <f t="shared" si="54"/>
        <v>19640.56</v>
      </c>
      <c r="AM560">
        <f t="shared" si="55"/>
        <v>5578.44</v>
      </c>
      <c r="AN560" s="4">
        <f t="shared" si="56"/>
        <v>0.2211998889726</v>
      </c>
      <c r="AO560" t="s">
        <v>221</v>
      </c>
      <c r="AQ560" t="s">
        <v>217</v>
      </c>
      <c r="AS560" t="s">
        <v>1112</v>
      </c>
      <c r="AT560" t="s">
        <v>64</v>
      </c>
    </row>
    <row r="561" ht="15.75" customHeight="1" spans="1:46">
      <c r="A561" t="s">
        <v>1105</v>
      </c>
      <c r="B561" t="s">
        <v>79</v>
      </c>
      <c r="C561" t="s">
        <v>435</v>
      </c>
      <c r="D561" t="s">
        <v>1046</v>
      </c>
      <c r="E561" t="s">
        <v>886</v>
      </c>
      <c r="F561" t="s">
        <v>1106</v>
      </c>
      <c r="H561" t="s">
        <v>186</v>
      </c>
      <c r="I561" t="s">
        <v>1118</v>
      </c>
      <c r="J561" t="s">
        <v>1108</v>
      </c>
      <c r="K561" t="s">
        <v>1109</v>
      </c>
      <c r="L561" t="s">
        <v>969</v>
      </c>
      <c r="M561" t="s">
        <v>683</v>
      </c>
      <c r="Q561" t="s">
        <v>57</v>
      </c>
      <c r="R561" t="s">
        <v>1119</v>
      </c>
      <c r="Y561" t="s">
        <v>1120</v>
      </c>
      <c r="Z561">
        <v>392690</v>
      </c>
      <c r="AE561">
        <v>14082</v>
      </c>
      <c r="AF561" s="4">
        <v>0.4</v>
      </c>
      <c r="AG561">
        <f t="shared" si="57"/>
        <v>8449.2</v>
      </c>
      <c r="AH561" s="4">
        <v>0.18</v>
      </c>
      <c r="AI561">
        <f t="shared" si="52"/>
        <v>9970.06</v>
      </c>
      <c r="AJ561" s="4">
        <v>0.1</v>
      </c>
      <c r="AK561">
        <f t="shared" si="53"/>
        <v>997.01</v>
      </c>
      <c r="AL561">
        <f t="shared" si="54"/>
        <v>10967.07</v>
      </c>
      <c r="AM561">
        <f t="shared" si="55"/>
        <v>3114.93</v>
      </c>
      <c r="AN561" s="4">
        <f t="shared" si="56"/>
        <v>0.221199403493822</v>
      </c>
      <c r="AO561" t="s">
        <v>221</v>
      </c>
      <c r="AQ561" t="s">
        <v>217</v>
      </c>
      <c r="AS561" t="s">
        <v>1112</v>
      </c>
      <c r="AT561" t="s">
        <v>64</v>
      </c>
    </row>
    <row r="562" ht="15.75" customHeight="1" spans="1:46">
      <c r="A562" t="s">
        <v>1105</v>
      </c>
      <c r="B562" t="s">
        <v>83</v>
      </c>
      <c r="C562" t="s">
        <v>435</v>
      </c>
      <c r="D562" t="s">
        <v>1046</v>
      </c>
      <c r="E562" t="s">
        <v>886</v>
      </c>
      <c r="F562" t="s">
        <v>1106</v>
      </c>
      <c r="H562" t="s">
        <v>186</v>
      </c>
      <c r="I562" t="s">
        <v>1118</v>
      </c>
      <c r="J562" t="s">
        <v>1108</v>
      </c>
      <c r="K562" t="s">
        <v>1109</v>
      </c>
      <c r="L562" t="s">
        <v>969</v>
      </c>
      <c r="M562" t="s">
        <v>746</v>
      </c>
      <c r="Q562" t="s">
        <v>57</v>
      </c>
      <c r="R562" t="s">
        <v>1121</v>
      </c>
      <c r="Y562" t="s">
        <v>1120</v>
      </c>
      <c r="Z562">
        <v>392690</v>
      </c>
      <c r="AE562">
        <v>15453</v>
      </c>
      <c r="AF562" s="4">
        <v>0.4</v>
      </c>
      <c r="AG562">
        <f t="shared" si="57"/>
        <v>9271.8</v>
      </c>
      <c r="AH562" s="4">
        <v>0.18</v>
      </c>
      <c r="AI562">
        <f t="shared" si="52"/>
        <v>10940.72</v>
      </c>
      <c r="AJ562" s="4">
        <v>0.1</v>
      </c>
      <c r="AK562">
        <f t="shared" si="53"/>
        <v>1094.07</v>
      </c>
      <c r="AL562">
        <f t="shared" si="54"/>
        <v>12034.79</v>
      </c>
      <c r="AM562">
        <f t="shared" si="55"/>
        <v>3418.21</v>
      </c>
      <c r="AN562" s="4">
        <f t="shared" si="56"/>
        <v>0.221200414159063</v>
      </c>
      <c r="AO562" t="s">
        <v>221</v>
      </c>
      <c r="AQ562" t="s">
        <v>217</v>
      </c>
      <c r="AS562" t="s">
        <v>1112</v>
      </c>
      <c r="AT562" t="s">
        <v>64</v>
      </c>
    </row>
    <row r="563" ht="15.75" customHeight="1" spans="1:46">
      <c r="A563" t="s">
        <v>1105</v>
      </c>
      <c r="B563" t="s">
        <v>131</v>
      </c>
      <c r="C563" t="s">
        <v>435</v>
      </c>
      <c r="D563" t="s">
        <v>1046</v>
      </c>
      <c r="E563" t="s">
        <v>886</v>
      </c>
      <c r="F563" t="s">
        <v>1106</v>
      </c>
      <c r="H563" t="s">
        <v>186</v>
      </c>
      <c r="I563" t="s">
        <v>1118</v>
      </c>
      <c r="J563" t="s">
        <v>1108</v>
      </c>
      <c r="K563" t="s">
        <v>1109</v>
      </c>
      <c r="L563" t="s">
        <v>969</v>
      </c>
      <c r="M563" t="s">
        <v>1052</v>
      </c>
      <c r="Q563" t="s">
        <v>57</v>
      </c>
      <c r="R563" t="s">
        <v>1122</v>
      </c>
      <c r="Y563" t="s">
        <v>1120</v>
      </c>
      <c r="Z563">
        <v>392690</v>
      </c>
      <c r="AE563">
        <v>19467</v>
      </c>
      <c r="AF563" s="4">
        <v>0.4</v>
      </c>
      <c r="AG563">
        <f t="shared" si="57"/>
        <v>11680.2</v>
      </c>
      <c r="AH563" s="4">
        <v>0.18</v>
      </c>
      <c r="AI563">
        <f t="shared" si="52"/>
        <v>13782.64</v>
      </c>
      <c r="AJ563" s="4">
        <v>0.1</v>
      </c>
      <c r="AK563">
        <f t="shared" si="53"/>
        <v>1378.26</v>
      </c>
      <c r="AL563">
        <f t="shared" si="54"/>
        <v>15160.9</v>
      </c>
      <c r="AM563">
        <f t="shared" si="55"/>
        <v>4306.1</v>
      </c>
      <c r="AN563" s="4">
        <f t="shared" si="56"/>
        <v>0.221199979452407</v>
      </c>
      <c r="AO563" t="s">
        <v>221</v>
      </c>
      <c r="AQ563" t="s">
        <v>217</v>
      </c>
      <c r="AS563" t="s">
        <v>1112</v>
      </c>
      <c r="AT563" t="s">
        <v>64</v>
      </c>
    </row>
    <row r="564" ht="15.75" customHeight="1" spans="1:46">
      <c r="A564" t="s">
        <v>1123</v>
      </c>
      <c r="B564" t="s">
        <v>46</v>
      </c>
      <c r="C564" t="s">
        <v>435</v>
      </c>
      <c r="D564" t="s">
        <v>1046</v>
      </c>
      <c r="E564" t="s">
        <v>886</v>
      </c>
      <c r="F564" t="s">
        <v>1124</v>
      </c>
      <c r="H564" t="s">
        <v>1125</v>
      </c>
      <c r="I564" t="s">
        <v>1126</v>
      </c>
      <c r="J564" t="s">
        <v>1127</v>
      </c>
      <c r="K564" t="s">
        <v>1128</v>
      </c>
      <c r="L564" t="s">
        <v>969</v>
      </c>
      <c r="M564" t="s">
        <v>1066</v>
      </c>
      <c r="Q564" t="s">
        <v>57</v>
      </c>
      <c r="R564" t="s">
        <v>1129</v>
      </c>
      <c r="Y564" t="s">
        <v>1130</v>
      </c>
      <c r="Z564">
        <v>732393</v>
      </c>
      <c r="AE564">
        <v>7615</v>
      </c>
      <c r="AF564" s="4">
        <v>0.4</v>
      </c>
      <c r="AG564">
        <f t="shared" si="57"/>
        <v>4569</v>
      </c>
      <c r="AH564" s="4">
        <v>0.18</v>
      </c>
      <c r="AI564">
        <f t="shared" si="52"/>
        <v>5391.42</v>
      </c>
      <c r="AJ564" s="4">
        <v>0.1</v>
      </c>
      <c r="AK564">
        <f t="shared" si="53"/>
        <v>539.14</v>
      </c>
      <c r="AL564">
        <f t="shared" si="54"/>
        <v>5930.56</v>
      </c>
      <c r="AM564">
        <f t="shared" si="55"/>
        <v>1684.44</v>
      </c>
      <c r="AN564" s="4">
        <f t="shared" si="56"/>
        <v>0.221200262639527</v>
      </c>
      <c r="AO564" t="s">
        <v>221</v>
      </c>
      <c r="AQ564" t="s">
        <v>217</v>
      </c>
      <c r="AS564" t="s">
        <v>1131</v>
      </c>
      <c r="AT564" t="s">
        <v>64</v>
      </c>
    </row>
    <row r="565" ht="15.75" customHeight="1" spans="1:46">
      <c r="A565" t="s">
        <v>1123</v>
      </c>
      <c r="B565" t="s">
        <v>67</v>
      </c>
      <c r="C565" t="s">
        <v>435</v>
      </c>
      <c r="D565" t="s">
        <v>1046</v>
      </c>
      <c r="E565" t="s">
        <v>886</v>
      </c>
      <c r="F565" t="s">
        <v>1124</v>
      </c>
      <c r="H565" t="s">
        <v>1125</v>
      </c>
      <c r="I565" t="s">
        <v>1126</v>
      </c>
      <c r="J565" t="s">
        <v>1127</v>
      </c>
      <c r="K565" t="s">
        <v>1132</v>
      </c>
      <c r="L565" t="s">
        <v>969</v>
      </c>
      <c r="M565" t="s">
        <v>676</v>
      </c>
      <c r="Q565" t="s">
        <v>57</v>
      </c>
      <c r="R565" t="s">
        <v>1133</v>
      </c>
      <c r="Y565" t="s">
        <v>1130</v>
      </c>
      <c r="Z565">
        <v>732393</v>
      </c>
      <c r="AE565">
        <v>8419</v>
      </c>
      <c r="AF565" s="4">
        <v>0.4</v>
      </c>
      <c r="AG565">
        <f t="shared" si="57"/>
        <v>5051.4</v>
      </c>
      <c r="AH565" s="4">
        <v>0.18</v>
      </c>
      <c r="AI565">
        <f t="shared" si="52"/>
        <v>5960.65</v>
      </c>
      <c r="AJ565" s="4">
        <v>0.1</v>
      </c>
      <c r="AK565">
        <f t="shared" si="53"/>
        <v>596.07</v>
      </c>
      <c r="AL565">
        <f t="shared" si="54"/>
        <v>6556.72</v>
      </c>
      <c r="AM565">
        <f t="shared" si="55"/>
        <v>1862.28</v>
      </c>
      <c r="AN565" s="4">
        <f t="shared" si="56"/>
        <v>0.221199667418933</v>
      </c>
      <c r="AO565" t="s">
        <v>221</v>
      </c>
      <c r="AQ565" t="s">
        <v>217</v>
      </c>
      <c r="AS565" t="s">
        <v>1131</v>
      </c>
      <c r="AT565" t="s">
        <v>64</v>
      </c>
    </row>
    <row r="566" ht="15.75" customHeight="1" spans="1:46">
      <c r="A566" t="s">
        <v>1123</v>
      </c>
      <c r="B566" t="s">
        <v>71</v>
      </c>
      <c r="C566" t="s">
        <v>435</v>
      </c>
      <c r="D566" t="s">
        <v>1046</v>
      </c>
      <c r="E566" t="s">
        <v>886</v>
      </c>
      <c r="F566" t="s">
        <v>1124</v>
      </c>
      <c r="H566" t="s">
        <v>1125</v>
      </c>
      <c r="I566" t="s">
        <v>1126</v>
      </c>
      <c r="J566" t="s">
        <v>1127</v>
      </c>
      <c r="K566" t="s">
        <v>1134</v>
      </c>
      <c r="L566" t="s">
        <v>969</v>
      </c>
      <c r="M566" t="s">
        <v>679</v>
      </c>
      <c r="Q566" t="s">
        <v>57</v>
      </c>
      <c r="R566" t="s">
        <v>1135</v>
      </c>
      <c r="Y566" t="s">
        <v>1130</v>
      </c>
      <c r="Z566">
        <v>732393</v>
      </c>
      <c r="AE566">
        <v>9108</v>
      </c>
      <c r="AF566" s="4">
        <v>0.4</v>
      </c>
      <c r="AG566">
        <f t="shared" si="57"/>
        <v>5464.8</v>
      </c>
      <c r="AH566" s="4">
        <v>0.18</v>
      </c>
      <c r="AI566">
        <f t="shared" si="52"/>
        <v>6448.46</v>
      </c>
      <c r="AJ566" s="4">
        <v>0.1</v>
      </c>
      <c r="AK566">
        <f t="shared" si="53"/>
        <v>644.85</v>
      </c>
      <c r="AL566">
        <f t="shared" si="54"/>
        <v>7093.31</v>
      </c>
      <c r="AM566">
        <f t="shared" si="55"/>
        <v>2014.69</v>
      </c>
      <c r="AN566" s="4">
        <f t="shared" si="56"/>
        <v>0.221200043917435</v>
      </c>
      <c r="AO566" t="s">
        <v>221</v>
      </c>
      <c r="AQ566" t="s">
        <v>217</v>
      </c>
      <c r="AS566" t="s">
        <v>1131</v>
      </c>
      <c r="AT566" t="s">
        <v>64</v>
      </c>
    </row>
    <row r="567" ht="15.75" customHeight="1" spans="1:46">
      <c r="A567" t="s">
        <v>1123</v>
      </c>
      <c r="B567" t="s">
        <v>75</v>
      </c>
      <c r="C567" t="s">
        <v>435</v>
      </c>
      <c r="D567" t="s">
        <v>1046</v>
      </c>
      <c r="E567" t="s">
        <v>886</v>
      </c>
      <c r="F567" t="s">
        <v>1124</v>
      </c>
      <c r="H567" t="s">
        <v>1125</v>
      </c>
      <c r="I567" t="s">
        <v>1126</v>
      </c>
      <c r="J567" t="s">
        <v>1127</v>
      </c>
      <c r="K567" t="s">
        <v>1136</v>
      </c>
      <c r="L567" t="s">
        <v>969</v>
      </c>
      <c r="M567" t="s">
        <v>680</v>
      </c>
      <c r="Q567" t="s">
        <v>57</v>
      </c>
      <c r="R567" t="s">
        <v>1137</v>
      </c>
      <c r="Y567" t="s">
        <v>1130</v>
      </c>
      <c r="Z567">
        <v>732393</v>
      </c>
      <c r="AE567">
        <v>9847</v>
      </c>
      <c r="AF567" s="4">
        <v>0.4</v>
      </c>
      <c r="AG567">
        <f t="shared" si="57"/>
        <v>5908.2</v>
      </c>
      <c r="AH567" s="4">
        <v>0.18</v>
      </c>
      <c r="AI567">
        <f t="shared" si="52"/>
        <v>6971.68</v>
      </c>
      <c r="AJ567" s="4">
        <v>0.1</v>
      </c>
      <c r="AK567">
        <f t="shared" si="53"/>
        <v>697.17</v>
      </c>
      <c r="AL567">
        <f t="shared" si="54"/>
        <v>7668.85</v>
      </c>
      <c r="AM567">
        <f t="shared" si="55"/>
        <v>2178.15</v>
      </c>
      <c r="AN567" s="4">
        <f t="shared" si="56"/>
        <v>0.221199350055855</v>
      </c>
      <c r="AO567" t="s">
        <v>221</v>
      </c>
      <c r="AQ567" t="s">
        <v>217</v>
      </c>
      <c r="AS567" t="s">
        <v>1131</v>
      </c>
      <c r="AT567" t="s">
        <v>64</v>
      </c>
    </row>
    <row r="568" ht="15.75" customHeight="1" spans="1:46">
      <c r="A568" t="s">
        <v>1123</v>
      </c>
      <c r="B568" t="s">
        <v>79</v>
      </c>
      <c r="C568" t="s">
        <v>435</v>
      </c>
      <c r="D568" t="s">
        <v>1046</v>
      </c>
      <c r="E568" t="s">
        <v>886</v>
      </c>
      <c r="F568" t="s">
        <v>1124</v>
      </c>
      <c r="H568" t="s">
        <v>1125</v>
      </c>
      <c r="I568" t="s">
        <v>1138</v>
      </c>
      <c r="J568" t="s">
        <v>1127</v>
      </c>
      <c r="K568" t="s">
        <v>1139</v>
      </c>
      <c r="L568" t="s">
        <v>969</v>
      </c>
      <c r="M568" t="s">
        <v>1066</v>
      </c>
      <c r="Q568" t="s">
        <v>57</v>
      </c>
      <c r="R568" t="s">
        <v>1140</v>
      </c>
      <c r="Y568" t="s">
        <v>1141</v>
      </c>
      <c r="Z568">
        <v>732393</v>
      </c>
      <c r="AE568">
        <v>9470</v>
      </c>
      <c r="AF568" s="4">
        <v>0.4</v>
      </c>
      <c r="AG568">
        <f t="shared" si="57"/>
        <v>5682</v>
      </c>
      <c r="AH568" s="4">
        <v>0.18</v>
      </c>
      <c r="AI568">
        <f t="shared" si="52"/>
        <v>6704.76</v>
      </c>
      <c r="AJ568" s="4">
        <v>0.1</v>
      </c>
      <c r="AK568">
        <f t="shared" si="53"/>
        <v>670.48</v>
      </c>
      <c r="AL568">
        <f t="shared" si="54"/>
        <v>7375.24</v>
      </c>
      <c r="AM568">
        <f t="shared" si="55"/>
        <v>2094.76</v>
      </c>
      <c r="AN568" s="4">
        <f t="shared" si="56"/>
        <v>0.221199577613516</v>
      </c>
      <c r="AO568" t="s">
        <v>221</v>
      </c>
      <c r="AQ568" t="s">
        <v>217</v>
      </c>
      <c r="AS568" t="s">
        <v>1131</v>
      </c>
      <c r="AT568" t="s">
        <v>64</v>
      </c>
    </row>
    <row r="569" ht="15.75" customHeight="1" spans="1:46">
      <c r="A569" t="s">
        <v>1123</v>
      </c>
      <c r="B569" t="s">
        <v>83</v>
      </c>
      <c r="C569" t="s">
        <v>435</v>
      </c>
      <c r="D569" t="s">
        <v>1046</v>
      </c>
      <c r="E569" t="s">
        <v>886</v>
      </c>
      <c r="F569" t="s">
        <v>1124</v>
      </c>
      <c r="H569" t="s">
        <v>1125</v>
      </c>
      <c r="I569" t="s">
        <v>1138</v>
      </c>
      <c r="J569" t="s">
        <v>1127</v>
      </c>
      <c r="K569" t="s">
        <v>1142</v>
      </c>
      <c r="L569" t="s">
        <v>969</v>
      </c>
      <c r="M569" t="s">
        <v>676</v>
      </c>
      <c r="Q569" t="s">
        <v>57</v>
      </c>
      <c r="R569" t="s">
        <v>1143</v>
      </c>
      <c r="Y569" t="s">
        <v>1141</v>
      </c>
      <c r="Z569">
        <v>732393</v>
      </c>
      <c r="AE569">
        <v>10217</v>
      </c>
      <c r="AF569" s="4">
        <v>0.4</v>
      </c>
      <c r="AG569">
        <f t="shared" si="57"/>
        <v>6130.2</v>
      </c>
      <c r="AH569" s="4">
        <v>0.18</v>
      </c>
      <c r="AI569">
        <f t="shared" si="52"/>
        <v>7233.64</v>
      </c>
      <c r="AJ569" s="4">
        <v>0.1</v>
      </c>
      <c r="AK569">
        <f t="shared" si="53"/>
        <v>723.36</v>
      </c>
      <c r="AL569">
        <f t="shared" si="54"/>
        <v>7957</v>
      </c>
      <c r="AM569">
        <f t="shared" si="55"/>
        <v>2260</v>
      </c>
      <c r="AN569" s="4">
        <f t="shared" si="56"/>
        <v>0.221199960849564</v>
      </c>
      <c r="AO569" t="s">
        <v>221</v>
      </c>
      <c r="AQ569" t="s">
        <v>217</v>
      </c>
      <c r="AS569" t="s">
        <v>1131</v>
      </c>
      <c r="AT569" t="s">
        <v>64</v>
      </c>
    </row>
    <row r="570" ht="15.75" customHeight="1" spans="1:46">
      <c r="A570" t="s">
        <v>1123</v>
      </c>
      <c r="B570" t="s">
        <v>131</v>
      </c>
      <c r="C570" t="s">
        <v>435</v>
      </c>
      <c r="D570" t="s">
        <v>1046</v>
      </c>
      <c r="E570" t="s">
        <v>886</v>
      </c>
      <c r="F570" t="s">
        <v>1124</v>
      </c>
      <c r="H570" t="s">
        <v>1125</v>
      </c>
      <c r="I570" t="s">
        <v>1138</v>
      </c>
      <c r="J570" t="s">
        <v>1127</v>
      </c>
      <c r="K570" t="s">
        <v>1144</v>
      </c>
      <c r="L570" t="s">
        <v>969</v>
      </c>
      <c r="M570" t="s">
        <v>679</v>
      </c>
      <c r="Q570" t="s">
        <v>57</v>
      </c>
      <c r="R570" t="s">
        <v>1145</v>
      </c>
      <c r="Y570" t="s">
        <v>1141</v>
      </c>
      <c r="Z570">
        <v>732393</v>
      </c>
      <c r="AE570">
        <v>10616</v>
      </c>
      <c r="AF570" s="4">
        <v>0.4</v>
      </c>
      <c r="AG570">
        <f t="shared" si="57"/>
        <v>6369.6</v>
      </c>
      <c r="AH570" s="4">
        <v>0.18</v>
      </c>
      <c r="AI570">
        <f t="shared" si="52"/>
        <v>7516.13</v>
      </c>
      <c r="AJ570" s="4">
        <v>0.1</v>
      </c>
      <c r="AK570">
        <f t="shared" si="53"/>
        <v>751.61</v>
      </c>
      <c r="AL570">
        <f t="shared" si="54"/>
        <v>8267.74</v>
      </c>
      <c r="AM570">
        <f t="shared" si="55"/>
        <v>2348.26</v>
      </c>
      <c r="AN570" s="4">
        <f t="shared" si="56"/>
        <v>0.22120007535795</v>
      </c>
      <c r="AO570" t="s">
        <v>221</v>
      </c>
      <c r="AQ570" t="s">
        <v>217</v>
      </c>
      <c r="AS570" t="s">
        <v>1131</v>
      </c>
      <c r="AT570" t="s">
        <v>64</v>
      </c>
    </row>
    <row r="571" ht="15.75" customHeight="1" spans="1:46">
      <c r="A571" t="s">
        <v>1123</v>
      </c>
      <c r="B571" t="s">
        <v>133</v>
      </c>
      <c r="C571" t="s">
        <v>435</v>
      </c>
      <c r="D571" t="s">
        <v>1046</v>
      </c>
      <c r="E571" t="s">
        <v>886</v>
      </c>
      <c r="F571" t="s">
        <v>1124</v>
      </c>
      <c r="H571" t="s">
        <v>1125</v>
      </c>
      <c r="I571" t="s">
        <v>1138</v>
      </c>
      <c r="J571" t="s">
        <v>1127</v>
      </c>
      <c r="K571" t="s">
        <v>1146</v>
      </c>
      <c r="L571" t="s">
        <v>969</v>
      </c>
      <c r="M571" t="s">
        <v>680</v>
      </c>
      <c r="Q571" t="s">
        <v>57</v>
      </c>
      <c r="R571" t="s">
        <v>1147</v>
      </c>
      <c r="Y571" t="s">
        <v>1141</v>
      </c>
      <c r="Z571">
        <v>732393</v>
      </c>
      <c r="AE571">
        <v>11347</v>
      </c>
      <c r="AF571" s="4">
        <v>0.4</v>
      </c>
      <c r="AG571">
        <f t="shared" si="57"/>
        <v>6808.2</v>
      </c>
      <c r="AH571" s="4">
        <v>0.18</v>
      </c>
      <c r="AI571">
        <f t="shared" si="52"/>
        <v>8033.68</v>
      </c>
      <c r="AJ571" s="4">
        <v>0.1</v>
      </c>
      <c r="AK571">
        <f t="shared" si="53"/>
        <v>803.37</v>
      </c>
      <c r="AL571">
        <f t="shared" si="54"/>
        <v>8837.05</v>
      </c>
      <c r="AM571">
        <f t="shared" si="55"/>
        <v>2509.95</v>
      </c>
      <c r="AN571" s="4">
        <f t="shared" si="56"/>
        <v>0.221199435974266</v>
      </c>
      <c r="AO571" t="s">
        <v>221</v>
      </c>
      <c r="AQ571" t="s">
        <v>217</v>
      </c>
      <c r="AS571" t="s">
        <v>1131</v>
      </c>
      <c r="AT571" t="s">
        <v>64</v>
      </c>
    </row>
    <row r="572" ht="15.75" customHeight="1" spans="1:46">
      <c r="A572" t="s">
        <v>1148</v>
      </c>
      <c r="B572" t="s">
        <v>46</v>
      </c>
      <c r="C572" t="s">
        <v>435</v>
      </c>
      <c r="D572" t="s">
        <v>1046</v>
      </c>
      <c r="E572" t="s">
        <v>886</v>
      </c>
      <c r="F572" t="s">
        <v>1149</v>
      </c>
      <c r="H572" t="s">
        <v>186</v>
      </c>
      <c r="I572" t="s">
        <v>442</v>
      </c>
      <c r="J572" t="s">
        <v>1127</v>
      </c>
      <c r="K572" t="s">
        <v>1150</v>
      </c>
      <c r="L572" t="s">
        <v>969</v>
      </c>
      <c r="M572" t="s">
        <v>746</v>
      </c>
      <c r="Q572" t="s">
        <v>57</v>
      </c>
      <c r="R572" t="s">
        <v>1151</v>
      </c>
      <c r="Y572" t="s">
        <v>1152</v>
      </c>
      <c r="Z572">
        <v>732690</v>
      </c>
      <c r="AE572">
        <v>3893</v>
      </c>
      <c r="AF572" s="4">
        <v>0.4</v>
      </c>
      <c r="AG572">
        <f t="shared" si="57"/>
        <v>2335.8</v>
      </c>
      <c r="AH572" s="4">
        <v>0.18</v>
      </c>
      <c r="AI572">
        <f t="shared" si="52"/>
        <v>2756.24</v>
      </c>
      <c r="AJ572" s="4">
        <v>0.1</v>
      </c>
      <c r="AK572">
        <f t="shared" si="53"/>
        <v>275.62</v>
      </c>
      <c r="AL572">
        <f t="shared" si="54"/>
        <v>3031.86</v>
      </c>
      <c r="AM572">
        <f t="shared" si="55"/>
        <v>861.14</v>
      </c>
      <c r="AN572" s="4">
        <f t="shared" si="56"/>
        <v>0.221202157718983</v>
      </c>
      <c r="AO572" t="s">
        <v>221</v>
      </c>
      <c r="AQ572" t="s">
        <v>217</v>
      </c>
      <c r="AS572" t="s">
        <v>1153</v>
      </c>
      <c r="AT572" t="s">
        <v>64</v>
      </c>
    </row>
    <row r="573" ht="15.75" customHeight="1" spans="1:46">
      <c r="A573" t="s">
        <v>1148</v>
      </c>
      <c r="B573" t="s">
        <v>67</v>
      </c>
      <c r="C573" t="s">
        <v>435</v>
      </c>
      <c r="D573" t="s">
        <v>1046</v>
      </c>
      <c r="E573" t="s">
        <v>886</v>
      </c>
      <c r="F573" t="s">
        <v>1149</v>
      </c>
      <c r="H573" t="s">
        <v>186</v>
      </c>
      <c r="I573" t="s">
        <v>442</v>
      </c>
      <c r="J573" t="s">
        <v>1127</v>
      </c>
      <c r="K573" t="s">
        <v>1154</v>
      </c>
      <c r="L573" t="s">
        <v>969</v>
      </c>
      <c r="M573" t="s">
        <v>1155</v>
      </c>
      <c r="Q573" t="s">
        <v>57</v>
      </c>
      <c r="R573" t="s">
        <v>1156</v>
      </c>
      <c r="Y573" t="s">
        <v>1152</v>
      </c>
      <c r="Z573">
        <v>732690</v>
      </c>
      <c r="AE573">
        <v>4010</v>
      </c>
      <c r="AF573" s="4">
        <v>0.4</v>
      </c>
      <c r="AG573">
        <f t="shared" si="57"/>
        <v>2406</v>
      </c>
      <c r="AH573" s="4">
        <v>0.18</v>
      </c>
      <c r="AI573">
        <f t="shared" si="52"/>
        <v>2839.08</v>
      </c>
      <c r="AJ573" s="4">
        <v>0.1</v>
      </c>
      <c r="AK573">
        <f t="shared" si="53"/>
        <v>283.91</v>
      </c>
      <c r="AL573">
        <f t="shared" si="54"/>
        <v>3122.99</v>
      </c>
      <c r="AM573">
        <f t="shared" si="55"/>
        <v>887.01</v>
      </c>
      <c r="AN573" s="4">
        <f t="shared" si="56"/>
        <v>0.221199501246883</v>
      </c>
      <c r="AO573" t="s">
        <v>221</v>
      </c>
      <c r="AQ573" t="s">
        <v>217</v>
      </c>
      <c r="AS573" t="s">
        <v>1153</v>
      </c>
      <c r="AT573" t="s">
        <v>64</v>
      </c>
    </row>
    <row r="574" ht="15.75" customHeight="1" spans="1:46">
      <c r="A574" t="s">
        <v>1148</v>
      </c>
      <c r="B574" t="s">
        <v>71</v>
      </c>
      <c r="C574" t="s">
        <v>435</v>
      </c>
      <c r="D574" t="s">
        <v>1046</v>
      </c>
      <c r="E574" t="s">
        <v>886</v>
      </c>
      <c r="F574" t="s">
        <v>1149</v>
      </c>
      <c r="H574" t="s">
        <v>186</v>
      </c>
      <c r="I574" t="s">
        <v>442</v>
      </c>
      <c r="J574" t="s">
        <v>1127</v>
      </c>
      <c r="K574" t="s">
        <v>1157</v>
      </c>
      <c r="L574" t="s">
        <v>969</v>
      </c>
      <c r="M574" t="s">
        <v>1158</v>
      </c>
      <c r="Q574" t="s">
        <v>57</v>
      </c>
      <c r="R574" t="s">
        <v>1159</v>
      </c>
      <c r="Y574" t="s">
        <v>1152</v>
      </c>
      <c r="Z574">
        <v>732690</v>
      </c>
      <c r="AE574">
        <v>5324</v>
      </c>
      <c r="AF574" s="4">
        <v>0.4</v>
      </c>
      <c r="AG574">
        <f t="shared" si="57"/>
        <v>3194.4</v>
      </c>
      <c r="AH574" s="4">
        <v>0.18</v>
      </c>
      <c r="AI574">
        <f t="shared" si="52"/>
        <v>3769.39</v>
      </c>
      <c r="AJ574" s="4">
        <v>0.1</v>
      </c>
      <c r="AK574">
        <f t="shared" si="53"/>
        <v>376.94</v>
      </c>
      <c r="AL574">
        <f t="shared" si="54"/>
        <v>4146.33</v>
      </c>
      <c r="AM574">
        <f t="shared" si="55"/>
        <v>1177.67</v>
      </c>
      <c r="AN574" s="4">
        <f t="shared" si="56"/>
        <v>0.22120022539444</v>
      </c>
      <c r="AO574" t="s">
        <v>221</v>
      </c>
      <c r="AQ574" t="s">
        <v>217</v>
      </c>
      <c r="AS574" t="s">
        <v>1153</v>
      </c>
      <c r="AT574" t="s">
        <v>64</v>
      </c>
    </row>
    <row r="575" ht="15.75" customHeight="1" spans="1:46">
      <c r="A575" t="s">
        <v>1148</v>
      </c>
      <c r="B575" t="s">
        <v>75</v>
      </c>
      <c r="C575" t="s">
        <v>435</v>
      </c>
      <c r="D575" t="s">
        <v>1046</v>
      </c>
      <c r="E575" t="s">
        <v>886</v>
      </c>
      <c r="F575" t="s">
        <v>1149</v>
      </c>
      <c r="H575" t="s">
        <v>186</v>
      </c>
      <c r="I575" t="s">
        <v>442</v>
      </c>
      <c r="J575" t="s">
        <v>1127</v>
      </c>
      <c r="K575" t="s">
        <v>1160</v>
      </c>
      <c r="L575" t="s">
        <v>969</v>
      </c>
      <c r="M575" t="s">
        <v>1052</v>
      </c>
      <c r="Q575" t="s">
        <v>57</v>
      </c>
      <c r="R575" t="s">
        <v>1161</v>
      </c>
      <c r="Y575" t="s">
        <v>1152</v>
      </c>
      <c r="Z575">
        <v>732690</v>
      </c>
      <c r="AE575">
        <v>5830</v>
      </c>
      <c r="AF575" s="4">
        <v>0.4</v>
      </c>
      <c r="AG575">
        <f t="shared" si="57"/>
        <v>3498</v>
      </c>
      <c r="AH575" s="4">
        <v>0.18</v>
      </c>
      <c r="AI575">
        <f t="shared" si="52"/>
        <v>4127.64</v>
      </c>
      <c r="AJ575" s="4">
        <v>0.1</v>
      </c>
      <c r="AK575">
        <f t="shared" si="53"/>
        <v>412.76</v>
      </c>
      <c r="AL575">
        <f t="shared" si="54"/>
        <v>4540.4</v>
      </c>
      <c r="AM575">
        <f t="shared" si="55"/>
        <v>1289.6</v>
      </c>
      <c r="AN575" s="4">
        <f t="shared" si="56"/>
        <v>0.221200686106346</v>
      </c>
      <c r="AO575" t="s">
        <v>221</v>
      </c>
      <c r="AQ575" t="s">
        <v>217</v>
      </c>
      <c r="AS575" t="s">
        <v>1153</v>
      </c>
      <c r="AT575" t="s">
        <v>64</v>
      </c>
    </row>
    <row r="576" ht="15.75" customHeight="1" spans="1:46">
      <c r="A576" t="s">
        <v>1162</v>
      </c>
      <c r="B576" t="s">
        <v>46</v>
      </c>
      <c r="C576" t="s">
        <v>435</v>
      </c>
      <c r="D576" t="s">
        <v>1046</v>
      </c>
      <c r="E576" t="s">
        <v>886</v>
      </c>
      <c r="F576" t="s">
        <v>1163</v>
      </c>
      <c r="H576" t="s">
        <v>186</v>
      </c>
      <c r="I576" t="s">
        <v>442</v>
      </c>
      <c r="J576" t="s">
        <v>1127</v>
      </c>
      <c r="K576" t="s">
        <v>1164</v>
      </c>
      <c r="L576" t="s">
        <v>969</v>
      </c>
      <c r="M576" t="s">
        <v>746</v>
      </c>
      <c r="Q576" t="s">
        <v>57</v>
      </c>
      <c r="R576" t="s">
        <v>1165</v>
      </c>
      <c r="Y576" t="s">
        <v>1152</v>
      </c>
      <c r="Z576">
        <v>732690</v>
      </c>
      <c r="AE576">
        <v>2485</v>
      </c>
      <c r="AF576" s="4">
        <v>0.4</v>
      </c>
      <c r="AG576">
        <f t="shared" si="57"/>
        <v>1491</v>
      </c>
      <c r="AH576" s="4">
        <v>0.18</v>
      </c>
      <c r="AI576">
        <f t="shared" si="52"/>
        <v>1759.38</v>
      </c>
      <c r="AJ576" s="4">
        <v>0.1</v>
      </c>
      <c r="AK576">
        <f t="shared" si="53"/>
        <v>175.94</v>
      </c>
      <c r="AL576">
        <f t="shared" si="54"/>
        <v>1935.32</v>
      </c>
      <c r="AM576">
        <f t="shared" si="55"/>
        <v>549.68</v>
      </c>
      <c r="AN576" s="4">
        <f t="shared" si="56"/>
        <v>0.221199195171026</v>
      </c>
      <c r="AO576" t="s">
        <v>221</v>
      </c>
      <c r="AQ576" t="s">
        <v>217</v>
      </c>
      <c r="AS576" t="s">
        <v>1166</v>
      </c>
      <c r="AT576" t="s">
        <v>64</v>
      </c>
    </row>
    <row r="577" ht="15.75" customHeight="1" spans="1:46">
      <c r="A577" t="s">
        <v>1162</v>
      </c>
      <c r="B577" t="s">
        <v>67</v>
      </c>
      <c r="C577" t="s">
        <v>435</v>
      </c>
      <c r="D577" t="s">
        <v>1046</v>
      </c>
      <c r="E577" t="s">
        <v>886</v>
      </c>
      <c r="F577" t="s">
        <v>1163</v>
      </c>
      <c r="H577" t="s">
        <v>186</v>
      </c>
      <c r="I577" t="s">
        <v>442</v>
      </c>
      <c r="J577" t="s">
        <v>1127</v>
      </c>
      <c r="K577" t="s">
        <v>1167</v>
      </c>
      <c r="L577" t="s">
        <v>969</v>
      </c>
      <c r="M577" t="s">
        <v>1155</v>
      </c>
      <c r="Q577" t="s">
        <v>57</v>
      </c>
      <c r="R577" t="s">
        <v>1168</v>
      </c>
      <c r="Y577" t="s">
        <v>1152</v>
      </c>
      <c r="Z577">
        <v>732690</v>
      </c>
      <c r="AE577">
        <v>2641</v>
      </c>
      <c r="AF577" s="4">
        <v>0.4</v>
      </c>
      <c r="AG577">
        <f t="shared" si="57"/>
        <v>1584.6</v>
      </c>
      <c r="AH577" s="4">
        <v>0.18</v>
      </c>
      <c r="AI577">
        <f t="shared" si="52"/>
        <v>1869.83</v>
      </c>
      <c r="AJ577" s="4">
        <v>0.1</v>
      </c>
      <c r="AK577">
        <f t="shared" si="53"/>
        <v>186.98</v>
      </c>
      <c r="AL577">
        <f t="shared" si="54"/>
        <v>2056.81</v>
      </c>
      <c r="AM577">
        <f t="shared" si="55"/>
        <v>584.19</v>
      </c>
      <c r="AN577" s="4">
        <f t="shared" si="56"/>
        <v>0.221200302915562</v>
      </c>
      <c r="AO577" t="s">
        <v>221</v>
      </c>
      <c r="AQ577" t="s">
        <v>217</v>
      </c>
      <c r="AS577" t="s">
        <v>1166</v>
      </c>
      <c r="AT577" t="s">
        <v>64</v>
      </c>
    </row>
    <row r="578" ht="15.75" customHeight="1" spans="1:46">
      <c r="A578" t="s">
        <v>1162</v>
      </c>
      <c r="B578" t="s">
        <v>71</v>
      </c>
      <c r="C578" t="s">
        <v>435</v>
      </c>
      <c r="D578" t="s">
        <v>1046</v>
      </c>
      <c r="E578" t="s">
        <v>886</v>
      </c>
      <c r="F578" t="s">
        <v>1163</v>
      </c>
      <c r="H578" t="s">
        <v>186</v>
      </c>
      <c r="I578" t="s">
        <v>442</v>
      </c>
      <c r="J578" t="s">
        <v>1127</v>
      </c>
      <c r="K578" t="s">
        <v>1169</v>
      </c>
      <c r="L578" t="s">
        <v>969</v>
      </c>
      <c r="M578" t="s">
        <v>1158</v>
      </c>
      <c r="Q578" t="s">
        <v>57</v>
      </c>
      <c r="R578" t="s">
        <v>1170</v>
      </c>
      <c r="Y578" t="s">
        <v>1152</v>
      </c>
      <c r="Z578">
        <v>732690</v>
      </c>
      <c r="AE578">
        <v>3322</v>
      </c>
      <c r="AF578" s="4">
        <v>0.4</v>
      </c>
      <c r="AG578">
        <f t="shared" si="57"/>
        <v>1993.2</v>
      </c>
      <c r="AH578" s="4">
        <v>0.18</v>
      </c>
      <c r="AI578">
        <f t="shared" ref="AI578:AI641" si="58">ROUND(AG578+(AG578*AH578),2)</f>
        <v>2351.98</v>
      </c>
      <c r="AJ578" s="4">
        <v>0.1</v>
      </c>
      <c r="AK578">
        <f t="shared" ref="AK578:AK641" si="59">ROUND(AI578*AJ578,2)</f>
        <v>235.2</v>
      </c>
      <c r="AL578">
        <f t="shared" ref="AL578:AL641" si="60">AI578+AK578</f>
        <v>2587.18</v>
      </c>
      <c r="AM578">
        <f t="shared" ref="AM578:AM641" si="61">AE578-AL578</f>
        <v>734.82</v>
      </c>
      <c r="AN578" s="4">
        <f t="shared" ref="AN578:AN641" si="62">AM578/AE578</f>
        <v>0.221198073449729</v>
      </c>
      <c r="AO578" t="s">
        <v>221</v>
      </c>
      <c r="AQ578" t="s">
        <v>217</v>
      </c>
      <c r="AS578" t="s">
        <v>1166</v>
      </c>
      <c r="AT578" t="s">
        <v>64</v>
      </c>
    </row>
    <row r="579" ht="15.75" customHeight="1" spans="1:46">
      <c r="A579" t="s">
        <v>1162</v>
      </c>
      <c r="B579" t="s">
        <v>75</v>
      </c>
      <c r="C579" t="s">
        <v>435</v>
      </c>
      <c r="D579" t="s">
        <v>1046</v>
      </c>
      <c r="E579" t="s">
        <v>886</v>
      </c>
      <c r="F579" t="s">
        <v>1163</v>
      </c>
      <c r="H579" t="s">
        <v>186</v>
      </c>
      <c r="I579" t="s">
        <v>442</v>
      </c>
      <c r="J579" t="s">
        <v>1127</v>
      </c>
      <c r="K579" t="s">
        <v>1171</v>
      </c>
      <c r="L579" t="s">
        <v>969</v>
      </c>
      <c r="M579" t="s">
        <v>1052</v>
      </c>
      <c r="Q579" t="s">
        <v>57</v>
      </c>
      <c r="R579" t="s">
        <v>1172</v>
      </c>
      <c r="Y579" t="s">
        <v>1152</v>
      </c>
      <c r="Z579">
        <v>732690</v>
      </c>
      <c r="AE579">
        <v>3680</v>
      </c>
      <c r="AF579" s="4">
        <v>0.4</v>
      </c>
      <c r="AG579">
        <f t="shared" si="57"/>
        <v>2208</v>
      </c>
      <c r="AH579" s="4">
        <v>0.18</v>
      </c>
      <c r="AI579">
        <f t="shared" si="58"/>
        <v>2605.44</v>
      </c>
      <c r="AJ579" s="4">
        <v>0.1</v>
      </c>
      <c r="AK579">
        <f t="shared" si="59"/>
        <v>260.54</v>
      </c>
      <c r="AL579">
        <f t="shared" si="60"/>
        <v>2865.98</v>
      </c>
      <c r="AM579">
        <f t="shared" si="61"/>
        <v>814.02</v>
      </c>
      <c r="AN579" s="4">
        <f t="shared" si="62"/>
        <v>0.221201086956522</v>
      </c>
      <c r="AO579" t="s">
        <v>221</v>
      </c>
      <c r="AQ579" t="s">
        <v>217</v>
      </c>
      <c r="AS579" t="s">
        <v>1166</v>
      </c>
      <c r="AT579" t="s">
        <v>64</v>
      </c>
    </row>
    <row r="580" ht="15.75" customHeight="1" spans="1:46">
      <c r="A580" t="s">
        <v>1173</v>
      </c>
      <c r="B580" t="s">
        <v>46</v>
      </c>
      <c r="C580" t="s">
        <v>435</v>
      </c>
      <c r="D580" t="s">
        <v>1046</v>
      </c>
      <c r="E580" t="s">
        <v>886</v>
      </c>
      <c r="F580" t="s">
        <v>1174</v>
      </c>
      <c r="H580" t="s">
        <v>186</v>
      </c>
      <c r="I580" t="s">
        <v>442</v>
      </c>
      <c r="J580" t="s">
        <v>1127</v>
      </c>
      <c r="K580" t="s">
        <v>1175</v>
      </c>
      <c r="L580" t="s">
        <v>969</v>
      </c>
      <c r="M580" t="s">
        <v>746</v>
      </c>
      <c r="Q580" t="s">
        <v>57</v>
      </c>
      <c r="R580" t="s">
        <v>1176</v>
      </c>
      <c r="Y580" t="s">
        <v>1152</v>
      </c>
      <c r="Z580">
        <v>732690</v>
      </c>
      <c r="AE580">
        <v>1665</v>
      </c>
      <c r="AF580" s="4">
        <v>0.4</v>
      </c>
      <c r="AG580">
        <f t="shared" si="57"/>
        <v>999</v>
      </c>
      <c r="AH580" s="4">
        <v>0.18</v>
      </c>
      <c r="AI580">
        <f t="shared" si="58"/>
        <v>1178.82</v>
      </c>
      <c r="AJ580" s="4">
        <v>0.1</v>
      </c>
      <c r="AK580">
        <f t="shared" si="59"/>
        <v>117.88</v>
      </c>
      <c r="AL580">
        <f t="shared" si="60"/>
        <v>1296.7</v>
      </c>
      <c r="AM580">
        <f t="shared" si="61"/>
        <v>368.3</v>
      </c>
      <c r="AN580" s="4">
        <f t="shared" si="62"/>
        <v>0.221201201201201</v>
      </c>
      <c r="AO580" t="s">
        <v>221</v>
      </c>
      <c r="AQ580" t="s">
        <v>217</v>
      </c>
      <c r="AS580" t="s">
        <v>1177</v>
      </c>
      <c r="AT580" t="s">
        <v>64</v>
      </c>
    </row>
    <row r="581" ht="15.75" customHeight="1" spans="1:46">
      <c r="A581" t="s">
        <v>1173</v>
      </c>
      <c r="B581" t="s">
        <v>67</v>
      </c>
      <c r="C581" t="s">
        <v>435</v>
      </c>
      <c r="D581" t="s">
        <v>1046</v>
      </c>
      <c r="E581" t="s">
        <v>886</v>
      </c>
      <c r="F581" t="s">
        <v>1174</v>
      </c>
      <c r="H581" t="s">
        <v>186</v>
      </c>
      <c r="I581" t="s">
        <v>442</v>
      </c>
      <c r="J581" t="s">
        <v>1127</v>
      </c>
      <c r="K581" t="s">
        <v>1178</v>
      </c>
      <c r="L581" t="s">
        <v>969</v>
      </c>
      <c r="M581" t="s">
        <v>1155</v>
      </c>
      <c r="Q581" t="s">
        <v>57</v>
      </c>
      <c r="R581" t="s">
        <v>1179</v>
      </c>
      <c r="Y581" t="s">
        <v>1152</v>
      </c>
      <c r="Z581">
        <v>732690</v>
      </c>
      <c r="AE581">
        <v>1798</v>
      </c>
      <c r="AF581" s="4">
        <v>0.4</v>
      </c>
      <c r="AG581">
        <f t="shared" si="57"/>
        <v>1078.8</v>
      </c>
      <c r="AH581" s="4">
        <v>0.18</v>
      </c>
      <c r="AI581">
        <f t="shared" si="58"/>
        <v>1272.98</v>
      </c>
      <c r="AJ581" s="4">
        <v>0.1</v>
      </c>
      <c r="AK581">
        <f t="shared" si="59"/>
        <v>127.3</v>
      </c>
      <c r="AL581">
        <f t="shared" si="60"/>
        <v>1400.28</v>
      </c>
      <c r="AM581">
        <f t="shared" si="61"/>
        <v>397.72</v>
      </c>
      <c r="AN581" s="4">
        <f t="shared" si="62"/>
        <v>0.221201334816463</v>
      </c>
      <c r="AO581" t="s">
        <v>221</v>
      </c>
      <c r="AQ581" t="s">
        <v>217</v>
      </c>
      <c r="AS581" t="s">
        <v>1177</v>
      </c>
      <c r="AT581" t="s">
        <v>64</v>
      </c>
    </row>
    <row r="582" ht="15.75" customHeight="1" spans="1:46">
      <c r="A582" t="s">
        <v>1173</v>
      </c>
      <c r="B582" t="s">
        <v>71</v>
      </c>
      <c r="C582" t="s">
        <v>435</v>
      </c>
      <c r="D582" t="s">
        <v>1046</v>
      </c>
      <c r="E582" t="s">
        <v>886</v>
      </c>
      <c r="F582" t="s">
        <v>1174</v>
      </c>
      <c r="H582" t="s">
        <v>186</v>
      </c>
      <c r="I582" t="s">
        <v>442</v>
      </c>
      <c r="J582" t="s">
        <v>1127</v>
      </c>
      <c r="K582" t="s">
        <v>1180</v>
      </c>
      <c r="L582" t="s">
        <v>969</v>
      </c>
      <c r="M582" t="s">
        <v>1158</v>
      </c>
      <c r="Q582" t="s">
        <v>57</v>
      </c>
      <c r="R582" t="s">
        <v>1181</v>
      </c>
      <c r="Y582" t="s">
        <v>1152</v>
      </c>
      <c r="Z582">
        <v>732690</v>
      </c>
      <c r="AE582">
        <v>2216</v>
      </c>
      <c r="AF582" s="4">
        <v>0.4</v>
      </c>
      <c r="AG582">
        <f t="shared" si="57"/>
        <v>1329.6</v>
      </c>
      <c r="AH582" s="4">
        <v>0.18</v>
      </c>
      <c r="AI582">
        <f t="shared" si="58"/>
        <v>1568.93</v>
      </c>
      <c r="AJ582" s="4">
        <v>0.1</v>
      </c>
      <c r="AK582">
        <f t="shared" si="59"/>
        <v>156.89</v>
      </c>
      <c r="AL582">
        <f t="shared" si="60"/>
        <v>1725.82</v>
      </c>
      <c r="AM582">
        <f t="shared" si="61"/>
        <v>490.18</v>
      </c>
      <c r="AN582" s="4">
        <f t="shared" si="62"/>
        <v>0.22120036101083</v>
      </c>
      <c r="AO582" t="s">
        <v>221</v>
      </c>
      <c r="AQ582" t="s">
        <v>217</v>
      </c>
      <c r="AS582" t="s">
        <v>1177</v>
      </c>
      <c r="AT582" t="s">
        <v>64</v>
      </c>
    </row>
    <row r="583" ht="15.75" customHeight="1" spans="1:46">
      <c r="A583" t="s">
        <v>1173</v>
      </c>
      <c r="B583" t="s">
        <v>75</v>
      </c>
      <c r="C583" t="s">
        <v>435</v>
      </c>
      <c r="D583" t="s">
        <v>1046</v>
      </c>
      <c r="E583" t="s">
        <v>886</v>
      </c>
      <c r="F583" t="s">
        <v>1174</v>
      </c>
      <c r="H583" t="s">
        <v>186</v>
      </c>
      <c r="I583" t="s">
        <v>442</v>
      </c>
      <c r="J583" t="s">
        <v>1127</v>
      </c>
      <c r="K583" t="s">
        <v>1182</v>
      </c>
      <c r="L583" t="s">
        <v>969</v>
      </c>
      <c r="M583" t="s">
        <v>1052</v>
      </c>
      <c r="Q583" t="s">
        <v>57</v>
      </c>
      <c r="R583" t="s">
        <v>1183</v>
      </c>
      <c r="Y583" t="s">
        <v>1152</v>
      </c>
      <c r="Z583">
        <v>732690</v>
      </c>
      <c r="AE583">
        <v>2480</v>
      </c>
      <c r="AF583" s="4">
        <v>0.4</v>
      </c>
      <c r="AG583">
        <f t="shared" si="57"/>
        <v>1488</v>
      </c>
      <c r="AH583" s="4">
        <v>0.18</v>
      </c>
      <c r="AI583">
        <f t="shared" si="58"/>
        <v>1755.84</v>
      </c>
      <c r="AJ583" s="4">
        <v>0.1</v>
      </c>
      <c r="AK583">
        <f t="shared" si="59"/>
        <v>175.58</v>
      </c>
      <c r="AL583">
        <f t="shared" si="60"/>
        <v>1931.42</v>
      </c>
      <c r="AM583">
        <f t="shared" si="61"/>
        <v>548.58</v>
      </c>
      <c r="AN583" s="4">
        <f t="shared" si="62"/>
        <v>0.221201612903226</v>
      </c>
      <c r="AO583" t="s">
        <v>221</v>
      </c>
      <c r="AQ583" t="s">
        <v>217</v>
      </c>
      <c r="AS583" t="s">
        <v>1177</v>
      </c>
      <c r="AT583" t="s">
        <v>64</v>
      </c>
    </row>
    <row r="584" ht="15.75" customHeight="1" spans="1:46">
      <c r="A584" t="s">
        <v>1184</v>
      </c>
      <c r="B584" t="s">
        <v>46</v>
      </c>
      <c r="C584" t="s">
        <v>435</v>
      </c>
      <c r="D584" t="s">
        <v>1046</v>
      </c>
      <c r="E584" t="s">
        <v>886</v>
      </c>
      <c r="F584" t="s">
        <v>1185</v>
      </c>
      <c r="H584" t="s">
        <v>186</v>
      </c>
      <c r="I584" t="s">
        <v>1186</v>
      </c>
      <c r="J584" t="s">
        <v>1127</v>
      </c>
      <c r="K584" t="s">
        <v>1187</v>
      </c>
      <c r="L584" t="s">
        <v>969</v>
      </c>
      <c r="M584" t="s">
        <v>683</v>
      </c>
      <c r="Q584" t="s">
        <v>57</v>
      </c>
      <c r="R584" t="s">
        <v>1188</v>
      </c>
      <c r="Y584" t="s">
        <v>1189</v>
      </c>
      <c r="Z584">
        <v>46021911</v>
      </c>
      <c r="AE584">
        <v>7016</v>
      </c>
      <c r="AF584" s="4">
        <v>0.4</v>
      </c>
      <c r="AG584">
        <f t="shared" si="57"/>
        <v>4209.6</v>
      </c>
      <c r="AH584" s="4">
        <v>0.18</v>
      </c>
      <c r="AI584">
        <f t="shared" si="58"/>
        <v>4967.33</v>
      </c>
      <c r="AJ584" s="4">
        <v>0.1</v>
      </c>
      <c r="AK584">
        <f t="shared" si="59"/>
        <v>496.73</v>
      </c>
      <c r="AL584">
        <f t="shared" si="60"/>
        <v>5464.06</v>
      </c>
      <c r="AM584">
        <f t="shared" si="61"/>
        <v>1551.94</v>
      </c>
      <c r="AN584" s="4">
        <f t="shared" si="62"/>
        <v>0.221200114025086</v>
      </c>
      <c r="AO584" t="s">
        <v>221</v>
      </c>
      <c r="AQ584" t="s">
        <v>217</v>
      </c>
      <c r="AS584" t="s">
        <v>1190</v>
      </c>
      <c r="AT584" t="s">
        <v>64</v>
      </c>
    </row>
    <row r="585" ht="15.75" customHeight="1" spans="1:46">
      <c r="A585" t="s">
        <v>1184</v>
      </c>
      <c r="B585" t="s">
        <v>67</v>
      </c>
      <c r="C585" t="s">
        <v>435</v>
      </c>
      <c r="D585" t="s">
        <v>1046</v>
      </c>
      <c r="E585" t="s">
        <v>886</v>
      </c>
      <c r="F585" t="s">
        <v>1185</v>
      </c>
      <c r="H585" t="s">
        <v>186</v>
      </c>
      <c r="I585" t="s">
        <v>1186</v>
      </c>
      <c r="J585" t="s">
        <v>1127</v>
      </c>
      <c r="K585" t="s">
        <v>1191</v>
      </c>
      <c r="L585" t="s">
        <v>969</v>
      </c>
      <c r="M585" t="s">
        <v>683</v>
      </c>
      <c r="Q585" t="s">
        <v>57</v>
      </c>
      <c r="R585" t="s">
        <v>1192</v>
      </c>
      <c r="Y585" t="s">
        <v>1189</v>
      </c>
      <c r="Z585">
        <v>46021911</v>
      </c>
      <c r="AE585">
        <v>7521</v>
      </c>
      <c r="AF585" s="4">
        <v>0.4</v>
      </c>
      <c r="AG585">
        <f t="shared" si="57"/>
        <v>4512.6</v>
      </c>
      <c r="AH585" s="4">
        <v>0.18</v>
      </c>
      <c r="AI585">
        <f t="shared" si="58"/>
        <v>5324.87</v>
      </c>
      <c r="AJ585" s="4">
        <v>0.1</v>
      </c>
      <c r="AK585">
        <f t="shared" si="59"/>
        <v>532.49</v>
      </c>
      <c r="AL585">
        <f t="shared" si="60"/>
        <v>5857.36</v>
      </c>
      <c r="AM585">
        <f t="shared" si="61"/>
        <v>1663.64</v>
      </c>
      <c r="AN585" s="4">
        <f t="shared" si="62"/>
        <v>0.221199308602579</v>
      </c>
      <c r="AO585" t="s">
        <v>221</v>
      </c>
      <c r="AQ585" t="s">
        <v>217</v>
      </c>
      <c r="AS585" t="s">
        <v>1190</v>
      </c>
      <c r="AT585" t="s">
        <v>64</v>
      </c>
    </row>
    <row r="586" ht="15.75" customHeight="1" spans="1:46">
      <c r="A586" t="s">
        <v>1184</v>
      </c>
      <c r="B586" t="s">
        <v>71</v>
      </c>
      <c r="C586" t="s">
        <v>435</v>
      </c>
      <c r="D586" t="s">
        <v>1046</v>
      </c>
      <c r="E586" t="s">
        <v>886</v>
      </c>
      <c r="F586" t="s">
        <v>1185</v>
      </c>
      <c r="H586" t="s">
        <v>186</v>
      </c>
      <c r="I586" t="s">
        <v>1186</v>
      </c>
      <c r="J586" t="s">
        <v>1127</v>
      </c>
      <c r="K586" t="s">
        <v>1193</v>
      </c>
      <c r="L586" t="s">
        <v>969</v>
      </c>
      <c r="M586" t="s">
        <v>683</v>
      </c>
      <c r="Q586" t="s">
        <v>57</v>
      </c>
      <c r="R586" t="s">
        <v>1194</v>
      </c>
      <c r="Y586" t="s">
        <v>1189</v>
      </c>
      <c r="Z586">
        <v>46021911</v>
      </c>
      <c r="AE586">
        <v>8049</v>
      </c>
      <c r="AF586" s="4">
        <v>0.4</v>
      </c>
      <c r="AG586">
        <f t="shared" si="57"/>
        <v>4829.4</v>
      </c>
      <c r="AH586" s="4">
        <v>0.18</v>
      </c>
      <c r="AI586">
        <f t="shared" si="58"/>
        <v>5698.69</v>
      </c>
      <c r="AJ586" s="4">
        <v>0.1</v>
      </c>
      <c r="AK586">
        <f t="shared" si="59"/>
        <v>569.87</v>
      </c>
      <c r="AL586">
        <f t="shared" si="60"/>
        <v>6268.56</v>
      </c>
      <c r="AM586">
        <f t="shared" si="61"/>
        <v>1780.44</v>
      </c>
      <c r="AN586" s="4">
        <f t="shared" si="62"/>
        <v>0.221200149086843</v>
      </c>
      <c r="AO586" t="s">
        <v>221</v>
      </c>
      <c r="AQ586" t="s">
        <v>217</v>
      </c>
      <c r="AS586" t="s">
        <v>1190</v>
      </c>
      <c r="AT586" t="s">
        <v>64</v>
      </c>
    </row>
    <row r="587" ht="15.75" customHeight="1" spans="1:46">
      <c r="A587" t="s">
        <v>1184</v>
      </c>
      <c r="B587" t="s">
        <v>75</v>
      </c>
      <c r="C587" t="s">
        <v>435</v>
      </c>
      <c r="D587" t="s">
        <v>1046</v>
      </c>
      <c r="E587" t="s">
        <v>886</v>
      </c>
      <c r="F587" t="s">
        <v>1185</v>
      </c>
      <c r="H587" t="s">
        <v>186</v>
      </c>
      <c r="I587" t="s">
        <v>1186</v>
      </c>
      <c r="J587" t="s">
        <v>1127</v>
      </c>
      <c r="K587" t="s">
        <v>1195</v>
      </c>
      <c r="L587" t="s">
        <v>969</v>
      </c>
      <c r="M587" t="s">
        <v>746</v>
      </c>
      <c r="Q587" t="s">
        <v>57</v>
      </c>
      <c r="R587" t="s">
        <v>1196</v>
      </c>
      <c r="Y587" t="s">
        <v>1189</v>
      </c>
      <c r="Z587">
        <v>46021911</v>
      </c>
      <c r="AE587">
        <v>8141</v>
      </c>
      <c r="AF587" s="4">
        <v>0.4</v>
      </c>
      <c r="AG587">
        <f t="shared" si="57"/>
        <v>4884.6</v>
      </c>
      <c r="AH587" s="4">
        <v>0.18</v>
      </c>
      <c r="AI587">
        <f t="shared" si="58"/>
        <v>5763.83</v>
      </c>
      <c r="AJ587" s="4">
        <v>0.1</v>
      </c>
      <c r="AK587">
        <f t="shared" si="59"/>
        <v>576.38</v>
      </c>
      <c r="AL587">
        <f t="shared" si="60"/>
        <v>6340.21</v>
      </c>
      <c r="AM587">
        <f t="shared" si="61"/>
        <v>1800.79</v>
      </c>
      <c r="AN587" s="4">
        <f t="shared" si="62"/>
        <v>0.221200098268026</v>
      </c>
      <c r="AO587" t="s">
        <v>221</v>
      </c>
      <c r="AQ587" t="s">
        <v>217</v>
      </c>
      <c r="AS587" t="s">
        <v>1190</v>
      </c>
      <c r="AT587" t="s">
        <v>64</v>
      </c>
    </row>
    <row r="588" ht="15.75" customHeight="1" spans="1:46">
      <c r="A588" t="s">
        <v>1184</v>
      </c>
      <c r="B588" t="s">
        <v>79</v>
      </c>
      <c r="C588" t="s">
        <v>435</v>
      </c>
      <c r="D588" t="s">
        <v>1046</v>
      </c>
      <c r="E588" t="s">
        <v>886</v>
      </c>
      <c r="F588" t="s">
        <v>1185</v>
      </c>
      <c r="H588" t="s">
        <v>186</v>
      </c>
      <c r="I588" t="s">
        <v>1186</v>
      </c>
      <c r="J588" t="s">
        <v>1127</v>
      </c>
      <c r="K588" t="s">
        <v>1197</v>
      </c>
      <c r="L588" t="s">
        <v>969</v>
      </c>
      <c r="M588" t="s">
        <v>746</v>
      </c>
      <c r="Q588" t="s">
        <v>57</v>
      </c>
      <c r="R588" t="s">
        <v>1198</v>
      </c>
      <c r="Y588" t="s">
        <v>1189</v>
      </c>
      <c r="Z588">
        <v>46021911</v>
      </c>
      <c r="AE588">
        <v>8853</v>
      </c>
      <c r="AF588" s="4">
        <v>0.4</v>
      </c>
      <c r="AG588">
        <f t="shared" si="57"/>
        <v>5311.8</v>
      </c>
      <c r="AH588" s="4">
        <v>0.18</v>
      </c>
      <c r="AI588">
        <f t="shared" si="58"/>
        <v>6267.92</v>
      </c>
      <c r="AJ588" s="4">
        <v>0.1</v>
      </c>
      <c r="AK588">
        <f t="shared" si="59"/>
        <v>626.79</v>
      </c>
      <c r="AL588">
        <f t="shared" si="60"/>
        <v>6894.71</v>
      </c>
      <c r="AM588">
        <f t="shared" si="61"/>
        <v>1958.29</v>
      </c>
      <c r="AN588" s="4">
        <f t="shared" si="62"/>
        <v>0.221200722918785</v>
      </c>
      <c r="AO588" t="s">
        <v>221</v>
      </c>
      <c r="AQ588" t="s">
        <v>217</v>
      </c>
      <c r="AS588" t="s">
        <v>1190</v>
      </c>
      <c r="AT588" t="s">
        <v>64</v>
      </c>
    </row>
    <row r="589" ht="15.75" customHeight="1" spans="1:46">
      <c r="A589" t="s">
        <v>1184</v>
      </c>
      <c r="B589" t="s">
        <v>83</v>
      </c>
      <c r="C589" t="s">
        <v>435</v>
      </c>
      <c r="D589" t="s">
        <v>1046</v>
      </c>
      <c r="E589" t="s">
        <v>886</v>
      </c>
      <c r="F589" t="s">
        <v>1185</v>
      </c>
      <c r="H589" t="s">
        <v>186</v>
      </c>
      <c r="I589" t="s">
        <v>1186</v>
      </c>
      <c r="J589" t="s">
        <v>1127</v>
      </c>
      <c r="K589" t="s">
        <v>1199</v>
      </c>
      <c r="L589" t="s">
        <v>969</v>
      </c>
      <c r="M589" t="s">
        <v>746</v>
      </c>
      <c r="Q589" t="s">
        <v>57</v>
      </c>
      <c r="R589" t="s">
        <v>1200</v>
      </c>
      <c r="Y589" t="s">
        <v>1189</v>
      </c>
      <c r="Z589">
        <v>46021911</v>
      </c>
      <c r="AE589">
        <v>9553</v>
      </c>
      <c r="AF589" s="4">
        <v>0.4</v>
      </c>
      <c r="AG589">
        <f t="shared" si="57"/>
        <v>5731.8</v>
      </c>
      <c r="AH589" s="4">
        <v>0.18</v>
      </c>
      <c r="AI589">
        <f t="shared" si="58"/>
        <v>6763.52</v>
      </c>
      <c r="AJ589" s="4">
        <v>0.1</v>
      </c>
      <c r="AK589">
        <f t="shared" si="59"/>
        <v>676.35</v>
      </c>
      <c r="AL589">
        <f t="shared" si="60"/>
        <v>7439.87</v>
      </c>
      <c r="AM589">
        <f t="shared" si="61"/>
        <v>2113.13</v>
      </c>
      <c r="AN589" s="4">
        <f t="shared" si="62"/>
        <v>0.221200669946614</v>
      </c>
      <c r="AO589" t="s">
        <v>221</v>
      </c>
      <c r="AQ589" t="s">
        <v>217</v>
      </c>
      <c r="AS589" t="s">
        <v>1190</v>
      </c>
      <c r="AT589" t="s">
        <v>64</v>
      </c>
    </row>
    <row r="590" ht="15.75" customHeight="1" spans="1:46">
      <c r="A590" t="s">
        <v>1184</v>
      </c>
      <c r="B590" t="s">
        <v>131</v>
      </c>
      <c r="C590" t="s">
        <v>435</v>
      </c>
      <c r="D590" t="s">
        <v>1046</v>
      </c>
      <c r="E590" t="s">
        <v>886</v>
      </c>
      <c r="F590" t="s">
        <v>1185</v>
      </c>
      <c r="H590" t="s">
        <v>186</v>
      </c>
      <c r="I590" t="s">
        <v>1201</v>
      </c>
      <c r="J590" t="s">
        <v>1127</v>
      </c>
      <c r="K590" t="s">
        <v>1187</v>
      </c>
      <c r="L590" t="s">
        <v>969</v>
      </c>
      <c r="M590" t="s">
        <v>683</v>
      </c>
      <c r="Q590" t="s">
        <v>57</v>
      </c>
      <c r="R590" t="s">
        <v>1202</v>
      </c>
      <c r="Y590" t="s">
        <v>1189</v>
      </c>
      <c r="Z590">
        <v>46021911</v>
      </c>
      <c r="AE590">
        <v>6129</v>
      </c>
      <c r="AF590" s="4">
        <v>0.4</v>
      </c>
      <c r="AG590">
        <f t="shared" si="57"/>
        <v>3677.4</v>
      </c>
      <c r="AH590" s="4">
        <v>0.18</v>
      </c>
      <c r="AI590">
        <f t="shared" si="58"/>
        <v>4339.33</v>
      </c>
      <c r="AJ590" s="4">
        <v>0.1</v>
      </c>
      <c r="AK590">
        <f t="shared" si="59"/>
        <v>433.93</v>
      </c>
      <c r="AL590">
        <f t="shared" si="60"/>
        <v>4773.26</v>
      </c>
      <c r="AM590">
        <f t="shared" si="61"/>
        <v>1355.74</v>
      </c>
      <c r="AN590" s="4">
        <f t="shared" si="62"/>
        <v>0.221200848425518</v>
      </c>
      <c r="AO590" t="s">
        <v>221</v>
      </c>
      <c r="AQ590" t="s">
        <v>217</v>
      </c>
      <c r="AS590" t="s">
        <v>1190</v>
      </c>
      <c r="AT590" t="s">
        <v>64</v>
      </c>
    </row>
    <row r="591" ht="15.75" customHeight="1" spans="1:46">
      <c r="A591" t="s">
        <v>1184</v>
      </c>
      <c r="B591" t="s">
        <v>133</v>
      </c>
      <c r="C591" t="s">
        <v>435</v>
      </c>
      <c r="D591" t="s">
        <v>1046</v>
      </c>
      <c r="E591" t="s">
        <v>886</v>
      </c>
      <c r="F591" t="s">
        <v>1185</v>
      </c>
      <c r="H591" t="s">
        <v>186</v>
      </c>
      <c r="I591" t="s">
        <v>1201</v>
      </c>
      <c r="J591" t="s">
        <v>1127</v>
      </c>
      <c r="K591" t="s">
        <v>1191</v>
      </c>
      <c r="L591" t="s">
        <v>969</v>
      </c>
      <c r="M591" t="s">
        <v>683</v>
      </c>
      <c r="Q591" t="s">
        <v>57</v>
      </c>
      <c r="R591" t="s">
        <v>1203</v>
      </c>
      <c r="Y591" t="s">
        <v>1189</v>
      </c>
      <c r="Z591">
        <v>46021911</v>
      </c>
      <c r="AE591">
        <v>6660</v>
      </c>
      <c r="AF591" s="4">
        <v>0.4</v>
      </c>
      <c r="AG591">
        <f t="shared" si="57"/>
        <v>3996</v>
      </c>
      <c r="AH591" s="4">
        <v>0.18</v>
      </c>
      <c r="AI591">
        <f t="shared" si="58"/>
        <v>4715.28</v>
      </c>
      <c r="AJ591" s="4">
        <v>0.1</v>
      </c>
      <c r="AK591">
        <f t="shared" si="59"/>
        <v>471.53</v>
      </c>
      <c r="AL591">
        <f t="shared" si="60"/>
        <v>5186.81</v>
      </c>
      <c r="AM591">
        <f t="shared" si="61"/>
        <v>1473.19</v>
      </c>
      <c r="AN591" s="4">
        <f t="shared" si="62"/>
        <v>0.2211996996997</v>
      </c>
      <c r="AO591" t="s">
        <v>221</v>
      </c>
      <c r="AQ591" t="s">
        <v>217</v>
      </c>
      <c r="AS591" t="s">
        <v>1190</v>
      </c>
      <c r="AT591" t="s">
        <v>64</v>
      </c>
    </row>
    <row r="592" ht="15.75" customHeight="1" spans="1:46">
      <c r="A592" t="s">
        <v>1184</v>
      </c>
      <c r="B592" t="s">
        <v>135</v>
      </c>
      <c r="C592" t="s">
        <v>435</v>
      </c>
      <c r="D592" t="s">
        <v>1046</v>
      </c>
      <c r="E592" t="s">
        <v>886</v>
      </c>
      <c r="F592" t="s">
        <v>1185</v>
      </c>
      <c r="H592" t="s">
        <v>186</v>
      </c>
      <c r="I592" t="s">
        <v>1201</v>
      </c>
      <c r="J592" t="s">
        <v>1127</v>
      </c>
      <c r="K592" t="s">
        <v>1193</v>
      </c>
      <c r="L592" t="s">
        <v>969</v>
      </c>
      <c r="M592" t="s">
        <v>683</v>
      </c>
      <c r="Q592" t="s">
        <v>57</v>
      </c>
      <c r="R592" t="s">
        <v>1204</v>
      </c>
      <c r="Y592" t="s">
        <v>1189</v>
      </c>
      <c r="Z592">
        <v>46021911</v>
      </c>
      <c r="AE592">
        <v>7222</v>
      </c>
      <c r="AF592" s="4">
        <v>0.4</v>
      </c>
      <c r="AG592">
        <f t="shared" si="57"/>
        <v>4333.2</v>
      </c>
      <c r="AH592" s="4">
        <v>0.18</v>
      </c>
      <c r="AI592">
        <f t="shared" si="58"/>
        <v>5113.18</v>
      </c>
      <c r="AJ592" s="4">
        <v>0.1</v>
      </c>
      <c r="AK592">
        <f t="shared" si="59"/>
        <v>511.32</v>
      </c>
      <c r="AL592">
        <f t="shared" si="60"/>
        <v>5624.5</v>
      </c>
      <c r="AM592">
        <f t="shared" si="61"/>
        <v>1597.5</v>
      </c>
      <c r="AN592" s="4">
        <f t="shared" si="62"/>
        <v>0.221199113818887</v>
      </c>
      <c r="AO592" t="s">
        <v>221</v>
      </c>
      <c r="AQ592" t="s">
        <v>217</v>
      </c>
      <c r="AS592" t="s">
        <v>1190</v>
      </c>
      <c r="AT592" t="s">
        <v>64</v>
      </c>
    </row>
    <row r="593" ht="15.75" customHeight="1" spans="1:46">
      <c r="A593" t="s">
        <v>1184</v>
      </c>
      <c r="B593" t="s">
        <v>137</v>
      </c>
      <c r="C593" t="s">
        <v>435</v>
      </c>
      <c r="D593" t="s">
        <v>1046</v>
      </c>
      <c r="E593" t="s">
        <v>886</v>
      </c>
      <c r="F593" t="s">
        <v>1185</v>
      </c>
      <c r="H593" t="s">
        <v>186</v>
      </c>
      <c r="I593" t="s">
        <v>1201</v>
      </c>
      <c r="J593" t="s">
        <v>1127</v>
      </c>
      <c r="K593" t="s">
        <v>1195</v>
      </c>
      <c r="L593" t="s">
        <v>969</v>
      </c>
      <c r="M593" t="s">
        <v>746</v>
      </c>
      <c r="Q593" t="s">
        <v>57</v>
      </c>
      <c r="R593" t="s">
        <v>1205</v>
      </c>
      <c r="Y593" t="s">
        <v>1189</v>
      </c>
      <c r="Z593">
        <v>46021911</v>
      </c>
      <c r="AE593">
        <v>7257</v>
      </c>
      <c r="AF593" s="4">
        <v>0.4</v>
      </c>
      <c r="AG593">
        <f t="shared" si="57"/>
        <v>4354.2</v>
      </c>
      <c r="AH593" s="4">
        <v>0.18</v>
      </c>
      <c r="AI593">
        <f t="shared" si="58"/>
        <v>5137.96</v>
      </c>
      <c r="AJ593" s="4">
        <v>0.1</v>
      </c>
      <c r="AK593">
        <f t="shared" si="59"/>
        <v>513.8</v>
      </c>
      <c r="AL593">
        <f t="shared" si="60"/>
        <v>5651.76</v>
      </c>
      <c r="AM593">
        <f t="shared" si="61"/>
        <v>1605.24</v>
      </c>
      <c r="AN593" s="4">
        <f t="shared" si="62"/>
        <v>0.2211988424969</v>
      </c>
      <c r="AO593" t="s">
        <v>221</v>
      </c>
      <c r="AQ593" t="s">
        <v>217</v>
      </c>
      <c r="AS593" t="s">
        <v>1190</v>
      </c>
      <c r="AT593" t="s">
        <v>64</v>
      </c>
    </row>
    <row r="594" ht="15.75" customHeight="1" spans="1:46">
      <c r="A594" t="s">
        <v>1184</v>
      </c>
      <c r="B594" t="s">
        <v>138</v>
      </c>
      <c r="C594" t="s">
        <v>435</v>
      </c>
      <c r="D594" t="s">
        <v>1046</v>
      </c>
      <c r="E594" t="s">
        <v>886</v>
      </c>
      <c r="F594" t="s">
        <v>1185</v>
      </c>
      <c r="H594" t="s">
        <v>186</v>
      </c>
      <c r="I594" t="s">
        <v>1201</v>
      </c>
      <c r="J594" t="s">
        <v>1127</v>
      </c>
      <c r="K594" t="s">
        <v>1197</v>
      </c>
      <c r="L594" t="s">
        <v>969</v>
      </c>
      <c r="M594" t="s">
        <v>746</v>
      </c>
      <c r="Q594" t="s">
        <v>57</v>
      </c>
      <c r="R594" t="s">
        <v>1206</v>
      </c>
      <c r="Y594" t="s">
        <v>1189</v>
      </c>
      <c r="Z594">
        <v>46021911</v>
      </c>
      <c r="AE594">
        <v>8015</v>
      </c>
      <c r="AF594" s="4">
        <v>0.4</v>
      </c>
      <c r="AG594">
        <f t="shared" si="57"/>
        <v>4809</v>
      </c>
      <c r="AH594" s="4">
        <v>0.18</v>
      </c>
      <c r="AI594">
        <f t="shared" si="58"/>
        <v>5674.62</v>
      </c>
      <c r="AJ594" s="4">
        <v>0.1</v>
      </c>
      <c r="AK594">
        <f t="shared" si="59"/>
        <v>567.46</v>
      </c>
      <c r="AL594">
        <f t="shared" si="60"/>
        <v>6242.08</v>
      </c>
      <c r="AM594">
        <f t="shared" si="61"/>
        <v>1772.92</v>
      </c>
      <c r="AN594" s="4">
        <f t="shared" si="62"/>
        <v>0.221200249532127</v>
      </c>
      <c r="AO594" t="s">
        <v>221</v>
      </c>
      <c r="AQ594" t="s">
        <v>217</v>
      </c>
      <c r="AS594" t="s">
        <v>1190</v>
      </c>
      <c r="AT594" t="s">
        <v>64</v>
      </c>
    </row>
    <row r="595" ht="15.75" customHeight="1" spans="1:46">
      <c r="A595" t="s">
        <v>1184</v>
      </c>
      <c r="B595" t="s">
        <v>140</v>
      </c>
      <c r="C595" t="s">
        <v>435</v>
      </c>
      <c r="D595" t="s">
        <v>1046</v>
      </c>
      <c r="E595" t="s">
        <v>886</v>
      </c>
      <c r="F595" t="s">
        <v>1185</v>
      </c>
      <c r="H595" t="s">
        <v>186</v>
      </c>
      <c r="I595" t="s">
        <v>1201</v>
      </c>
      <c r="J595" t="s">
        <v>1127</v>
      </c>
      <c r="K595" t="s">
        <v>1199</v>
      </c>
      <c r="L595" t="s">
        <v>969</v>
      </c>
      <c r="M595" t="s">
        <v>746</v>
      </c>
      <c r="Q595" t="s">
        <v>57</v>
      </c>
      <c r="R595" t="s">
        <v>1207</v>
      </c>
      <c r="Y595" t="s">
        <v>1189</v>
      </c>
      <c r="Z595">
        <v>46021911</v>
      </c>
      <c r="AE595">
        <v>8761</v>
      </c>
      <c r="AF595" s="4">
        <v>0.4</v>
      </c>
      <c r="AG595">
        <f t="shared" si="57"/>
        <v>5256.6</v>
      </c>
      <c r="AH595" s="4">
        <v>0.18</v>
      </c>
      <c r="AI595">
        <f t="shared" si="58"/>
        <v>6202.79</v>
      </c>
      <c r="AJ595" s="4">
        <v>0.1</v>
      </c>
      <c r="AK595">
        <f t="shared" si="59"/>
        <v>620.28</v>
      </c>
      <c r="AL595">
        <f t="shared" si="60"/>
        <v>6823.07</v>
      </c>
      <c r="AM595">
        <f t="shared" si="61"/>
        <v>1937.93</v>
      </c>
      <c r="AN595" s="4">
        <f t="shared" si="62"/>
        <v>0.221199634744892</v>
      </c>
      <c r="AO595" t="s">
        <v>221</v>
      </c>
      <c r="AQ595" t="s">
        <v>217</v>
      </c>
      <c r="AS595" t="s">
        <v>1190</v>
      </c>
      <c r="AT595" t="s">
        <v>64</v>
      </c>
    </row>
    <row r="596" ht="15.75" customHeight="1" spans="1:46">
      <c r="A596" t="s">
        <v>1208</v>
      </c>
      <c r="B596" t="s">
        <v>46</v>
      </c>
      <c r="C596" t="s">
        <v>435</v>
      </c>
      <c r="D596" t="s">
        <v>1046</v>
      </c>
      <c r="E596" t="s">
        <v>735</v>
      </c>
      <c r="F596" t="s">
        <v>1209</v>
      </c>
      <c r="H596" t="s">
        <v>1210</v>
      </c>
      <c r="I596" t="s">
        <v>1211</v>
      </c>
      <c r="J596" t="s">
        <v>1127</v>
      </c>
      <c r="K596" t="s">
        <v>1212</v>
      </c>
      <c r="L596" t="s">
        <v>969</v>
      </c>
      <c r="M596" t="s">
        <v>1213</v>
      </c>
      <c r="Q596" t="s">
        <v>57</v>
      </c>
      <c r="R596" t="s">
        <v>1214</v>
      </c>
      <c r="Y596" t="s">
        <v>1215</v>
      </c>
      <c r="Z596">
        <v>73241000</v>
      </c>
      <c r="AE596">
        <v>14499</v>
      </c>
      <c r="AF596" s="4">
        <v>0.5</v>
      </c>
      <c r="AG596">
        <f t="shared" si="57"/>
        <v>7249.5</v>
      </c>
      <c r="AH596" s="4">
        <v>0.18</v>
      </c>
      <c r="AI596">
        <f t="shared" si="58"/>
        <v>8554.41</v>
      </c>
      <c r="AJ596" s="4">
        <v>0.2</v>
      </c>
      <c r="AK596">
        <f t="shared" si="59"/>
        <v>1710.88</v>
      </c>
      <c r="AL596">
        <f t="shared" si="60"/>
        <v>10265.29</v>
      </c>
      <c r="AM596">
        <f t="shared" si="61"/>
        <v>4233.71</v>
      </c>
      <c r="AN596" s="4">
        <f t="shared" si="62"/>
        <v>0.292000137940548</v>
      </c>
      <c r="AO596" t="s">
        <v>221</v>
      </c>
      <c r="AQ596" t="s">
        <v>217</v>
      </c>
      <c r="AS596" t="s">
        <v>1216</v>
      </c>
      <c r="AT596" t="s">
        <v>64</v>
      </c>
    </row>
    <row r="597" ht="15.75" customHeight="1" spans="1:46">
      <c r="A597" t="s">
        <v>1208</v>
      </c>
      <c r="B597" t="s">
        <v>67</v>
      </c>
      <c r="C597" t="s">
        <v>435</v>
      </c>
      <c r="D597" t="s">
        <v>1046</v>
      </c>
      <c r="E597" t="s">
        <v>735</v>
      </c>
      <c r="F597" t="s">
        <v>1209</v>
      </c>
      <c r="H597" t="s">
        <v>1210</v>
      </c>
      <c r="I597" t="s">
        <v>1217</v>
      </c>
      <c r="J597" t="s">
        <v>1127</v>
      </c>
      <c r="K597" t="s">
        <v>1212</v>
      </c>
      <c r="L597" t="s">
        <v>969</v>
      </c>
      <c r="M597" t="s">
        <v>1213</v>
      </c>
      <c r="Q597" t="s">
        <v>57</v>
      </c>
      <c r="R597" t="s">
        <v>1218</v>
      </c>
      <c r="Y597" t="s">
        <v>1219</v>
      </c>
      <c r="Z597">
        <v>73241000</v>
      </c>
      <c r="AE597">
        <v>14499</v>
      </c>
      <c r="AF597" s="4">
        <v>0.5</v>
      </c>
      <c r="AG597">
        <f t="shared" si="57"/>
        <v>7249.5</v>
      </c>
      <c r="AH597" s="4">
        <v>0.18</v>
      </c>
      <c r="AI597">
        <f t="shared" si="58"/>
        <v>8554.41</v>
      </c>
      <c r="AJ597" s="4">
        <v>0.2</v>
      </c>
      <c r="AK597">
        <f t="shared" si="59"/>
        <v>1710.88</v>
      </c>
      <c r="AL597">
        <f t="shared" si="60"/>
        <v>10265.29</v>
      </c>
      <c r="AM597">
        <f t="shared" si="61"/>
        <v>4233.71</v>
      </c>
      <c r="AN597" s="4">
        <f t="shared" si="62"/>
        <v>0.292000137940548</v>
      </c>
      <c r="AO597" t="s">
        <v>221</v>
      </c>
      <c r="AQ597" t="s">
        <v>217</v>
      </c>
      <c r="AS597" t="s">
        <v>1216</v>
      </c>
      <c r="AT597" t="s">
        <v>64</v>
      </c>
    </row>
    <row r="598" ht="15.75" customHeight="1" spans="1:46">
      <c r="A598" t="s">
        <v>1220</v>
      </c>
      <c r="B598" t="s">
        <v>46</v>
      </c>
      <c r="C598" t="s">
        <v>435</v>
      </c>
      <c r="D598" t="s">
        <v>1046</v>
      </c>
      <c r="E598" t="s">
        <v>735</v>
      </c>
      <c r="F598" t="s">
        <v>1221</v>
      </c>
      <c r="H598" t="s">
        <v>186</v>
      </c>
      <c r="I598" t="s">
        <v>442</v>
      </c>
      <c r="J598" t="s">
        <v>910</v>
      </c>
      <c r="K598" t="s">
        <v>1222</v>
      </c>
      <c r="L598" t="s">
        <v>969</v>
      </c>
      <c r="M598" t="s">
        <v>683</v>
      </c>
      <c r="N598" t="s">
        <v>1223</v>
      </c>
      <c r="O598">
        <v>8</v>
      </c>
      <c r="Q598" t="s">
        <v>57</v>
      </c>
      <c r="R598" t="s">
        <v>1224</v>
      </c>
      <c r="Y598" t="s">
        <v>1225</v>
      </c>
      <c r="Z598">
        <v>73241000</v>
      </c>
      <c r="AE598">
        <v>18198</v>
      </c>
      <c r="AF598" s="4">
        <v>0.5</v>
      </c>
      <c r="AG598">
        <f t="shared" si="57"/>
        <v>9099</v>
      </c>
      <c r="AH598" s="4">
        <v>0.18</v>
      </c>
      <c r="AI598">
        <f t="shared" si="58"/>
        <v>10736.82</v>
      </c>
      <c r="AJ598" s="4">
        <v>0.2</v>
      </c>
      <c r="AK598">
        <f t="shared" si="59"/>
        <v>2147.36</v>
      </c>
      <c r="AL598">
        <f t="shared" si="60"/>
        <v>12884.18</v>
      </c>
      <c r="AM598">
        <f t="shared" si="61"/>
        <v>5313.82</v>
      </c>
      <c r="AN598" s="4">
        <f t="shared" si="62"/>
        <v>0.292000219804374</v>
      </c>
      <c r="AO598" t="s">
        <v>221</v>
      </c>
      <c r="AQ598" t="s">
        <v>217</v>
      </c>
      <c r="AS598" t="s">
        <v>1226</v>
      </c>
      <c r="AT598" t="s">
        <v>64</v>
      </c>
    </row>
    <row r="599" ht="15.75" customHeight="1" spans="1:46">
      <c r="A599" t="s">
        <v>1220</v>
      </c>
      <c r="B599" t="s">
        <v>67</v>
      </c>
      <c r="C599" t="s">
        <v>435</v>
      </c>
      <c r="D599" t="s">
        <v>1046</v>
      </c>
      <c r="E599" t="s">
        <v>735</v>
      </c>
      <c r="F599" t="s">
        <v>1221</v>
      </c>
      <c r="H599" t="s">
        <v>186</v>
      </c>
      <c r="I599" t="s">
        <v>442</v>
      </c>
      <c r="J599" t="s">
        <v>910</v>
      </c>
      <c r="K599" t="s">
        <v>1222</v>
      </c>
      <c r="L599" t="s">
        <v>969</v>
      </c>
      <c r="M599" t="s">
        <v>683</v>
      </c>
      <c r="N599" t="s">
        <v>1223</v>
      </c>
      <c r="O599">
        <v>12</v>
      </c>
      <c r="Q599" t="s">
        <v>57</v>
      </c>
      <c r="R599" t="s">
        <v>1227</v>
      </c>
      <c r="Y599" t="s">
        <v>1228</v>
      </c>
      <c r="Z599">
        <v>73241000</v>
      </c>
      <c r="AE599">
        <v>21848</v>
      </c>
      <c r="AF599" s="4">
        <v>0.5</v>
      </c>
      <c r="AG599">
        <f t="shared" ref="AG599:AG662" si="63">ROUND(AE599-(AE599*AF599),2)</f>
        <v>10924</v>
      </c>
      <c r="AH599" s="4">
        <v>0.18</v>
      </c>
      <c r="AI599">
        <f t="shared" si="58"/>
        <v>12890.32</v>
      </c>
      <c r="AJ599" s="4">
        <v>0.2</v>
      </c>
      <c r="AK599">
        <f t="shared" si="59"/>
        <v>2578.06</v>
      </c>
      <c r="AL599">
        <f t="shared" si="60"/>
        <v>15468.38</v>
      </c>
      <c r="AM599">
        <f t="shared" si="61"/>
        <v>6379.62</v>
      </c>
      <c r="AN599" s="4">
        <f t="shared" si="62"/>
        <v>0.29200018308312</v>
      </c>
      <c r="AO599" t="s">
        <v>221</v>
      </c>
      <c r="AQ599" t="s">
        <v>217</v>
      </c>
      <c r="AS599" t="s">
        <v>1226</v>
      </c>
      <c r="AT599" t="s">
        <v>64</v>
      </c>
    </row>
    <row r="600" ht="15.75" customHeight="1" spans="1:46">
      <c r="A600" t="s">
        <v>1220</v>
      </c>
      <c r="B600" t="s">
        <v>71</v>
      </c>
      <c r="C600" t="s">
        <v>435</v>
      </c>
      <c r="D600" t="s">
        <v>1046</v>
      </c>
      <c r="E600" t="s">
        <v>735</v>
      </c>
      <c r="F600" t="s">
        <v>1221</v>
      </c>
      <c r="H600" t="s">
        <v>186</v>
      </c>
      <c r="I600" t="s">
        <v>442</v>
      </c>
      <c r="J600" t="s">
        <v>910</v>
      </c>
      <c r="K600" t="s">
        <v>1222</v>
      </c>
      <c r="L600" t="s">
        <v>969</v>
      </c>
      <c r="M600" t="s">
        <v>1229</v>
      </c>
      <c r="N600" t="s">
        <v>1223</v>
      </c>
      <c r="O600">
        <v>8</v>
      </c>
      <c r="Q600" t="s">
        <v>57</v>
      </c>
      <c r="R600" t="s">
        <v>1230</v>
      </c>
      <c r="Y600" t="s">
        <v>1231</v>
      </c>
      <c r="Z600">
        <v>73241000</v>
      </c>
      <c r="AE600">
        <v>24323</v>
      </c>
      <c r="AF600" s="4">
        <v>0.5</v>
      </c>
      <c r="AG600">
        <f t="shared" si="63"/>
        <v>12161.5</v>
      </c>
      <c r="AH600" s="4">
        <v>0.18</v>
      </c>
      <c r="AI600">
        <f t="shared" si="58"/>
        <v>14350.57</v>
      </c>
      <c r="AJ600" s="4">
        <v>0.2</v>
      </c>
      <c r="AK600">
        <f t="shared" si="59"/>
        <v>2870.11</v>
      </c>
      <c r="AL600">
        <f t="shared" si="60"/>
        <v>17220.68</v>
      </c>
      <c r="AM600">
        <f t="shared" si="61"/>
        <v>7102.32</v>
      </c>
      <c r="AN600" s="4">
        <f t="shared" si="62"/>
        <v>0.292000164453398</v>
      </c>
      <c r="AO600" t="s">
        <v>221</v>
      </c>
      <c r="AQ600" t="s">
        <v>217</v>
      </c>
      <c r="AS600" t="s">
        <v>1226</v>
      </c>
      <c r="AT600" t="s">
        <v>64</v>
      </c>
    </row>
    <row r="601" ht="15.75" customHeight="1" spans="1:46">
      <c r="A601" t="s">
        <v>1220</v>
      </c>
      <c r="B601" t="s">
        <v>75</v>
      </c>
      <c r="C601" t="s">
        <v>435</v>
      </c>
      <c r="D601" t="s">
        <v>1046</v>
      </c>
      <c r="E601" t="s">
        <v>735</v>
      </c>
      <c r="F601" t="s">
        <v>1221</v>
      </c>
      <c r="H601" t="s">
        <v>186</v>
      </c>
      <c r="I601" t="s">
        <v>442</v>
      </c>
      <c r="J601" t="s">
        <v>910</v>
      </c>
      <c r="K601" t="s">
        <v>1222</v>
      </c>
      <c r="L601" t="s">
        <v>969</v>
      </c>
      <c r="M601" t="s">
        <v>1229</v>
      </c>
      <c r="N601" t="s">
        <v>1223</v>
      </c>
      <c r="O601">
        <v>12</v>
      </c>
      <c r="Q601" t="s">
        <v>57</v>
      </c>
      <c r="R601" t="s">
        <v>1232</v>
      </c>
      <c r="Y601" t="s">
        <v>1233</v>
      </c>
      <c r="Z601">
        <v>73241000</v>
      </c>
      <c r="AE601">
        <v>27688</v>
      </c>
      <c r="AF601" s="4">
        <v>0.5</v>
      </c>
      <c r="AG601">
        <f t="shared" si="63"/>
        <v>13844</v>
      </c>
      <c r="AH601" s="4">
        <v>0.18</v>
      </c>
      <c r="AI601">
        <f t="shared" si="58"/>
        <v>16335.92</v>
      </c>
      <c r="AJ601" s="4">
        <v>0.2</v>
      </c>
      <c r="AK601">
        <f t="shared" si="59"/>
        <v>3267.18</v>
      </c>
      <c r="AL601">
        <f t="shared" si="60"/>
        <v>19603.1</v>
      </c>
      <c r="AM601">
        <f t="shared" si="61"/>
        <v>8084.9</v>
      </c>
      <c r="AN601" s="4">
        <f t="shared" si="62"/>
        <v>0.292000144466917</v>
      </c>
      <c r="AO601" t="s">
        <v>221</v>
      </c>
      <c r="AQ601" t="s">
        <v>217</v>
      </c>
      <c r="AS601" t="s">
        <v>1226</v>
      </c>
      <c r="AT601" t="s">
        <v>64</v>
      </c>
    </row>
    <row r="602" ht="15.75" customHeight="1" spans="1:46">
      <c r="A602" t="s">
        <v>1234</v>
      </c>
      <c r="B602" t="s">
        <v>46</v>
      </c>
      <c r="C602" t="s">
        <v>435</v>
      </c>
      <c r="D602" t="s">
        <v>1046</v>
      </c>
      <c r="E602" t="s">
        <v>735</v>
      </c>
      <c r="F602" t="s">
        <v>1235</v>
      </c>
      <c r="H602" t="s">
        <v>186</v>
      </c>
      <c r="I602" t="s">
        <v>442</v>
      </c>
      <c r="J602" t="s">
        <v>910</v>
      </c>
      <c r="K602" t="s">
        <v>1222</v>
      </c>
      <c r="L602" t="s">
        <v>969</v>
      </c>
      <c r="M602" t="s">
        <v>683</v>
      </c>
      <c r="N602" t="s">
        <v>1223</v>
      </c>
      <c r="O602">
        <v>8</v>
      </c>
      <c r="Q602" t="s">
        <v>57</v>
      </c>
      <c r="R602" t="s">
        <v>1236</v>
      </c>
      <c r="Y602" t="s">
        <v>1237</v>
      </c>
      <c r="Z602">
        <v>73241000</v>
      </c>
      <c r="AE602">
        <v>20898</v>
      </c>
      <c r="AF602" s="4">
        <v>0.5</v>
      </c>
      <c r="AG602">
        <f t="shared" si="63"/>
        <v>10449</v>
      </c>
      <c r="AH602" s="4">
        <v>0.18</v>
      </c>
      <c r="AI602">
        <f t="shared" si="58"/>
        <v>12329.82</v>
      </c>
      <c r="AJ602" s="4">
        <v>0.2</v>
      </c>
      <c r="AK602">
        <f t="shared" si="59"/>
        <v>2465.96</v>
      </c>
      <c r="AL602">
        <f t="shared" si="60"/>
        <v>14795.78</v>
      </c>
      <c r="AM602">
        <f t="shared" si="61"/>
        <v>6102.22</v>
      </c>
      <c r="AN602" s="4">
        <f t="shared" si="62"/>
        <v>0.292000191405876</v>
      </c>
      <c r="AO602" t="s">
        <v>221</v>
      </c>
      <c r="AQ602" t="s">
        <v>217</v>
      </c>
      <c r="AS602" t="s">
        <v>1226</v>
      </c>
      <c r="AT602" t="s">
        <v>64</v>
      </c>
    </row>
    <row r="603" ht="15.75" customHeight="1" spans="1:46">
      <c r="A603" t="s">
        <v>1234</v>
      </c>
      <c r="B603" t="s">
        <v>67</v>
      </c>
      <c r="C603" t="s">
        <v>435</v>
      </c>
      <c r="D603" t="s">
        <v>1046</v>
      </c>
      <c r="E603" t="s">
        <v>735</v>
      </c>
      <c r="F603" t="s">
        <v>1235</v>
      </c>
      <c r="H603" t="s">
        <v>186</v>
      </c>
      <c r="I603" t="s">
        <v>442</v>
      </c>
      <c r="J603" t="s">
        <v>910</v>
      </c>
      <c r="K603" t="s">
        <v>1222</v>
      </c>
      <c r="L603" t="s">
        <v>969</v>
      </c>
      <c r="M603" t="s">
        <v>683</v>
      </c>
      <c r="N603" t="s">
        <v>1223</v>
      </c>
      <c r="O603">
        <v>12</v>
      </c>
      <c r="Q603" t="s">
        <v>57</v>
      </c>
      <c r="R603" t="s">
        <v>1238</v>
      </c>
      <c r="Y603" t="s">
        <v>1237</v>
      </c>
      <c r="Z603">
        <v>73241000</v>
      </c>
      <c r="AE603">
        <v>25448</v>
      </c>
      <c r="AF603" s="4">
        <v>0.5</v>
      </c>
      <c r="AG603">
        <f t="shared" si="63"/>
        <v>12724</v>
      </c>
      <c r="AH603" s="4">
        <v>0.18</v>
      </c>
      <c r="AI603">
        <f t="shared" si="58"/>
        <v>15014.32</v>
      </c>
      <c r="AJ603" s="4">
        <v>0.2</v>
      </c>
      <c r="AK603">
        <f t="shared" si="59"/>
        <v>3002.86</v>
      </c>
      <c r="AL603">
        <f t="shared" si="60"/>
        <v>18017.18</v>
      </c>
      <c r="AM603">
        <f t="shared" si="61"/>
        <v>7430.82</v>
      </c>
      <c r="AN603" s="4">
        <f t="shared" si="62"/>
        <v>0.292000157183276</v>
      </c>
      <c r="AO603" t="s">
        <v>221</v>
      </c>
      <c r="AQ603" t="s">
        <v>217</v>
      </c>
      <c r="AS603" t="s">
        <v>1226</v>
      </c>
      <c r="AT603" t="s">
        <v>64</v>
      </c>
    </row>
    <row r="604" ht="15.75" customHeight="1" spans="1:46">
      <c r="A604" t="s">
        <v>1234</v>
      </c>
      <c r="B604" t="s">
        <v>71</v>
      </c>
      <c r="C604" t="s">
        <v>435</v>
      </c>
      <c r="D604" t="s">
        <v>1046</v>
      </c>
      <c r="E604" t="s">
        <v>735</v>
      </c>
      <c r="F604" t="s">
        <v>1235</v>
      </c>
      <c r="H604" t="s">
        <v>186</v>
      </c>
      <c r="I604" t="s">
        <v>442</v>
      </c>
      <c r="J604" t="s">
        <v>910</v>
      </c>
      <c r="K604" t="s">
        <v>1222</v>
      </c>
      <c r="L604" t="s">
        <v>969</v>
      </c>
      <c r="M604" t="s">
        <v>1229</v>
      </c>
      <c r="N604" t="s">
        <v>1223</v>
      </c>
      <c r="O604">
        <v>8</v>
      </c>
      <c r="Q604" t="s">
        <v>57</v>
      </c>
      <c r="R604" t="s">
        <v>1239</v>
      </c>
      <c r="Y604" t="s">
        <v>1237</v>
      </c>
      <c r="Z604">
        <v>73241000</v>
      </c>
      <c r="AE604">
        <v>27388</v>
      </c>
      <c r="AF604" s="4">
        <v>0.5</v>
      </c>
      <c r="AG604">
        <f t="shared" si="63"/>
        <v>13694</v>
      </c>
      <c r="AH604" s="4">
        <v>0.18</v>
      </c>
      <c r="AI604">
        <f t="shared" si="58"/>
        <v>16158.92</v>
      </c>
      <c r="AJ604" s="4">
        <v>0.2</v>
      </c>
      <c r="AK604">
        <f t="shared" si="59"/>
        <v>3231.78</v>
      </c>
      <c r="AL604">
        <f t="shared" si="60"/>
        <v>19390.7</v>
      </c>
      <c r="AM604">
        <f t="shared" si="61"/>
        <v>7997.3</v>
      </c>
      <c r="AN604" s="4">
        <f t="shared" si="62"/>
        <v>0.292000146049365</v>
      </c>
      <c r="AO604" t="s">
        <v>221</v>
      </c>
      <c r="AQ604" t="s">
        <v>217</v>
      </c>
      <c r="AS604" t="s">
        <v>1226</v>
      </c>
      <c r="AT604" t="s">
        <v>64</v>
      </c>
    </row>
    <row r="605" ht="15.75" customHeight="1" spans="1:46">
      <c r="A605" t="s">
        <v>1234</v>
      </c>
      <c r="B605" t="s">
        <v>75</v>
      </c>
      <c r="C605" t="s">
        <v>435</v>
      </c>
      <c r="D605" t="s">
        <v>1046</v>
      </c>
      <c r="E605" t="s">
        <v>735</v>
      </c>
      <c r="F605" t="s">
        <v>1235</v>
      </c>
      <c r="H605" t="s">
        <v>186</v>
      </c>
      <c r="I605" t="s">
        <v>442</v>
      </c>
      <c r="J605" t="s">
        <v>910</v>
      </c>
      <c r="K605" t="s">
        <v>1222</v>
      </c>
      <c r="L605" t="s">
        <v>969</v>
      </c>
      <c r="M605" t="s">
        <v>1229</v>
      </c>
      <c r="N605" t="s">
        <v>1223</v>
      </c>
      <c r="O605">
        <v>12</v>
      </c>
      <c r="Q605" t="s">
        <v>57</v>
      </c>
      <c r="R605" t="s">
        <v>1240</v>
      </c>
      <c r="Y605" t="s">
        <v>1237</v>
      </c>
      <c r="Z605">
        <v>73241000</v>
      </c>
      <c r="AE605">
        <v>32188</v>
      </c>
      <c r="AF605" s="4">
        <v>0.5</v>
      </c>
      <c r="AG605">
        <f t="shared" si="63"/>
        <v>16094</v>
      </c>
      <c r="AH605" s="4">
        <v>0.18</v>
      </c>
      <c r="AI605">
        <f t="shared" si="58"/>
        <v>18990.92</v>
      </c>
      <c r="AJ605" s="4">
        <v>0.2</v>
      </c>
      <c r="AK605">
        <f t="shared" si="59"/>
        <v>3798.18</v>
      </c>
      <c r="AL605">
        <f t="shared" si="60"/>
        <v>22789.1</v>
      </c>
      <c r="AM605">
        <f t="shared" si="61"/>
        <v>9398.9</v>
      </c>
      <c r="AN605" s="4">
        <f t="shared" si="62"/>
        <v>0.292000124269914</v>
      </c>
      <c r="AO605" t="s">
        <v>221</v>
      </c>
      <c r="AQ605" t="s">
        <v>217</v>
      </c>
      <c r="AS605" t="s">
        <v>1226</v>
      </c>
      <c r="AT605" t="s">
        <v>64</v>
      </c>
    </row>
    <row r="606" ht="15.75" customHeight="1" spans="1:46">
      <c r="A606" t="s">
        <v>1241</v>
      </c>
      <c r="B606" t="s">
        <v>46</v>
      </c>
      <c r="C606" t="s">
        <v>435</v>
      </c>
      <c r="D606" t="s">
        <v>1046</v>
      </c>
      <c r="E606" t="s">
        <v>735</v>
      </c>
      <c r="F606" t="s">
        <v>1185</v>
      </c>
      <c r="H606" t="s">
        <v>186</v>
      </c>
      <c r="I606" t="s">
        <v>1201</v>
      </c>
      <c r="J606" t="s">
        <v>910</v>
      </c>
      <c r="K606" t="s">
        <v>1242</v>
      </c>
      <c r="L606" t="s">
        <v>969</v>
      </c>
      <c r="M606" t="s">
        <v>683</v>
      </c>
      <c r="Q606" t="s">
        <v>57</v>
      </c>
      <c r="R606" t="s">
        <v>1243</v>
      </c>
      <c r="Y606" t="s">
        <v>1244</v>
      </c>
      <c r="Z606">
        <v>46021911</v>
      </c>
      <c r="AE606">
        <v>5499</v>
      </c>
      <c r="AF606" s="4">
        <v>0.5</v>
      </c>
      <c r="AG606">
        <f t="shared" si="63"/>
        <v>2749.5</v>
      </c>
      <c r="AH606" s="4">
        <v>0.18</v>
      </c>
      <c r="AI606">
        <f t="shared" si="58"/>
        <v>3244.41</v>
      </c>
      <c r="AJ606" s="4">
        <v>0.2</v>
      </c>
      <c r="AK606">
        <f t="shared" si="59"/>
        <v>648.88</v>
      </c>
      <c r="AL606">
        <f t="shared" si="60"/>
        <v>3893.29</v>
      </c>
      <c r="AM606">
        <f t="shared" si="61"/>
        <v>1605.71</v>
      </c>
      <c r="AN606" s="4">
        <f t="shared" si="62"/>
        <v>0.292000363702491</v>
      </c>
      <c r="AO606" t="s">
        <v>221</v>
      </c>
      <c r="AQ606" t="s">
        <v>217</v>
      </c>
      <c r="AS606" t="s">
        <v>1190</v>
      </c>
      <c r="AT606" t="s">
        <v>64</v>
      </c>
    </row>
    <row r="607" ht="15.75" customHeight="1" spans="1:46">
      <c r="A607" t="s">
        <v>1241</v>
      </c>
      <c r="B607" t="s">
        <v>67</v>
      </c>
      <c r="C607" t="s">
        <v>435</v>
      </c>
      <c r="D607" t="s">
        <v>1046</v>
      </c>
      <c r="E607" t="s">
        <v>735</v>
      </c>
      <c r="F607" t="s">
        <v>1185</v>
      </c>
      <c r="H607" t="s">
        <v>186</v>
      </c>
      <c r="I607" t="s">
        <v>1201</v>
      </c>
      <c r="J607" t="s">
        <v>910</v>
      </c>
      <c r="K607" t="s">
        <v>1245</v>
      </c>
      <c r="L607" t="s">
        <v>969</v>
      </c>
      <c r="M607" t="s">
        <v>746</v>
      </c>
      <c r="Q607" t="s">
        <v>57</v>
      </c>
      <c r="R607" t="s">
        <v>1246</v>
      </c>
      <c r="Y607" t="s">
        <v>1244</v>
      </c>
      <c r="Z607">
        <v>46021911</v>
      </c>
      <c r="AE607">
        <v>5949</v>
      </c>
      <c r="AF607" s="4">
        <v>0.5</v>
      </c>
      <c r="AG607">
        <f t="shared" si="63"/>
        <v>2974.5</v>
      </c>
      <c r="AH607" s="4">
        <v>0.18</v>
      </c>
      <c r="AI607">
        <f t="shared" si="58"/>
        <v>3509.91</v>
      </c>
      <c r="AJ607" s="4">
        <v>0.2</v>
      </c>
      <c r="AK607">
        <f t="shared" si="59"/>
        <v>701.98</v>
      </c>
      <c r="AL607">
        <f t="shared" si="60"/>
        <v>4211.89</v>
      </c>
      <c r="AM607">
        <f t="shared" si="61"/>
        <v>1737.11</v>
      </c>
      <c r="AN607" s="4">
        <f t="shared" si="62"/>
        <v>0.292000336190957</v>
      </c>
      <c r="AO607" t="s">
        <v>221</v>
      </c>
      <c r="AQ607" t="s">
        <v>217</v>
      </c>
      <c r="AS607" t="s">
        <v>1190</v>
      </c>
      <c r="AT607" t="s">
        <v>64</v>
      </c>
    </row>
    <row r="608" ht="15.75" customHeight="1" spans="1:46">
      <c r="A608" t="s">
        <v>1247</v>
      </c>
      <c r="B608" t="s">
        <v>46</v>
      </c>
      <c r="C608" t="s">
        <v>435</v>
      </c>
      <c r="D608" t="s">
        <v>1046</v>
      </c>
      <c r="E608" t="s">
        <v>735</v>
      </c>
      <c r="F608" t="s">
        <v>1248</v>
      </c>
      <c r="H608" t="s">
        <v>186</v>
      </c>
      <c r="I608" t="s">
        <v>1249</v>
      </c>
      <c r="J608" t="s">
        <v>910</v>
      </c>
      <c r="K608" t="s">
        <v>1250</v>
      </c>
      <c r="L608" t="s">
        <v>969</v>
      </c>
      <c r="M608" t="s">
        <v>1066</v>
      </c>
      <c r="N608" t="s">
        <v>1251</v>
      </c>
      <c r="O608">
        <v>2</v>
      </c>
      <c r="Q608" t="s">
        <v>57</v>
      </c>
      <c r="R608" t="s">
        <v>1252</v>
      </c>
      <c r="Y608" t="s">
        <v>1253</v>
      </c>
      <c r="Z608">
        <v>73241000</v>
      </c>
      <c r="AE608">
        <v>5949</v>
      </c>
      <c r="AF608" s="4">
        <v>0.5</v>
      </c>
      <c r="AG608">
        <f t="shared" si="63"/>
        <v>2974.5</v>
      </c>
      <c r="AH608" s="4">
        <v>0.18</v>
      </c>
      <c r="AI608">
        <f t="shared" si="58"/>
        <v>3509.91</v>
      </c>
      <c r="AJ608" s="4">
        <v>0.2</v>
      </c>
      <c r="AK608">
        <f t="shared" si="59"/>
        <v>701.98</v>
      </c>
      <c r="AL608">
        <f t="shared" si="60"/>
        <v>4211.89</v>
      </c>
      <c r="AM608">
        <f t="shared" si="61"/>
        <v>1737.11</v>
      </c>
      <c r="AN608" s="4">
        <f t="shared" si="62"/>
        <v>0.292000336190957</v>
      </c>
      <c r="AO608" t="s">
        <v>221</v>
      </c>
      <c r="AQ608" t="s">
        <v>217</v>
      </c>
      <c r="AS608" t="s">
        <v>1131</v>
      </c>
      <c r="AT608" t="s">
        <v>64</v>
      </c>
    </row>
    <row r="609" ht="15.75" customHeight="1" spans="1:46">
      <c r="A609" t="s">
        <v>1247</v>
      </c>
      <c r="B609" t="s">
        <v>67</v>
      </c>
      <c r="C609" t="s">
        <v>435</v>
      </c>
      <c r="D609" t="s">
        <v>1046</v>
      </c>
      <c r="E609" t="s">
        <v>735</v>
      </c>
      <c r="F609" t="s">
        <v>1248</v>
      </c>
      <c r="H609" t="s">
        <v>186</v>
      </c>
      <c r="I609" t="s">
        <v>1249</v>
      </c>
      <c r="J609" t="s">
        <v>910</v>
      </c>
      <c r="K609" t="s">
        <v>1254</v>
      </c>
      <c r="L609" t="s">
        <v>969</v>
      </c>
      <c r="M609" t="s">
        <v>676</v>
      </c>
      <c r="N609" t="s">
        <v>1251</v>
      </c>
      <c r="O609">
        <v>2</v>
      </c>
      <c r="Q609" t="s">
        <v>57</v>
      </c>
      <c r="R609" t="s">
        <v>1255</v>
      </c>
      <c r="Y609" t="s">
        <v>1253</v>
      </c>
      <c r="Z609">
        <v>73241000</v>
      </c>
      <c r="AE609">
        <v>6399</v>
      </c>
      <c r="AF609" s="4">
        <v>0.5</v>
      </c>
      <c r="AG609">
        <f t="shared" si="63"/>
        <v>3199.5</v>
      </c>
      <c r="AH609" s="4">
        <v>0.18</v>
      </c>
      <c r="AI609">
        <f t="shared" si="58"/>
        <v>3775.41</v>
      </c>
      <c r="AJ609" s="4">
        <v>0.2</v>
      </c>
      <c r="AK609">
        <f t="shared" si="59"/>
        <v>755.08</v>
      </c>
      <c r="AL609">
        <f t="shared" si="60"/>
        <v>4530.49</v>
      </c>
      <c r="AM609">
        <f t="shared" si="61"/>
        <v>1868.51</v>
      </c>
      <c r="AN609" s="4">
        <f t="shared" si="62"/>
        <v>0.292000312548836</v>
      </c>
      <c r="AO609" t="s">
        <v>221</v>
      </c>
      <c r="AQ609" t="s">
        <v>217</v>
      </c>
      <c r="AS609" t="s">
        <v>1131</v>
      </c>
      <c r="AT609" t="s">
        <v>64</v>
      </c>
    </row>
    <row r="610" ht="15.75" customHeight="1" spans="1:46">
      <c r="A610" t="s">
        <v>1247</v>
      </c>
      <c r="B610" t="s">
        <v>71</v>
      </c>
      <c r="C610" t="s">
        <v>435</v>
      </c>
      <c r="D610" t="s">
        <v>1046</v>
      </c>
      <c r="E610" t="s">
        <v>735</v>
      </c>
      <c r="F610" t="s">
        <v>1248</v>
      </c>
      <c r="H610" t="s">
        <v>186</v>
      </c>
      <c r="I610" t="s">
        <v>1249</v>
      </c>
      <c r="J610" t="s">
        <v>910</v>
      </c>
      <c r="K610" t="s">
        <v>1256</v>
      </c>
      <c r="L610" t="s">
        <v>969</v>
      </c>
      <c r="M610" t="s">
        <v>679</v>
      </c>
      <c r="N610" t="s">
        <v>1251</v>
      </c>
      <c r="O610">
        <v>2</v>
      </c>
      <c r="Q610" t="s">
        <v>57</v>
      </c>
      <c r="R610" t="s">
        <v>1257</v>
      </c>
      <c r="Y610" t="s">
        <v>1253</v>
      </c>
      <c r="Z610">
        <v>73241000</v>
      </c>
      <c r="AE610">
        <v>6699</v>
      </c>
      <c r="AF610" s="4">
        <v>0.5</v>
      </c>
      <c r="AG610">
        <f t="shared" si="63"/>
        <v>3349.5</v>
      </c>
      <c r="AH610" s="4">
        <v>0.18</v>
      </c>
      <c r="AI610">
        <f t="shared" si="58"/>
        <v>3952.41</v>
      </c>
      <c r="AJ610" s="4">
        <v>0.2</v>
      </c>
      <c r="AK610">
        <f t="shared" si="59"/>
        <v>790.48</v>
      </c>
      <c r="AL610">
        <f t="shared" si="60"/>
        <v>4742.89</v>
      </c>
      <c r="AM610">
        <f t="shared" si="61"/>
        <v>1956.11</v>
      </c>
      <c r="AN610" s="4">
        <f t="shared" si="62"/>
        <v>0.292000298552023</v>
      </c>
      <c r="AO610" t="s">
        <v>221</v>
      </c>
      <c r="AQ610" t="s">
        <v>217</v>
      </c>
      <c r="AS610" t="s">
        <v>1131</v>
      </c>
      <c r="AT610" t="s">
        <v>64</v>
      </c>
    </row>
    <row r="611" ht="15.75" customHeight="1" spans="1:46">
      <c r="A611" t="s">
        <v>1247</v>
      </c>
      <c r="B611" t="s">
        <v>75</v>
      </c>
      <c r="C611" t="s">
        <v>435</v>
      </c>
      <c r="D611" t="s">
        <v>1046</v>
      </c>
      <c r="E611" t="s">
        <v>735</v>
      </c>
      <c r="F611" t="s">
        <v>1248</v>
      </c>
      <c r="H611" t="s">
        <v>186</v>
      </c>
      <c r="I611" t="s">
        <v>1138</v>
      </c>
      <c r="J611" t="s">
        <v>910</v>
      </c>
      <c r="K611" t="s">
        <v>1258</v>
      </c>
      <c r="L611" t="s">
        <v>969</v>
      </c>
      <c r="M611" t="s">
        <v>676</v>
      </c>
      <c r="N611" t="s">
        <v>1251</v>
      </c>
      <c r="O611">
        <v>3</v>
      </c>
      <c r="Q611" t="s">
        <v>57</v>
      </c>
      <c r="R611" t="s">
        <v>1259</v>
      </c>
      <c r="Y611" t="s">
        <v>1260</v>
      </c>
      <c r="Z611">
        <v>73241000</v>
      </c>
      <c r="AE611">
        <v>8469</v>
      </c>
      <c r="AF611" s="4">
        <v>0.5</v>
      </c>
      <c r="AG611">
        <f t="shared" si="63"/>
        <v>4234.5</v>
      </c>
      <c r="AH611" s="4">
        <v>0.18</v>
      </c>
      <c r="AI611">
        <f t="shared" si="58"/>
        <v>4996.71</v>
      </c>
      <c r="AJ611" s="4">
        <v>0.2</v>
      </c>
      <c r="AK611">
        <f t="shared" si="59"/>
        <v>999.34</v>
      </c>
      <c r="AL611">
        <f t="shared" si="60"/>
        <v>5996.05</v>
      </c>
      <c r="AM611">
        <f t="shared" si="61"/>
        <v>2472.95</v>
      </c>
      <c r="AN611" s="4">
        <f t="shared" si="62"/>
        <v>0.29200023615539</v>
      </c>
      <c r="AO611" t="s">
        <v>221</v>
      </c>
      <c r="AQ611" t="s">
        <v>217</v>
      </c>
      <c r="AS611" t="s">
        <v>1131</v>
      </c>
      <c r="AT611" t="s">
        <v>64</v>
      </c>
    </row>
    <row r="612" ht="15.75" customHeight="1" spans="1:46">
      <c r="A612" t="s">
        <v>1261</v>
      </c>
      <c r="B612" t="s">
        <v>46</v>
      </c>
      <c r="C612" t="s">
        <v>435</v>
      </c>
      <c r="D612" t="s">
        <v>1046</v>
      </c>
      <c r="E612" t="s">
        <v>735</v>
      </c>
      <c r="F612" t="s">
        <v>1262</v>
      </c>
      <c r="H612" t="s">
        <v>186</v>
      </c>
      <c r="I612" t="s">
        <v>442</v>
      </c>
      <c r="J612" t="s">
        <v>910</v>
      </c>
      <c r="K612" t="s">
        <v>1258</v>
      </c>
      <c r="L612" t="s">
        <v>969</v>
      </c>
      <c r="M612" t="s">
        <v>1263</v>
      </c>
      <c r="Q612" t="s">
        <v>57</v>
      </c>
      <c r="R612" t="s">
        <v>1264</v>
      </c>
      <c r="Y612" t="s">
        <v>1265</v>
      </c>
      <c r="Z612">
        <v>73241000</v>
      </c>
      <c r="AE612">
        <v>28998</v>
      </c>
      <c r="AF612" s="4">
        <v>0.5</v>
      </c>
      <c r="AG612">
        <f t="shared" si="63"/>
        <v>14499</v>
      </c>
      <c r="AH612" s="4">
        <v>0.18</v>
      </c>
      <c r="AI612">
        <f t="shared" si="58"/>
        <v>17108.82</v>
      </c>
      <c r="AJ612" s="4">
        <v>0.2</v>
      </c>
      <c r="AK612">
        <f t="shared" si="59"/>
        <v>3421.76</v>
      </c>
      <c r="AL612">
        <f t="shared" si="60"/>
        <v>20530.58</v>
      </c>
      <c r="AM612">
        <f t="shared" si="61"/>
        <v>8467.42</v>
      </c>
      <c r="AN612" s="4">
        <f t="shared" si="62"/>
        <v>0.292000137940548</v>
      </c>
      <c r="AO612" t="s">
        <v>221</v>
      </c>
      <c r="AQ612" t="s">
        <v>217</v>
      </c>
      <c r="AT612" t="s">
        <v>64</v>
      </c>
    </row>
    <row r="613" ht="15.75" customHeight="1" spans="1:46">
      <c r="A613" t="s">
        <v>1266</v>
      </c>
      <c r="B613" t="s">
        <v>46</v>
      </c>
      <c r="C613" t="s">
        <v>435</v>
      </c>
      <c r="D613" t="s">
        <v>1046</v>
      </c>
      <c r="E613" t="s">
        <v>735</v>
      </c>
      <c r="F613" t="s">
        <v>1267</v>
      </c>
      <c r="H613" t="s">
        <v>186</v>
      </c>
      <c r="I613" t="s">
        <v>909</v>
      </c>
      <c r="J613" t="s">
        <v>910</v>
      </c>
      <c r="K613" t="s">
        <v>1258</v>
      </c>
      <c r="L613" t="s">
        <v>969</v>
      </c>
      <c r="M613" t="s">
        <v>1263</v>
      </c>
      <c r="Q613" t="s">
        <v>57</v>
      </c>
      <c r="R613" t="s">
        <v>1268</v>
      </c>
      <c r="Y613" t="s">
        <v>1269</v>
      </c>
      <c r="Z613">
        <v>73241000</v>
      </c>
      <c r="AE613">
        <v>26919</v>
      </c>
      <c r="AF613" s="4">
        <v>0.5</v>
      </c>
      <c r="AG613">
        <f t="shared" si="63"/>
        <v>13459.5</v>
      </c>
      <c r="AH613" s="4">
        <v>0.18</v>
      </c>
      <c r="AI613">
        <f t="shared" si="58"/>
        <v>15882.21</v>
      </c>
      <c r="AJ613" s="4">
        <v>0.2</v>
      </c>
      <c r="AK613">
        <f t="shared" si="59"/>
        <v>3176.44</v>
      </c>
      <c r="AL613">
        <f t="shared" si="60"/>
        <v>19058.65</v>
      </c>
      <c r="AM613">
        <f t="shared" si="61"/>
        <v>7860.35</v>
      </c>
      <c r="AN613" s="4">
        <f t="shared" si="62"/>
        <v>0.292000074296965</v>
      </c>
      <c r="AO613" t="s">
        <v>221</v>
      </c>
      <c r="AQ613" t="s">
        <v>217</v>
      </c>
      <c r="AT613" t="s">
        <v>64</v>
      </c>
    </row>
    <row r="614" ht="15.75" customHeight="1" spans="1:46">
      <c r="A614" t="s">
        <v>1270</v>
      </c>
      <c r="B614" t="s">
        <v>46</v>
      </c>
      <c r="C614" t="s">
        <v>435</v>
      </c>
      <c r="D614" t="s">
        <v>1046</v>
      </c>
      <c r="E614" t="s">
        <v>735</v>
      </c>
      <c r="F614" t="s">
        <v>1047</v>
      </c>
      <c r="H614" t="s">
        <v>186</v>
      </c>
      <c r="I614" t="s">
        <v>1048</v>
      </c>
      <c r="J614" t="s">
        <v>910</v>
      </c>
      <c r="K614" t="s">
        <v>1271</v>
      </c>
      <c r="M614" t="s">
        <v>683</v>
      </c>
      <c r="Q614" t="s">
        <v>57</v>
      </c>
      <c r="R614" t="s">
        <v>1272</v>
      </c>
      <c r="Y614" t="s">
        <v>1273</v>
      </c>
      <c r="Z614">
        <v>39249090</v>
      </c>
      <c r="AE614">
        <v>540</v>
      </c>
      <c r="AF614" s="4">
        <v>0.5</v>
      </c>
      <c r="AG614">
        <f t="shared" si="63"/>
        <v>270</v>
      </c>
      <c r="AH614" s="4">
        <v>0.18</v>
      </c>
      <c r="AI614">
        <f t="shared" si="58"/>
        <v>318.6</v>
      </c>
      <c r="AJ614" s="4">
        <v>0.2</v>
      </c>
      <c r="AK614">
        <f t="shared" si="59"/>
        <v>63.72</v>
      </c>
      <c r="AL614">
        <f t="shared" si="60"/>
        <v>382.32</v>
      </c>
      <c r="AM614">
        <f t="shared" si="61"/>
        <v>157.68</v>
      </c>
      <c r="AN614" s="4">
        <f t="shared" si="62"/>
        <v>0.292</v>
      </c>
      <c r="AO614" t="s">
        <v>221</v>
      </c>
      <c r="AQ614" t="s">
        <v>217</v>
      </c>
      <c r="AS614" t="s">
        <v>1051</v>
      </c>
      <c r="AT614" t="s">
        <v>221</v>
      </c>
    </row>
    <row r="615" ht="15.75" customHeight="1" spans="1:46">
      <c r="A615" t="s">
        <v>1270</v>
      </c>
      <c r="B615" t="s">
        <v>67</v>
      </c>
      <c r="C615" t="s">
        <v>435</v>
      </c>
      <c r="D615" t="s">
        <v>1046</v>
      </c>
      <c r="E615" t="s">
        <v>735</v>
      </c>
      <c r="F615" t="s">
        <v>1047</v>
      </c>
      <c r="H615" t="s">
        <v>186</v>
      </c>
      <c r="I615" t="s">
        <v>1048</v>
      </c>
      <c r="J615" t="s">
        <v>910</v>
      </c>
      <c r="K615" t="s">
        <v>1274</v>
      </c>
      <c r="M615" t="s">
        <v>746</v>
      </c>
      <c r="Q615" t="s">
        <v>57</v>
      </c>
      <c r="R615" t="s">
        <v>1275</v>
      </c>
      <c r="Y615" t="s">
        <v>1273</v>
      </c>
      <c r="Z615">
        <v>39249090</v>
      </c>
      <c r="AE615">
        <v>729</v>
      </c>
      <c r="AF615" s="4">
        <v>0.5</v>
      </c>
      <c r="AG615">
        <f t="shared" si="63"/>
        <v>364.5</v>
      </c>
      <c r="AH615" s="4">
        <v>0.18</v>
      </c>
      <c r="AI615">
        <f t="shared" si="58"/>
        <v>430.11</v>
      </c>
      <c r="AJ615" s="4">
        <v>0.2</v>
      </c>
      <c r="AK615">
        <f t="shared" si="59"/>
        <v>86.02</v>
      </c>
      <c r="AL615">
        <f t="shared" si="60"/>
        <v>516.13</v>
      </c>
      <c r="AM615">
        <f t="shared" si="61"/>
        <v>212.87</v>
      </c>
      <c r="AN615" s="4">
        <f t="shared" si="62"/>
        <v>0.292002743484225</v>
      </c>
      <c r="AO615" t="s">
        <v>221</v>
      </c>
      <c r="AQ615" t="s">
        <v>217</v>
      </c>
      <c r="AS615" t="s">
        <v>1051</v>
      </c>
      <c r="AT615" t="s">
        <v>221</v>
      </c>
    </row>
    <row r="616" ht="15.75" customHeight="1" spans="1:46">
      <c r="A616" t="s">
        <v>1270</v>
      </c>
      <c r="B616" t="s">
        <v>71</v>
      </c>
      <c r="C616" t="s">
        <v>435</v>
      </c>
      <c r="D616" t="s">
        <v>1046</v>
      </c>
      <c r="E616" t="s">
        <v>735</v>
      </c>
      <c r="F616" t="s">
        <v>1047</v>
      </c>
      <c r="H616" t="s">
        <v>186</v>
      </c>
      <c r="I616" t="s">
        <v>1048</v>
      </c>
      <c r="J616" t="s">
        <v>910</v>
      </c>
      <c r="K616" t="s">
        <v>1276</v>
      </c>
      <c r="M616" t="s">
        <v>1052</v>
      </c>
      <c r="Q616" t="s">
        <v>57</v>
      </c>
      <c r="R616" t="s">
        <v>1277</v>
      </c>
      <c r="Y616" t="s">
        <v>1273</v>
      </c>
      <c r="Z616">
        <v>39249090</v>
      </c>
      <c r="AE616">
        <v>1269</v>
      </c>
      <c r="AF616" s="4">
        <v>0.5</v>
      </c>
      <c r="AG616">
        <f t="shared" si="63"/>
        <v>634.5</v>
      </c>
      <c r="AH616" s="4">
        <v>0.18</v>
      </c>
      <c r="AI616">
        <f t="shared" si="58"/>
        <v>748.71</v>
      </c>
      <c r="AJ616" s="4">
        <v>0.2</v>
      </c>
      <c r="AK616">
        <f t="shared" si="59"/>
        <v>149.74</v>
      </c>
      <c r="AL616">
        <f t="shared" si="60"/>
        <v>898.45</v>
      </c>
      <c r="AM616">
        <f t="shared" si="61"/>
        <v>370.55</v>
      </c>
      <c r="AN616" s="4">
        <f t="shared" si="62"/>
        <v>0.292001576044129</v>
      </c>
      <c r="AO616" t="s">
        <v>221</v>
      </c>
      <c r="AQ616" t="s">
        <v>217</v>
      </c>
      <c r="AS616" t="s">
        <v>1051</v>
      </c>
      <c r="AT616" t="s">
        <v>221</v>
      </c>
    </row>
    <row r="617" ht="15.75" customHeight="1" spans="1:46">
      <c r="A617" t="s">
        <v>1270</v>
      </c>
      <c r="B617" t="s">
        <v>75</v>
      </c>
      <c r="C617" t="s">
        <v>435</v>
      </c>
      <c r="D617" t="s">
        <v>1046</v>
      </c>
      <c r="E617" t="s">
        <v>735</v>
      </c>
      <c r="F617" t="s">
        <v>1047</v>
      </c>
      <c r="H617" t="s">
        <v>186</v>
      </c>
      <c r="I617" t="s">
        <v>1278</v>
      </c>
      <c r="J617" t="s">
        <v>969</v>
      </c>
      <c r="K617" t="s">
        <v>684</v>
      </c>
      <c r="M617" t="s">
        <v>1279</v>
      </c>
      <c r="Q617" t="s">
        <v>57</v>
      </c>
      <c r="R617" t="s">
        <v>1280</v>
      </c>
      <c r="Y617" t="s">
        <v>1281</v>
      </c>
      <c r="Z617">
        <v>44190020</v>
      </c>
      <c r="AE617">
        <v>6399</v>
      </c>
      <c r="AF617" s="4">
        <v>0.5</v>
      </c>
      <c r="AG617">
        <f t="shared" si="63"/>
        <v>3199.5</v>
      </c>
      <c r="AH617" s="4">
        <v>0.18</v>
      </c>
      <c r="AI617">
        <f t="shared" si="58"/>
        <v>3775.41</v>
      </c>
      <c r="AJ617" s="4">
        <v>0.2</v>
      </c>
      <c r="AK617">
        <f t="shared" si="59"/>
        <v>755.08</v>
      </c>
      <c r="AL617">
        <f t="shared" si="60"/>
        <v>4530.49</v>
      </c>
      <c r="AM617">
        <f t="shared" si="61"/>
        <v>1868.51</v>
      </c>
      <c r="AN617" s="4">
        <f t="shared" si="62"/>
        <v>0.292000312548836</v>
      </c>
      <c r="AO617" t="s">
        <v>221</v>
      </c>
      <c r="AQ617" t="s">
        <v>217</v>
      </c>
      <c r="AS617" t="s">
        <v>1051</v>
      </c>
      <c r="AT617" t="s">
        <v>221</v>
      </c>
    </row>
    <row r="618" ht="15.75" customHeight="1" spans="1:46">
      <c r="A618" t="s">
        <v>1270</v>
      </c>
      <c r="B618" t="s">
        <v>79</v>
      </c>
      <c r="C618" t="s">
        <v>435</v>
      </c>
      <c r="D618" t="s">
        <v>1046</v>
      </c>
      <c r="E618" t="s">
        <v>735</v>
      </c>
      <c r="F618" t="s">
        <v>1047</v>
      </c>
      <c r="H618" t="s">
        <v>186</v>
      </c>
      <c r="I618" t="s">
        <v>1278</v>
      </c>
      <c r="J618" t="s">
        <v>969</v>
      </c>
      <c r="K618" t="s">
        <v>684</v>
      </c>
      <c r="M618" t="s">
        <v>1282</v>
      </c>
      <c r="Q618" t="s">
        <v>57</v>
      </c>
      <c r="R618" t="s">
        <v>1283</v>
      </c>
      <c r="Y618" t="s">
        <v>1281</v>
      </c>
      <c r="Z618">
        <v>44190020</v>
      </c>
      <c r="AE618">
        <v>9999</v>
      </c>
      <c r="AF618" s="4">
        <v>0.5</v>
      </c>
      <c r="AG618">
        <f t="shared" si="63"/>
        <v>4999.5</v>
      </c>
      <c r="AH618" s="4">
        <v>0.18</v>
      </c>
      <c r="AI618">
        <f t="shared" si="58"/>
        <v>5899.41</v>
      </c>
      <c r="AJ618" s="4">
        <v>0.2</v>
      </c>
      <c r="AK618">
        <f t="shared" si="59"/>
        <v>1179.88</v>
      </c>
      <c r="AL618">
        <f t="shared" si="60"/>
        <v>7079.29</v>
      </c>
      <c r="AM618">
        <f t="shared" si="61"/>
        <v>2919.71</v>
      </c>
      <c r="AN618" s="4">
        <f t="shared" si="62"/>
        <v>0.292000200020002</v>
      </c>
      <c r="AO618" t="s">
        <v>221</v>
      </c>
      <c r="AQ618" t="s">
        <v>217</v>
      </c>
      <c r="AS618" t="s">
        <v>1051</v>
      </c>
      <c r="AT618" t="s">
        <v>221</v>
      </c>
    </row>
    <row r="619" ht="15.75" customHeight="1" spans="1:46">
      <c r="A619" t="s">
        <v>1284</v>
      </c>
      <c r="B619" t="s">
        <v>46</v>
      </c>
      <c r="C619" t="s">
        <v>435</v>
      </c>
      <c r="D619" t="s">
        <v>1046</v>
      </c>
      <c r="E619" t="s">
        <v>735</v>
      </c>
      <c r="F619" t="s">
        <v>1285</v>
      </c>
      <c r="H619" t="s">
        <v>186</v>
      </c>
      <c r="I619" t="s">
        <v>442</v>
      </c>
      <c r="J619" t="s">
        <v>969</v>
      </c>
      <c r="K619" t="s">
        <v>684</v>
      </c>
      <c r="M619" t="s">
        <v>746</v>
      </c>
      <c r="Q619" t="s">
        <v>57</v>
      </c>
      <c r="R619" t="s">
        <v>1286</v>
      </c>
      <c r="Y619" t="s">
        <v>1287</v>
      </c>
      <c r="Z619">
        <v>73239390</v>
      </c>
      <c r="AE619">
        <v>1999</v>
      </c>
      <c r="AF619" s="4">
        <v>0.5</v>
      </c>
      <c r="AG619">
        <f t="shared" si="63"/>
        <v>999.5</v>
      </c>
      <c r="AH619" s="4">
        <v>0.18</v>
      </c>
      <c r="AI619">
        <f t="shared" si="58"/>
        <v>1179.41</v>
      </c>
      <c r="AJ619" s="4">
        <v>0.2</v>
      </c>
      <c r="AK619">
        <f t="shared" si="59"/>
        <v>235.88</v>
      </c>
      <c r="AL619">
        <f t="shared" si="60"/>
        <v>1415.29</v>
      </c>
      <c r="AM619">
        <f t="shared" si="61"/>
        <v>583.71</v>
      </c>
      <c r="AN619" s="4">
        <f t="shared" si="62"/>
        <v>0.29200100050025</v>
      </c>
      <c r="AO619" t="s">
        <v>221</v>
      </c>
      <c r="AQ619" t="s">
        <v>217</v>
      </c>
      <c r="AS619" t="s">
        <v>1288</v>
      </c>
      <c r="AT619" t="s">
        <v>221</v>
      </c>
    </row>
    <row r="620" ht="15.75" customHeight="1" spans="1:46">
      <c r="A620" t="s">
        <v>1284</v>
      </c>
      <c r="B620" t="s">
        <v>67</v>
      </c>
      <c r="C620" t="s">
        <v>435</v>
      </c>
      <c r="D620" t="s">
        <v>1046</v>
      </c>
      <c r="E620" t="s">
        <v>735</v>
      </c>
      <c r="F620" t="s">
        <v>1285</v>
      </c>
      <c r="H620" t="s">
        <v>186</v>
      </c>
      <c r="I620" t="s">
        <v>442</v>
      </c>
      <c r="J620" t="s">
        <v>969</v>
      </c>
      <c r="K620" t="s">
        <v>684</v>
      </c>
      <c r="M620" t="s">
        <v>1158</v>
      </c>
      <c r="Q620" t="s">
        <v>57</v>
      </c>
      <c r="R620" t="s">
        <v>1289</v>
      </c>
      <c r="Y620" t="s">
        <v>1287</v>
      </c>
      <c r="Z620">
        <v>73239390</v>
      </c>
      <c r="AE620">
        <v>2679</v>
      </c>
      <c r="AF620" s="4">
        <v>0.5</v>
      </c>
      <c r="AG620">
        <f t="shared" si="63"/>
        <v>1339.5</v>
      </c>
      <c r="AH620" s="4">
        <v>0.18</v>
      </c>
      <c r="AI620">
        <f t="shared" si="58"/>
        <v>1580.61</v>
      </c>
      <c r="AJ620" s="4">
        <v>0.2</v>
      </c>
      <c r="AK620">
        <f t="shared" si="59"/>
        <v>316.12</v>
      </c>
      <c r="AL620">
        <f t="shared" si="60"/>
        <v>1896.73</v>
      </c>
      <c r="AM620">
        <f t="shared" si="61"/>
        <v>782.27</v>
      </c>
      <c r="AN620" s="4">
        <f t="shared" si="62"/>
        <v>0.292000746547219</v>
      </c>
      <c r="AO620" t="s">
        <v>221</v>
      </c>
      <c r="AQ620" t="s">
        <v>217</v>
      </c>
      <c r="AS620" t="s">
        <v>1288</v>
      </c>
      <c r="AT620" t="s">
        <v>221</v>
      </c>
    </row>
    <row r="621" ht="15.75" customHeight="1" spans="1:46">
      <c r="A621" t="s">
        <v>1284</v>
      </c>
      <c r="B621" t="s">
        <v>71</v>
      </c>
      <c r="C621" t="s">
        <v>435</v>
      </c>
      <c r="D621" t="s">
        <v>1046</v>
      </c>
      <c r="E621" t="s">
        <v>735</v>
      </c>
      <c r="F621" t="s">
        <v>1285</v>
      </c>
      <c r="H621" t="s">
        <v>186</v>
      </c>
      <c r="I621" t="s">
        <v>442</v>
      </c>
      <c r="J621" t="s">
        <v>969</v>
      </c>
      <c r="K621" t="s">
        <v>684</v>
      </c>
      <c r="M621" t="s">
        <v>1052</v>
      </c>
      <c r="Q621" t="s">
        <v>57</v>
      </c>
      <c r="R621" t="s">
        <v>1290</v>
      </c>
      <c r="Y621" t="s">
        <v>1287</v>
      </c>
      <c r="Z621">
        <v>73239390</v>
      </c>
      <c r="AE621">
        <v>2979</v>
      </c>
      <c r="AF621" s="4">
        <v>0.5</v>
      </c>
      <c r="AG621">
        <f t="shared" si="63"/>
        <v>1489.5</v>
      </c>
      <c r="AH621" s="4">
        <v>0.18</v>
      </c>
      <c r="AI621">
        <f t="shared" si="58"/>
        <v>1757.61</v>
      </c>
      <c r="AJ621" s="4">
        <v>0.2</v>
      </c>
      <c r="AK621">
        <f t="shared" si="59"/>
        <v>351.52</v>
      </c>
      <c r="AL621">
        <f t="shared" si="60"/>
        <v>2109.13</v>
      </c>
      <c r="AM621">
        <f t="shared" si="61"/>
        <v>869.87</v>
      </c>
      <c r="AN621" s="4">
        <f t="shared" si="62"/>
        <v>0.29200067136623</v>
      </c>
      <c r="AO621" t="s">
        <v>221</v>
      </c>
      <c r="AQ621" t="s">
        <v>217</v>
      </c>
      <c r="AS621" t="s">
        <v>1288</v>
      </c>
      <c r="AT621" t="s">
        <v>221</v>
      </c>
    </row>
    <row r="622" ht="15.75" customHeight="1" spans="1:46">
      <c r="A622" t="s">
        <v>1291</v>
      </c>
      <c r="B622" t="s">
        <v>46</v>
      </c>
      <c r="C622" t="s">
        <v>435</v>
      </c>
      <c r="D622" t="s">
        <v>1046</v>
      </c>
      <c r="E622" t="s">
        <v>179</v>
      </c>
      <c r="F622" t="s">
        <v>1209</v>
      </c>
      <c r="H622" t="s">
        <v>1210</v>
      </c>
      <c r="I622" t="s">
        <v>1211</v>
      </c>
      <c r="J622" t="s">
        <v>969</v>
      </c>
      <c r="K622" t="s">
        <v>1212</v>
      </c>
      <c r="L622" t="s">
        <v>1292</v>
      </c>
      <c r="M622" t="s">
        <v>1213</v>
      </c>
      <c r="O622" t="s">
        <v>1293</v>
      </c>
      <c r="Q622" t="s">
        <v>57</v>
      </c>
      <c r="Y622" t="s">
        <v>1294</v>
      </c>
      <c r="Z622">
        <v>73241000</v>
      </c>
      <c r="AE622">
        <v>15390</v>
      </c>
      <c r="AF622" s="4">
        <v>0.5</v>
      </c>
      <c r="AG622">
        <f t="shared" si="63"/>
        <v>7695</v>
      </c>
      <c r="AH622" s="4">
        <v>0.18</v>
      </c>
      <c r="AI622">
        <f t="shared" si="58"/>
        <v>9080.1</v>
      </c>
      <c r="AJ622" s="4">
        <v>0.2</v>
      </c>
      <c r="AK622">
        <f t="shared" si="59"/>
        <v>1816.02</v>
      </c>
      <c r="AL622">
        <f t="shared" si="60"/>
        <v>10896.12</v>
      </c>
      <c r="AM622">
        <f t="shared" si="61"/>
        <v>4493.88</v>
      </c>
      <c r="AN622" s="4">
        <f t="shared" si="62"/>
        <v>0.292</v>
      </c>
      <c r="AO622" t="s">
        <v>221</v>
      </c>
      <c r="AQ622" t="s">
        <v>217</v>
      </c>
      <c r="AS622" t="s">
        <v>1295</v>
      </c>
      <c r="AT622" t="s">
        <v>64</v>
      </c>
    </row>
    <row r="623" ht="15.75" customHeight="1" spans="1:46">
      <c r="A623" t="s">
        <v>1291</v>
      </c>
      <c r="B623" t="s">
        <v>67</v>
      </c>
      <c r="C623" t="s">
        <v>435</v>
      </c>
      <c r="D623" t="s">
        <v>1046</v>
      </c>
      <c r="E623" t="s">
        <v>179</v>
      </c>
      <c r="F623" t="s">
        <v>1209</v>
      </c>
      <c r="H623" t="s">
        <v>1210</v>
      </c>
      <c r="I623" t="s">
        <v>1217</v>
      </c>
      <c r="J623" t="s">
        <v>969</v>
      </c>
      <c r="K623" t="s">
        <v>1212</v>
      </c>
      <c r="L623" t="s">
        <v>1292</v>
      </c>
      <c r="M623" t="s">
        <v>1213</v>
      </c>
      <c r="O623" t="s">
        <v>1293</v>
      </c>
      <c r="Q623" t="s">
        <v>57</v>
      </c>
      <c r="Y623" t="s">
        <v>1296</v>
      </c>
      <c r="Z623">
        <v>73241000</v>
      </c>
      <c r="AE623">
        <v>15390</v>
      </c>
      <c r="AF623" s="4">
        <v>0.5</v>
      </c>
      <c r="AG623">
        <f t="shared" si="63"/>
        <v>7695</v>
      </c>
      <c r="AH623" s="4">
        <v>0.18</v>
      </c>
      <c r="AI623">
        <f t="shared" si="58"/>
        <v>9080.1</v>
      </c>
      <c r="AJ623" s="4">
        <v>0.2</v>
      </c>
      <c r="AK623">
        <f t="shared" si="59"/>
        <v>1816.02</v>
      </c>
      <c r="AL623">
        <f t="shared" si="60"/>
        <v>10896.12</v>
      </c>
      <c r="AM623">
        <f t="shared" si="61"/>
        <v>4493.88</v>
      </c>
      <c r="AN623" s="4">
        <f t="shared" si="62"/>
        <v>0.292</v>
      </c>
      <c r="AO623" t="s">
        <v>221</v>
      </c>
      <c r="AQ623" t="s">
        <v>217</v>
      </c>
      <c r="AS623" t="s">
        <v>1295</v>
      </c>
      <c r="AT623" t="s">
        <v>64</v>
      </c>
    </row>
    <row r="624" ht="15.75" customHeight="1" spans="1:46">
      <c r="A624" t="s">
        <v>1297</v>
      </c>
      <c r="B624" t="s">
        <v>46</v>
      </c>
      <c r="C624" t="s">
        <v>435</v>
      </c>
      <c r="D624" t="s">
        <v>1046</v>
      </c>
      <c r="E624" t="s">
        <v>179</v>
      </c>
      <c r="F624" t="s">
        <v>1298</v>
      </c>
      <c r="H624" t="s">
        <v>186</v>
      </c>
      <c r="I624" t="s">
        <v>442</v>
      </c>
      <c r="J624" t="s">
        <v>1108</v>
      </c>
      <c r="K624" t="s">
        <v>1222</v>
      </c>
      <c r="L624" t="s">
        <v>969</v>
      </c>
      <c r="M624" t="s">
        <v>683</v>
      </c>
      <c r="N624" t="s">
        <v>1299</v>
      </c>
      <c r="O624">
        <v>8</v>
      </c>
      <c r="Q624" t="s">
        <v>57</v>
      </c>
      <c r="Y624" t="s">
        <v>1300</v>
      </c>
      <c r="Z624">
        <v>73241000</v>
      </c>
      <c r="AE624">
        <v>14200</v>
      </c>
      <c r="AF624" s="4">
        <v>0.5</v>
      </c>
      <c r="AG624">
        <f t="shared" si="63"/>
        <v>7100</v>
      </c>
      <c r="AH624" s="4">
        <v>0.18</v>
      </c>
      <c r="AI624">
        <f t="shared" si="58"/>
        <v>8378</v>
      </c>
      <c r="AJ624" s="4">
        <v>0.2</v>
      </c>
      <c r="AK624">
        <f t="shared" si="59"/>
        <v>1675.6</v>
      </c>
      <c r="AL624">
        <f t="shared" si="60"/>
        <v>10053.6</v>
      </c>
      <c r="AM624">
        <f t="shared" si="61"/>
        <v>4146.4</v>
      </c>
      <c r="AN624" s="4">
        <f t="shared" si="62"/>
        <v>0.292</v>
      </c>
      <c r="AO624" t="s">
        <v>221</v>
      </c>
      <c r="AQ624" t="s">
        <v>217</v>
      </c>
      <c r="AS624" t="s">
        <v>1301</v>
      </c>
      <c r="AT624" t="s">
        <v>64</v>
      </c>
    </row>
    <row r="625" ht="15.75" customHeight="1" spans="1:46">
      <c r="A625" t="s">
        <v>1297</v>
      </c>
      <c r="B625" t="s">
        <v>67</v>
      </c>
      <c r="C625" t="s">
        <v>435</v>
      </c>
      <c r="D625" t="s">
        <v>1046</v>
      </c>
      <c r="E625" t="s">
        <v>179</v>
      </c>
      <c r="F625" t="s">
        <v>1298</v>
      </c>
      <c r="H625" t="s">
        <v>186</v>
      </c>
      <c r="I625" t="s">
        <v>442</v>
      </c>
      <c r="J625" t="s">
        <v>1108</v>
      </c>
      <c r="K625" t="s">
        <v>1222</v>
      </c>
      <c r="L625" t="s">
        <v>969</v>
      </c>
      <c r="M625" t="s">
        <v>746</v>
      </c>
      <c r="N625" t="s">
        <v>1299</v>
      </c>
      <c r="O625">
        <v>12</v>
      </c>
      <c r="Q625" t="s">
        <v>57</v>
      </c>
      <c r="Y625" t="s">
        <v>1302</v>
      </c>
      <c r="Z625">
        <v>73241000</v>
      </c>
      <c r="AE625">
        <v>19598</v>
      </c>
      <c r="AF625" s="4">
        <v>0.5</v>
      </c>
      <c r="AG625">
        <f t="shared" si="63"/>
        <v>9799</v>
      </c>
      <c r="AH625" s="4">
        <v>0.18</v>
      </c>
      <c r="AI625">
        <f t="shared" si="58"/>
        <v>11562.82</v>
      </c>
      <c r="AJ625" s="4">
        <v>0.2</v>
      </c>
      <c r="AK625">
        <f t="shared" si="59"/>
        <v>2312.56</v>
      </c>
      <c r="AL625">
        <f t="shared" si="60"/>
        <v>13875.38</v>
      </c>
      <c r="AM625">
        <f t="shared" si="61"/>
        <v>5722.62</v>
      </c>
      <c r="AN625" s="4">
        <f t="shared" si="62"/>
        <v>0.292000204102459</v>
      </c>
      <c r="AO625" t="s">
        <v>221</v>
      </c>
      <c r="AQ625" t="s">
        <v>217</v>
      </c>
      <c r="AS625" t="s">
        <v>1301</v>
      </c>
      <c r="AT625" t="s">
        <v>64</v>
      </c>
    </row>
    <row r="626" ht="15.75" customHeight="1" spans="1:46">
      <c r="A626" t="s">
        <v>1297</v>
      </c>
      <c r="B626" t="s">
        <v>71</v>
      </c>
      <c r="C626" t="s">
        <v>435</v>
      </c>
      <c r="D626" t="s">
        <v>1046</v>
      </c>
      <c r="E626" t="s">
        <v>179</v>
      </c>
      <c r="F626" t="s">
        <v>1298</v>
      </c>
      <c r="H626" t="s">
        <v>186</v>
      </c>
      <c r="I626" t="s">
        <v>1138</v>
      </c>
      <c r="J626" t="s">
        <v>1108</v>
      </c>
      <c r="K626" t="s">
        <v>1222</v>
      </c>
      <c r="L626" t="s">
        <v>969</v>
      </c>
      <c r="M626" t="s">
        <v>683</v>
      </c>
      <c r="N626" t="s">
        <v>1299</v>
      </c>
      <c r="O626">
        <v>8</v>
      </c>
      <c r="Q626" t="s">
        <v>57</v>
      </c>
      <c r="Y626" t="s">
        <v>1303</v>
      </c>
      <c r="Z626">
        <v>73241000</v>
      </c>
      <c r="AE626">
        <v>16300</v>
      </c>
      <c r="AF626" s="4">
        <v>0.5</v>
      </c>
      <c r="AG626">
        <f t="shared" si="63"/>
        <v>8150</v>
      </c>
      <c r="AH626" s="4">
        <v>0.18</v>
      </c>
      <c r="AI626">
        <f t="shared" si="58"/>
        <v>9617</v>
      </c>
      <c r="AJ626" s="4">
        <v>0.2</v>
      </c>
      <c r="AK626">
        <f t="shared" si="59"/>
        <v>1923.4</v>
      </c>
      <c r="AL626">
        <f t="shared" si="60"/>
        <v>11540.4</v>
      </c>
      <c r="AM626">
        <f t="shared" si="61"/>
        <v>4759.6</v>
      </c>
      <c r="AN626" s="4">
        <f t="shared" si="62"/>
        <v>0.292</v>
      </c>
      <c r="AO626" t="s">
        <v>221</v>
      </c>
      <c r="AQ626" t="s">
        <v>217</v>
      </c>
      <c r="AS626" t="s">
        <v>1301</v>
      </c>
      <c r="AT626" t="s">
        <v>64</v>
      </c>
    </row>
    <row r="627" ht="15.75" customHeight="1" spans="1:46">
      <c r="A627" t="s">
        <v>1297</v>
      </c>
      <c r="B627" t="s">
        <v>75</v>
      </c>
      <c r="C627" t="s">
        <v>435</v>
      </c>
      <c r="D627" t="s">
        <v>1046</v>
      </c>
      <c r="E627" t="s">
        <v>179</v>
      </c>
      <c r="F627" t="s">
        <v>1298</v>
      </c>
      <c r="H627" t="s">
        <v>186</v>
      </c>
      <c r="I627" t="s">
        <v>1138</v>
      </c>
      <c r="J627" t="s">
        <v>1108</v>
      </c>
      <c r="K627" t="s">
        <v>1222</v>
      </c>
      <c r="L627" t="s">
        <v>969</v>
      </c>
      <c r="M627" t="s">
        <v>746</v>
      </c>
      <c r="N627" t="s">
        <v>1299</v>
      </c>
      <c r="O627">
        <v>12</v>
      </c>
      <c r="Q627" t="s">
        <v>57</v>
      </c>
      <c r="Y627" t="s">
        <v>1304</v>
      </c>
      <c r="Z627">
        <v>73241000</v>
      </c>
      <c r="AE627">
        <v>21045</v>
      </c>
      <c r="AF627" s="4">
        <v>0.5</v>
      </c>
      <c r="AG627">
        <f t="shared" si="63"/>
        <v>10522.5</v>
      </c>
      <c r="AH627" s="4">
        <v>0.18</v>
      </c>
      <c r="AI627">
        <f t="shared" si="58"/>
        <v>12416.55</v>
      </c>
      <c r="AJ627" s="4">
        <v>0.2</v>
      </c>
      <c r="AK627">
        <f t="shared" si="59"/>
        <v>2483.31</v>
      </c>
      <c r="AL627">
        <f t="shared" si="60"/>
        <v>14899.86</v>
      </c>
      <c r="AM627">
        <f t="shared" si="61"/>
        <v>6145.14</v>
      </c>
      <c r="AN627" s="4">
        <f t="shared" si="62"/>
        <v>0.292</v>
      </c>
      <c r="AO627" t="s">
        <v>221</v>
      </c>
      <c r="AQ627" t="s">
        <v>217</v>
      </c>
      <c r="AS627" t="s">
        <v>1301</v>
      </c>
      <c r="AT627" t="s">
        <v>64</v>
      </c>
    </row>
    <row r="628" ht="15.75" customHeight="1" spans="1:46">
      <c r="A628" t="s">
        <v>1305</v>
      </c>
      <c r="B628" t="s">
        <v>46</v>
      </c>
      <c r="C628" t="s">
        <v>435</v>
      </c>
      <c r="D628" t="s">
        <v>1046</v>
      </c>
      <c r="E628" t="s">
        <v>179</v>
      </c>
      <c r="F628" t="s">
        <v>1185</v>
      </c>
      <c r="H628" t="s">
        <v>186</v>
      </c>
      <c r="I628" t="s">
        <v>1201</v>
      </c>
      <c r="J628" t="s">
        <v>910</v>
      </c>
      <c r="K628" t="s">
        <v>1242</v>
      </c>
      <c r="L628" t="s">
        <v>969</v>
      </c>
      <c r="M628" t="s">
        <v>683</v>
      </c>
      <c r="Q628" t="s">
        <v>57</v>
      </c>
      <c r="Y628" t="s">
        <v>1306</v>
      </c>
      <c r="Z628">
        <v>46021911</v>
      </c>
      <c r="AE628">
        <v>2900</v>
      </c>
      <c r="AF628" s="4">
        <v>0.6</v>
      </c>
      <c r="AG628">
        <f t="shared" si="63"/>
        <v>1160</v>
      </c>
      <c r="AH628" s="4">
        <v>0.18</v>
      </c>
      <c r="AI628">
        <f t="shared" si="58"/>
        <v>1368.8</v>
      </c>
      <c r="AJ628" s="4">
        <v>0.2</v>
      </c>
      <c r="AK628">
        <f t="shared" si="59"/>
        <v>273.76</v>
      </c>
      <c r="AL628">
        <f t="shared" si="60"/>
        <v>1642.56</v>
      </c>
      <c r="AM628">
        <f t="shared" si="61"/>
        <v>1257.44</v>
      </c>
      <c r="AN628" s="4">
        <f t="shared" si="62"/>
        <v>0.4336</v>
      </c>
      <c r="AO628" t="s">
        <v>221</v>
      </c>
      <c r="AQ628" t="s">
        <v>217</v>
      </c>
      <c r="AT628" t="s">
        <v>64</v>
      </c>
    </row>
    <row r="629" ht="15.75" customHeight="1" spans="1:46">
      <c r="A629" t="s">
        <v>1305</v>
      </c>
      <c r="B629" t="s">
        <v>67</v>
      </c>
      <c r="C629" t="s">
        <v>435</v>
      </c>
      <c r="D629" t="s">
        <v>1046</v>
      </c>
      <c r="E629" t="s">
        <v>179</v>
      </c>
      <c r="F629" t="s">
        <v>1185</v>
      </c>
      <c r="H629" t="s">
        <v>186</v>
      </c>
      <c r="I629" t="s">
        <v>1201</v>
      </c>
      <c r="J629" t="s">
        <v>910</v>
      </c>
      <c r="K629" t="s">
        <v>1245</v>
      </c>
      <c r="L629" t="s">
        <v>969</v>
      </c>
      <c r="M629" t="s">
        <v>746</v>
      </c>
      <c r="Q629" t="s">
        <v>57</v>
      </c>
      <c r="Y629" t="s">
        <v>1306</v>
      </c>
      <c r="Z629">
        <v>73241000</v>
      </c>
      <c r="AE629">
        <v>3300</v>
      </c>
      <c r="AF629" s="4">
        <v>0.6</v>
      </c>
      <c r="AG629">
        <f t="shared" si="63"/>
        <v>1320</v>
      </c>
      <c r="AH629" s="4">
        <v>0.18</v>
      </c>
      <c r="AI629">
        <f t="shared" si="58"/>
        <v>1557.6</v>
      </c>
      <c r="AJ629" s="4">
        <v>0.2</v>
      </c>
      <c r="AK629">
        <f t="shared" si="59"/>
        <v>311.52</v>
      </c>
      <c r="AL629">
        <f t="shared" si="60"/>
        <v>1869.12</v>
      </c>
      <c r="AM629">
        <f t="shared" si="61"/>
        <v>1430.88</v>
      </c>
      <c r="AN629" s="4">
        <f t="shared" si="62"/>
        <v>0.4336</v>
      </c>
      <c r="AO629" t="s">
        <v>221</v>
      </c>
      <c r="AQ629" t="s">
        <v>217</v>
      </c>
      <c r="AT629" t="s">
        <v>64</v>
      </c>
    </row>
    <row r="630" ht="15.75" customHeight="1" spans="1:46">
      <c r="A630" t="s">
        <v>1307</v>
      </c>
      <c r="B630" t="s">
        <v>46</v>
      </c>
      <c r="C630" t="s">
        <v>435</v>
      </c>
      <c r="D630" t="s">
        <v>1046</v>
      </c>
      <c r="E630" t="s">
        <v>179</v>
      </c>
      <c r="F630" t="s">
        <v>1248</v>
      </c>
      <c r="H630" t="s">
        <v>186</v>
      </c>
      <c r="I630" t="s">
        <v>1249</v>
      </c>
      <c r="J630" t="s">
        <v>910</v>
      </c>
      <c r="K630" t="s">
        <v>1250</v>
      </c>
      <c r="L630" t="s">
        <v>1251</v>
      </c>
      <c r="M630" t="s">
        <v>1066</v>
      </c>
      <c r="O630">
        <v>2</v>
      </c>
      <c r="Q630" t="s">
        <v>57</v>
      </c>
      <c r="Y630" t="s">
        <v>1308</v>
      </c>
      <c r="Z630">
        <v>73241000</v>
      </c>
      <c r="AE630">
        <v>4000</v>
      </c>
      <c r="AF630" s="4">
        <v>0.6</v>
      </c>
      <c r="AG630">
        <f t="shared" si="63"/>
        <v>1600</v>
      </c>
      <c r="AH630" s="4">
        <v>0.18</v>
      </c>
      <c r="AI630">
        <f t="shared" si="58"/>
        <v>1888</v>
      </c>
      <c r="AJ630" s="4">
        <v>0.2</v>
      </c>
      <c r="AK630">
        <f t="shared" si="59"/>
        <v>377.6</v>
      </c>
      <c r="AL630">
        <f t="shared" si="60"/>
        <v>2265.6</v>
      </c>
      <c r="AM630">
        <f t="shared" si="61"/>
        <v>1734.4</v>
      </c>
      <c r="AN630" s="4">
        <f t="shared" si="62"/>
        <v>0.4336</v>
      </c>
      <c r="AO630" t="s">
        <v>221</v>
      </c>
      <c r="AQ630" t="s">
        <v>217</v>
      </c>
      <c r="AS630" t="s">
        <v>1309</v>
      </c>
      <c r="AT630" t="s">
        <v>64</v>
      </c>
    </row>
    <row r="631" ht="15.75" customHeight="1" spans="1:46">
      <c r="A631" t="s">
        <v>1307</v>
      </c>
      <c r="B631" t="s">
        <v>67</v>
      </c>
      <c r="C631" t="s">
        <v>435</v>
      </c>
      <c r="D631" t="s">
        <v>1046</v>
      </c>
      <c r="E631" t="s">
        <v>179</v>
      </c>
      <c r="F631" t="s">
        <v>1248</v>
      </c>
      <c r="H631" t="s">
        <v>186</v>
      </c>
      <c r="I631" t="s">
        <v>1249</v>
      </c>
      <c r="J631" t="s">
        <v>910</v>
      </c>
      <c r="K631" t="s">
        <v>1254</v>
      </c>
      <c r="L631" t="s">
        <v>1251</v>
      </c>
      <c r="M631" t="s">
        <v>676</v>
      </c>
      <c r="O631">
        <v>3</v>
      </c>
      <c r="Q631" t="s">
        <v>57</v>
      </c>
      <c r="Y631" t="s">
        <v>1310</v>
      </c>
      <c r="Z631">
        <v>73241000</v>
      </c>
      <c r="AE631">
        <v>4400</v>
      </c>
      <c r="AF631" s="4">
        <v>0.6</v>
      </c>
      <c r="AG631">
        <f t="shared" si="63"/>
        <v>1760</v>
      </c>
      <c r="AH631" s="4">
        <v>0.18</v>
      </c>
      <c r="AI631">
        <f t="shared" si="58"/>
        <v>2076.8</v>
      </c>
      <c r="AJ631" s="4">
        <v>0.2</v>
      </c>
      <c r="AK631">
        <f t="shared" si="59"/>
        <v>415.36</v>
      </c>
      <c r="AL631">
        <f t="shared" si="60"/>
        <v>2492.16</v>
      </c>
      <c r="AM631">
        <f t="shared" si="61"/>
        <v>1907.84</v>
      </c>
      <c r="AN631" s="4">
        <f t="shared" si="62"/>
        <v>0.4336</v>
      </c>
      <c r="AO631" t="s">
        <v>221</v>
      </c>
      <c r="AQ631" t="s">
        <v>217</v>
      </c>
      <c r="AS631" t="s">
        <v>1309</v>
      </c>
      <c r="AT631" t="s">
        <v>64</v>
      </c>
    </row>
    <row r="632" ht="15.75" customHeight="1" spans="1:46">
      <c r="A632" t="s">
        <v>1307</v>
      </c>
      <c r="B632" t="s">
        <v>71</v>
      </c>
      <c r="C632" t="s">
        <v>435</v>
      </c>
      <c r="D632" t="s">
        <v>1046</v>
      </c>
      <c r="E632" t="s">
        <v>179</v>
      </c>
      <c r="F632" t="s">
        <v>1248</v>
      </c>
      <c r="H632" t="s">
        <v>186</v>
      </c>
      <c r="I632" t="s">
        <v>1249</v>
      </c>
      <c r="J632" t="s">
        <v>910</v>
      </c>
      <c r="K632" t="s">
        <v>1256</v>
      </c>
      <c r="L632" t="s">
        <v>1251</v>
      </c>
      <c r="M632" t="s">
        <v>680</v>
      </c>
      <c r="O632">
        <v>3</v>
      </c>
      <c r="Q632" t="s">
        <v>57</v>
      </c>
      <c r="Y632" t="s">
        <v>1310</v>
      </c>
      <c r="Z632">
        <v>73241000</v>
      </c>
      <c r="AE632">
        <v>5600</v>
      </c>
      <c r="AF632" s="4">
        <v>0.6</v>
      </c>
      <c r="AG632">
        <f t="shared" si="63"/>
        <v>2240</v>
      </c>
      <c r="AH632" s="4">
        <v>0.18</v>
      </c>
      <c r="AI632">
        <f t="shared" si="58"/>
        <v>2643.2</v>
      </c>
      <c r="AJ632" s="4">
        <v>0.2</v>
      </c>
      <c r="AK632">
        <f t="shared" si="59"/>
        <v>528.64</v>
      </c>
      <c r="AL632">
        <f t="shared" si="60"/>
        <v>3171.84</v>
      </c>
      <c r="AM632">
        <f t="shared" si="61"/>
        <v>2428.16</v>
      </c>
      <c r="AN632" s="4">
        <f t="shared" si="62"/>
        <v>0.4336</v>
      </c>
      <c r="AO632" t="s">
        <v>221</v>
      </c>
      <c r="AQ632" t="s">
        <v>217</v>
      </c>
      <c r="AS632" t="s">
        <v>1309</v>
      </c>
      <c r="AT632" t="s">
        <v>64</v>
      </c>
    </row>
    <row r="633" ht="15.75" customHeight="1" spans="1:46">
      <c r="A633" t="s">
        <v>1307</v>
      </c>
      <c r="B633" t="s">
        <v>75</v>
      </c>
      <c r="C633" t="s">
        <v>435</v>
      </c>
      <c r="D633" t="s">
        <v>1046</v>
      </c>
      <c r="E633" t="s">
        <v>179</v>
      </c>
      <c r="F633" t="s">
        <v>1248</v>
      </c>
      <c r="H633" t="s">
        <v>186</v>
      </c>
      <c r="I633" t="s">
        <v>1138</v>
      </c>
      <c r="J633" t="s">
        <v>910</v>
      </c>
      <c r="K633" t="s">
        <v>1258</v>
      </c>
      <c r="L633" t="s">
        <v>1251</v>
      </c>
      <c r="M633" t="s">
        <v>676</v>
      </c>
      <c r="O633">
        <v>3</v>
      </c>
      <c r="Q633" t="s">
        <v>57</v>
      </c>
      <c r="Y633" t="s">
        <v>1311</v>
      </c>
      <c r="Z633">
        <v>73241000</v>
      </c>
      <c r="AE633">
        <v>4800</v>
      </c>
      <c r="AF633" s="4">
        <v>0.6</v>
      </c>
      <c r="AG633">
        <f t="shared" si="63"/>
        <v>1920</v>
      </c>
      <c r="AH633" s="4">
        <v>0.18</v>
      </c>
      <c r="AI633">
        <f t="shared" si="58"/>
        <v>2265.6</v>
      </c>
      <c r="AJ633" s="4">
        <v>0.2</v>
      </c>
      <c r="AK633">
        <f t="shared" si="59"/>
        <v>453.12</v>
      </c>
      <c r="AL633">
        <f t="shared" si="60"/>
        <v>2718.72</v>
      </c>
      <c r="AM633">
        <f t="shared" si="61"/>
        <v>2081.28</v>
      </c>
      <c r="AN633" s="4">
        <f t="shared" si="62"/>
        <v>0.4336</v>
      </c>
      <c r="AO633" t="s">
        <v>221</v>
      </c>
      <c r="AQ633" t="s">
        <v>217</v>
      </c>
      <c r="AS633" t="s">
        <v>1309</v>
      </c>
      <c r="AT633" t="s">
        <v>64</v>
      </c>
    </row>
    <row r="634" ht="15.75" customHeight="1" spans="1:46">
      <c r="A634" t="s">
        <v>1312</v>
      </c>
      <c r="B634" t="s">
        <v>46</v>
      </c>
      <c r="C634" t="s">
        <v>435</v>
      </c>
      <c r="D634" t="s">
        <v>1046</v>
      </c>
      <c r="E634" t="s">
        <v>179</v>
      </c>
      <c r="F634" t="s">
        <v>1313</v>
      </c>
      <c r="H634" t="s">
        <v>186</v>
      </c>
      <c r="I634" t="s">
        <v>442</v>
      </c>
      <c r="J634" t="s">
        <v>969</v>
      </c>
      <c r="K634" t="s">
        <v>683</v>
      </c>
      <c r="L634" t="s">
        <v>1314</v>
      </c>
      <c r="M634" t="s">
        <v>1263</v>
      </c>
      <c r="N634" t="s">
        <v>1210</v>
      </c>
      <c r="O634" t="s">
        <v>1211</v>
      </c>
      <c r="Q634" t="s">
        <v>57</v>
      </c>
      <c r="Y634" t="s">
        <v>1315</v>
      </c>
      <c r="Z634">
        <v>73241000</v>
      </c>
      <c r="AE634">
        <v>15000</v>
      </c>
      <c r="AF634" s="4">
        <v>0.6</v>
      </c>
      <c r="AG634">
        <f t="shared" si="63"/>
        <v>6000</v>
      </c>
      <c r="AH634" s="4">
        <v>0.18</v>
      </c>
      <c r="AI634">
        <f t="shared" si="58"/>
        <v>7080</v>
      </c>
      <c r="AJ634" s="4">
        <v>0.2</v>
      </c>
      <c r="AK634">
        <f t="shared" si="59"/>
        <v>1416</v>
      </c>
      <c r="AL634">
        <f t="shared" si="60"/>
        <v>8496</v>
      </c>
      <c r="AM634">
        <f t="shared" si="61"/>
        <v>6504</v>
      </c>
      <c r="AN634" s="4">
        <f t="shared" si="62"/>
        <v>0.4336</v>
      </c>
      <c r="AO634" t="s">
        <v>221</v>
      </c>
      <c r="AQ634" t="s">
        <v>217</v>
      </c>
      <c r="AT634" t="s">
        <v>64</v>
      </c>
    </row>
    <row r="635" ht="15.75" customHeight="1" spans="1:46">
      <c r="A635" t="s">
        <v>1312</v>
      </c>
      <c r="B635" t="s">
        <v>67</v>
      </c>
      <c r="C635" t="s">
        <v>435</v>
      </c>
      <c r="D635" t="s">
        <v>1046</v>
      </c>
      <c r="E635" t="s">
        <v>179</v>
      </c>
      <c r="F635" t="s">
        <v>1313</v>
      </c>
      <c r="H635" t="s">
        <v>186</v>
      </c>
      <c r="I635" t="s">
        <v>442</v>
      </c>
      <c r="J635" t="s">
        <v>969</v>
      </c>
      <c r="K635" t="s">
        <v>683</v>
      </c>
      <c r="L635" t="s">
        <v>1314</v>
      </c>
      <c r="M635" t="s">
        <v>1263</v>
      </c>
      <c r="N635" t="s">
        <v>1210</v>
      </c>
      <c r="O635" t="s">
        <v>1217</v>
      </c>
      <c r="Q635" t="s">
        <v>57</v>
      </c>
      <c r="Y635" t="s">
        <v>1315</v>
      </c>
      <c r="Z635">
        <v>73241000</v>
      </c>
      <c r="AE635">
        <v>17000</v>
      </c>
      <c r="AF635" s="4">
        <v>0.6</v>
      </c>
      <c r="AG635">
        <f t="shared" si="63"/>
        <v>6800</v>
      </c>
      <c r="AH635" s="4">
        <v>0.18</v>
      </c>
      <c r="AI635">
        <f t="shared" si="58"/>
        <v>8024</v>
      </c>
      <c r="AJ635" s="4">
        <v>0.2</v>
      </c>
      <c r="AK635">
        <f t="shared" si="59"/>
        <v>1604.8</v>
      </c>
      <c r="AL635">
        <f t="shared" si="60"/>
        <v>9628.8</v>
      </c>
      <c r="AM635">
        <f t="shared" si="61"/>
        <v>7371.2</v>
      </c>
      <c r="AN635" s="4">
        <f t="shared" si="62"/>
        <v>0.4336</v>
      </c>
      <c r="AO635" t="s">
        <v>221</v>
      </c>
      <c r="AQ635" t="s">
        <v>217</v>
      </c>
      <c r="AT635" t="s">
        <v>64</v>
      </c>
    </row>
    <row r="636" ht="15.75" customHeight="1" spans="1:46">
      <c r="A636" t="s">
        <v>1316</v>
      </c>
      <c r="B636" t="s">
        <v>46</v>
      </c>
      <c r="C636" t="s">
        <v>435</v>
      </c>
      <c r="D636" t="s">
        <v>1046</v>
      </c>
      <c r="E636" t="s">
        <v>179</v>
      </c>
      <c r="F636" t="s">
        <v>1047</v>
      </c>
      <c r="H636" t="s">
        <v>186</v>
      </c>
      <c r="I636" t="s">
        <v>1048</v>
      </c>
      <c r="L636" t="s">
        <v>969</v>
      </c>
      <c r="M636" t="s">
        <v>746</v>
      </c>
      <c r="Q636" t="s">
        <v>57</v>
      </c>
      <c r="Y636" t="s">
        <v>1317</v>
      </c>
      <c r="Z636">
        <v>39249090</v>
      </c>
      <c r="AE636">
        <v>1220</v>
      </c>
      <c r="AF636" s="4">
        <v>0.6</v>
      </c>
      <c r="AG636">
        <f t="shared" si="63"/>
        <v>488</v>
      </c>
      <c r="AH636" s="4">
        <v>0.18</v>
      </c>
      <c r="AI636">
        <f t="shared" si="58"/>
        <v>575.84</v>
      </c>
      <c r="AJ636" s="4">
        <v>0.2</v>
      </c>
      <c r="AK636">
        <f t="shared" si="59"/>
        <v>115.17</v>
      </c>
      <c r="AL636">
        <f t="shared" si="60"/>
        <v>691.01</v>
      </c>
      <c r="AM636">
        <f t="shared" si="61"/>
        <v>528.99</v>
      </c>
      <c r="AN636" s="4">
        <f t="shared" si="62"/>
        <v>0.433598360655738</v>
      </c>
      <c r="AO636" t="s">
        <v>221</v>
      </c>
      <c r="AQ636" t="s">
        <v>217</v>
      </c>
      <c r="AS636" t="s">
        <v>1318</v>
      </c>
      <c r="AT636" t="s">
        <v>221</v>
      </c>
    </row>
    <row r="637" ht="15.75" customHeight="1" spans="1:46">
      <c r="A637" t="s">
        <v>1316</v>
      </c>
      <c r="B637" t="s">
        <v>67</v>
      </c>
      <c r="C637" t="s">
        <v>435</v>
      </c>
      <c r="D637" t="s">
        <v>1046</v>
      </c>
      <c r="E637" t="s">
        <v>179</v>
      </c>
      <c r="F637" t="s">
        <v>1047</v>
      </c>
      <c r="H637" t="s">
        <v>186</v>
      </c>
      <c r="I637" t="s">
        <v>1048</v>
      </c>
      <c r="L637" t="s">
        <v>969</v>
      </c>
      <c r="M637" t="s">
        <v>1155</v>
      </c>
      <c r="Q637" t="s">
        <v>57</v>
      </c>
      <c r="Y637" t="s">
        <v>1317</v>
      </c>
      <c r="Z637">
        <v>39249090</v>
      </c>
      <c r="AE637">
        <v>1471</v>
      </c>
      <c r="AF637" s="4">
        <v>0.6</v>
      </c>
      <c r="AG637">
        <f t="shared" si="63"/>
        <v>588.4</v>
      </c>
      <c r="AH637" s="4">
        <v>0.18</v>
      </c>
      <c r="AI637">
        <f t="shared" si="58"/>
        <v>694.31</v>
      </c>
      <c r="AJ637" s="4">
        <v>0.2</v>
      </c>
      <c r="AK637">
        <f t="shared" si="59"/>
        <v>138.86</v>
      </c>
      <c r="AL637">
        <f t="shared" si="60"/>
        <v>833.17</v>
      </c>
      <c r="AM637">
        <f t="shared" si="61"/>
        <v>637.83</v>
      </c>
      <c r="AN637" s="4">
        <f t="shared" si="62"/>
        <v>0.433602991162475</v>
      </c>
      <c r="AO637" t="s">
        <v>221</v>
      </c>
      <c r="AQ637" t="s">
        <v>217</v>
      </c>
      <c r="AS637" t="s">
        <v>1318</v>
      </c>
      <c r="AT637" t="s">
        <v>221</v>
      </c>
    </row>
    <row r="638" ht="15.75" customHeight="1" spans="1:46">
      <c r="A638" t="s">
        <v>1316</v>
      </c>
      <c r="B638" t="s">
        <v>71</v>
      </c>
      <c r="C638" t="s">
        <v>435</v>
      </c>
      <c r="D638" t="s">
        <v>1046</v>
      </c>
      <c r="E638" t="s">
        <v>179</v>
      </c>
      <c r="F638" t="s">
        <v>1047</v>
      </c>
      <c r="H638" t="s">
        <v>186</v>
      </c>
      <c r="I638" t="s">
        <v>1048</v>
      </c>
      <c r="L638" t="s">
        <v>969</v>
      </c>
      <c r="M638" t="s">
        <v>1052</v>
      </c>
      <c r="Q638" t="s">
        <v>57</v>
      </c>
      <c r="Y638" t="s">
        <v>1317</v>
      </c>
      <c r="Z638">
        <v>39249090</v>
      </c>
      <c r="AE638">
        <v>1964</v>
      </c>
      <c r="AF638" s="4">
        <v>0.6</v>
      </c>
      <c r="AG638">
        <f t="shared" si="63"/>
        <v>785.6</v>
      </c>
      <c r="AH638" s="4">
        <v>0.18</v>
      </c>
      <c r="AI638">
        <f t="shared" si="58"/>
        <v>927.01</v>
      </c>
      <c r="AJ638" s="4">
        <v>0.2</v>
      </c>
      <c r="AK638">
        <f t="shared" si="59"/>
        <v>185.4</v>
      </c>
      <c r="AL638">
        <f t="shared" si="60"/>
        <v>1112.41</v>
      </c>
      <c r="AM638">
        <f t="shared" si="61"/>
        <v>851.59</v>
      </c>
      <c r="AN638" s="4">
        <f t="shared" si="62"/>
        <v>0.433599796334012</v>
      </c>
      <c r="AO638" t="s">
        <v>221</v>
      </c>
      <c r="AQ638" t="s">
        <v>217</v>
      </c>
      <c r="AS638" t="s">
        <v>1318</v>
      </c>
      <c r="AT638" t="s">
        <v>221</v>
      </c>
    </row>
    <row r="639" ht="15.75" customHeight="1" spans="1:46">
      <c r="A639" t="s">
        <v>1316</v>
      </c>
      <c r="B639" t="s">
        <v>75</v>
      </c>
      <c r="C639" t="s">
        <v>435</v>
      </c>
      <c r="D639" t="s">
        <v>1046</v>
      </c>
      <c r="E639" t="s">
        <v>179</v>
      </c>
      <c r="F639" t="s">
        <v>1047</v>
      </c>
      <c r="H639" t="s">
        <v>186</v>
      </c>
      <c r="I639" t="s">
        <v>1278</v>
      </c>
      <c r="J639" t="s">
        <v>675</v>
      </c>
      <c r="K639" t="s">
        <v>684</v>
      </c>
      <c r="L639" t="s">
        <v>969</v>
      </c>
      <c r="M639" t="s">
        <v>1279</v>
      </c>
      <c r="Q639" t="s">
        <v>57</v>
      </c>
      <c r="Y639" t="s">
        <v>1319</v>
      </c>
      <c r="Z639">
        <v>44190020</v>
      </c>
      <c r="AE639">
        <v>4999</v>
      </c>
      <c r="AF639" s="4">
        <v>0.5</v>
      </c>
      <c r="AG639">
        <f t="shared" si="63"/>
        <v>2499.5</v>
      </c>
      <c r="AH639" s="4">
        <v>0.18</v>
      </c>
      <c r="AI639">
        <f t="shared" si="58"/>
        <v>2949.41</v>
      </c>
      <c r="AJ639" s="4">
        <v>0.2</v>
      </c>
      <c r="AK639">
        <f t="shared" si="59"/>
        <v>589.88</v>
      </c>
      <c r="AL639">
        <f t="shared" si="60"/>
        <v>3539.29</v>
      </c>
      <c r="AM639">
        <f t="shared" si="61"/>
        <v>1459.71</v>
      </c>
      <c r="AN639" s="4">
        <f t="shared" si="62"/>
        <v>0.292000400080016</v>
      </c>
      <c r="AO639" t="s">
        <v>221</v>
      </c>
      <c r="AQ639" t="s">
        <v>217</v>
      </c>
      <c r="AS639" t="s">
        <v>1318</v>
      </c>
      <c r="AT639" t="s">
        <v>221</v>
      </c>
    </row>
    <row r="640" ht="15.75" customHeight="1" spans="1:46">
      <c r="A640" t="s">
        <v>1316</v>
      </c>
      <c r="B640" t="s">
        <v>79</v>
      </c>
      <c r="C640" t="s">
        <v>435</v>
      </c>
      <c r="D640" t="s">
        <v>1046</v>
      </c>
      <c r="E640" t="s">
        <v>179</v>
      </c>
      <c r="F640" t="s">
        <v>1047</v>
      </c>
      <c r="H640" t="s">
        <v>186</v>
      </c>
      <c r="I640" t="s">
        <v>1278</v>
      </c>
      <c r="J640" t="s">
        <v>675</v>
      </c>
      <c r="K640" t="s">
        <v>684</v>
      </c>
      <c r="L640" t="s">
        <v>969</v>
      </c>
      <c r="M640" t="s">
        <v>1282</v>
      </c>
      <c r="Q640" t="s">
        <v>57</v>
      </c>
      <c r="Y640" t="s">
        <v>1319</v>
      </c>
      <c r="Z640">
        <v>44190020</v>
      </c>
      <c r="AE640">
        <v>5999</v>
      </c>
      <c r="AF640" s="4">
        <v>0.5</v>
      </c>
      <c r="AG640">
        <f t="shared" si="63"/>
        <v>2999.5</v>
      </c>
      <c r="AH640" s="4">
        <v>0.18</v>
      </c>
      <c r="AI640">
        <f t="shared" si="58"/>
        <v>3539.41</v>
      </c>
      <c r="AJ640" s="4">
        <v>0.2</v>
      </c>
      <c r="AK640">
        <f t="shared" si="59"/>
        <v>707.88</v>
      </c>
      <c r="AL640">
        <f t="shared" si="60"/>
        <v>4247.29</v>
      </c>
      <c r="AM640">
        <f t="shared" si="61"/>
        <v>1751.71</v>
      </c>
      <c r="AN640" s="4">
        <f t="shared" si="62"/>
        <v>0.292000333388898</v>
      </c>
      <c r="AO640" t="s">
        <v>221</v>
      </c>
      <c r="AQ640" t="s">
        <v>217</v>
      </c>
      <c r="AS640" t="s">
        <v>1318</v>
      </c>
      <c r="AT640" t="s">
        <v>221</v>
      </c>
    </row>
    <row r="641" ht="15.75" customHeight="1" spans="1:46">
      <c r="A641" t="s">
        <v>1320</v>
      </c>
      <c r="B641" t="s">
        <v>46</v>
      </c>
      <c r="C641" t="s">
        <v>435</v>
      </c>
      <c r="D641" t="s">
        <v>1046</v>
      </c>
      <c r="E641" t="s">
        <v>179</v>
      </c>
      <c r="F641" t="s">
        <v>1285</v>
      </c>
      <c r="H641" t="s">
        <v>186</v>
      </c>
      <c r="I641" t="s">
        <v>442</v>
      </c>
      <c r="J641" t="s">
        <v>969</v>
      </c>
      <c r="L641" t="s">
        <v>969</v>
      </c>
      <c r="M641" t="s">
        <v>746</v>
      </c>
      <c r="Q641" t="s">
        <v>57</v>
      </c>
      <c r="Y641" t="s">
        <v>1321</v>
      </c>
      <c r="Z641">
        <v>73239390</v>
      </c>
      <c r="AE641">
        <v>2399</v>
      </c>
      <c r="AF641" s="4">
        <v>0.6</v>
      </c>
      <c r="AG641">
        <f t="shared" si="63"/>
        <v>959.6</v>
      </c>
      <c r="AH641" s="4">
        <v>0.18</v>
      </c>
      <c r="AI641">
        <f t="shared" si="58"/>
        <v>1132.33</v>
      </c>
      <c r="AJ641" s="4">
        <v>0.2</v>
      </c>
      <c r="AK641">
        <f t="shared" si="59"/>
        <v>226.47</v>
      </c>
      <c r="AL641">
        <f t="shared" si="60"/>
        <v>1358.8</v>
      </c>
      <c r="AM641">
        <f t="shared" si="61"/>
        <v>1040.2</v>
      </c>
      <c r="AN641" s="4">
        <f t="shared" si="62"/>
        <v>0.433597332221759</v>
      </c>
      <c r="AO641" t="s">
        <v>221</v>
      </c>
      <c r="AQ641" t="s">
        <v>217</v>
      </c>
      <c r="AT641" t="s">
        <v>221</v>
      </c>
    </row>
    <row r="642" ht="15.75" customHeight="1" spans="1:46">
      <c r="A642" t="s">
        <v>1320</v>
      </c>
      <c r="B642" t="s">
        <v>67</v>
      </c>
      <c r="C642" t="s">
        <v>435</v>
      </c>
      <c r="D642" t="s">
        <v>1046</v>
      </c>
      <c r="E642" t="s">
        <v>179</v>
      </c>
      <c r="F642" t="s">
        <v>1285</v>
      </c>
      <c r="H642" t="s">
        <v>186</v>
      </c>
      <c r="I642" t="s">
        <v>442</v>
      </c>
      <c r="J642" t="s">
        <v>969</v>
      </c>
      <c r="L642" t="s">
        <v>969</v>
      </c>
      <c r="M642" t="s">
        <v>1155</v>
      </c>
      <c r="Q642" t="s">
        <v>57</v>
      </c>
      <c r="Y642" t="s">
        <v>1321</v>
      </c>
      <c r="Z642">
        <v>73239390</v>
      </c>
      <c r="AE642">
        <v>2799</v>
      </c>
      <c r="AF642" s="4">
        <v>0.6</v>
      </c>
      <c r="AG642">
        <f t="shared" si="63"/>
        <v>1119.6</v>
      </c>
      <c r="AH642" s="4">
        <v>0.18</v>
      </c>
      <c r="AI642">
        <f t="shared" ref="AI642:AI705" si="64">ROUND(AG642+(AG642*AH642),2)</f>
        <v>1321.13</v>
      </c>
      <c r="AJ642" s="4">
        <v>0.2</v>
      </c>
      <c r="AK642">
        <f t="shared" ref="AK642:AK705" si="65">ROUND(AI642*AJ642,2)</f>
        <v>264.23</v>
      </c>
      <c r="AL642">
        <f t="shared" ref="AL642:AL705" si="66">AI642+AK642</f>
        <v>1585.36</v>
      </c>
      <c r="AM642">
        <f t="shared" ref="AM642:AM705" si="67">AE642-AL642</f>
        <v>1213.64</v>
      </c>
      <c r="AN642" s="4">
        <f t="shared" ref="AN642:AN705" si="68">AM642/AE642</f>
        <v>0.433597713469096</v>
      </c>
      <c r="AO642" t="s">
        <v>221</v>
      </c>
      <c r="AQ642" t="s">
        <v>217</v>
      </c>
      <c r="AT642" t="s">
        <v>221</v>
      </c>
    </row>
    <row r="643" ht="15.75" customHeight="1" spans="1:46">
      <c r="A643" t="s">
        <v>1320</v>
      </c>
      <c r="B643" t="s">
        <v>71</v>
      </c>
      <c r="C643" t="s">
        <v>435</v>
      </c>
      <c r="D643" t="s">
        <v>1046</v>
      </c>
      <c r="E643" t="s">
        <v>179</v>
      </c>
      <c r="F643" t="s">
        <v>1285</v>
      </c>
      <c r="H643" t="s">
        <v>186</v>
      </c>
      <c r="I643" t="s">
        <v>442</v>
      </c>
      <c r="J643" t="s">
        <v>969</v>
      </c>
      <c r="L643" t="s">
        <v>969</v>
      </c>
      <c r="M643" t="s">
        <v>1158</v>
      </c>
      <c r="Q643" t="s">
        <v>57</v>
      </c>
      <c r="Y643" t="s">
        <v>1321</v>
      </c>
      <c r="Z643">
        <v>73239390</v>
      </c>
      <c r="AE643">
        <v>3199</v>
      </c>
      <c r="AF643" s="4">
        <v>0.6</v>
      </c>
      <c r="AG643">
        <f t="shared" si="63"/>
        <v>1279.6</v>
      </c>
      <c r="AH643" s="4">
        <v>0.18</v>
      </c>
      <c r="AI643">
        <f t="shared" si="64"/>
        <v>1509.93</v>
      </c>
      <c r="AJ643" s="4">
        <v>0.2</v>
      </c>
      <c r="AK643">
        <f t="shared" si="65"/>
        <v>301.99</v>
      </c>
      <c r="AL643">
        <f t="shared" si="66"/>
        <v>1811.92</v>
      </c>
      <c r="AM643">
        <f t="shared" si="67"/>
        <v>1387.08</v>
      </c>
      <c r="AN643" s="4">
        <f t="shared" si="68"/>
        <v>0.433597999374805</v>
      </c>
      <c r="AO643" t="s">
        <v>221</v>
      </c>
      <c r="AQ643" t="s">
        <v>217</v>
      </c>
      <c r="AT643" t="s">
        <v>221</v>
      </c>
    </row>
    <row r="644" ht="15.75" customHeight="1" spans="1:46">
      <c r="A644" t="s">
        <v>1320</v>
      </c>
      <c r="B644" t="s">
        <v>75</v>
      </c>
      <c r="C644" t="s">
        <v>435</v>
      </c>
      <c r="D644" t="s">
        <v>1046</v>
      </c>
      <c r="E644" t="s">
        <v>179</v>
      </c>
      <c r="F644" t="s">
        <v>1285</v>
      </c>
      <c r="H644" t="s">
        <v>186</v>
      </c>
      <c r="I644" t="s">
        <v>442</v>
      </c>
      <c r="J644" t="s">
        <v>969</v>
      </c>
      <c r="L644" t="s">
        <v>969</v>
      </c>
      <c r="M644" t="s">
        <v>1052</v>
      </c>
      <c r="Q644" t="s">
        <v>57</v>
      </c>
      <c r="Y644" t="s">
        <v>1321</v>
      </c>
      <c r="Z644">
        <v>73239390</v>
      </c>
      <c r="AE644">
        <v>3400</v>
      </c>
      <c r="AF644" s="4">
        <v>0.6</v>
      </c>
      <c r="AG644">
        <f t="shared" si="63"/>
        <v>1360</v>
      </c>
      <c r="AH644" s="4">
        <v>0.18</v>
      </c>
      <c r="AI644">
        <f t="shared" si="64"/>
        <v>1604.8</v>
      </c>
      <c r="AJ644" s="4">
        <v>0.2</v>
      </c>
      <c r="AK644">
        <f t="shared" si="65"/>
        <v>320.96</v>
      </c>
      <c r="AL644">
        <f t="shared" si="66"/>
        <v>1925.76</v>
      </c>
      <c r="AM644">
        <f t="shared" si="67"/>
        <v>1474.24</v>
      </c>
      <c r="AN644" s="4">
        <f t="shared" si="68"/>
        <v>0.4336</v>
      </c>
      <c r="AO644" t="s">
        <v>221</v>
      </c>
      <c r="AQ644" t="s">
        <v>217</v>
      </c>
      <c r="AT644" t="s">
        <v>221</v>
      </c>
    </row>
    <row r="645" ht="15.75" customHeight="1" spans="1:46">
      <c r="A645" t="s">
        <v>1320</v>
      </c>
      <c r="B645" t="s">
        <v>79</v>
      </c>
      <c r="C645" t="s">
        <v>435</v>
      </c>
      <c r="D645" t="s">
        <v>1046</v>
      </c>
      <c r="E645" t="s">
        <v>179</v>
      </c>
      <c r="F645" t="s">
        <v>1285</v>
      </c>
      <c r="H645" t="s">
        <v>186</v>
      </c>
      <c r="I645" t="s">
        <v>442</v>
      </c>
      <c r="J645" t="s">
        <v>969</v>
      </c>
      <c r="L645" t="s">
        <v>969</v>
      </c>
      <c r="M645" t="s">
        <v>1213</v>
      </c>
      <c r="Q645" t="s">
        <v>57</v>
      </c>
      <c r="Y645" t="s">
        <v>1321</v>
      </c>
      <c r="Z645">
        <v>73239390</v>
      </c>
      <c r="AE645">
        <v>3899</v>
      </c>
      <c r="AF645" s="4">
        <v>0.6</v>
      </c>
      <c r="AG645">
        <f t="shared" si="63"/>
        <v>1559.6</v>
      </c>
      <c r="AH645" s="4">
        <v>0.18</v>
      </c>
      <c r="AI645">
        <f t="shared" si="64"/>
        <v>1840.33</v>
      </c>
      <c r="AJ645" s="4">
        <v>0.2</v>
      </c>
      <c r="AK645">
        <f t="shared" si="65"/>
        <v>368.07</v>
      </c>
      <c r="AL645">
        <f t="shared" si="66"/>
        <v>2208.4</v>
      </c>
      <c r="AM645">
        <f t="shared" si="67"/>
        <v>1690.6</v>
      </c>
      <c r="AN645" s="4">
        <f t="shared" si="68"/>
        <v>0.433598358553475</v>
      </c>
      <c r="AO645" t="s">
        <v>221</v>
      </c>
      <c r="AQ645" t="s">
        <v>217</v>
      </c>
      <c r="AT645" t="s">
        <v>221</v>
      </c>
    </row>
    <row r="646" ht="15.75" customHeight="1" spans="1:46">
      <c r="A646" t="s">
        <v>1322</v>
      </c>
      <c r="B646" t="s">
        <v>46</v>
      </c>
      <c r="C646" t="s">
        <v>435</v>
      </c>
      <c r="D646" t="s">
        <v>1046</v>
      </c>
      <c r="E646" t="s">
        <v>179</v>
      </c>
      <c r="F646" t="s">
        <v>1106</v>
      </c>
      <c r="H646" t="s">
        <v>186</v>
      </c>
      <c r="I646" t="s">
        <v>1323</v>
      </c>
      <c r="J646" t="s">
        <v>1108</v>
      </c>
      <c r="K646" t="s">
        <v>1109</v>
      </c>
      <c r="L646" t="s">
        <v>969</v>
      </c>
      <c r="M646" t="s">
        <v>683</v>
      </c>
      <c r="Q646" t="s">
        <v>57</v>
      </c>
      <c r="Y646" t="s">
        <v>1324</v>
      </c>
      <c r="Z646">
        <v>39263090</v>
      </c>
      <c r="AE646">
        <v>23399</v>
      </c>
      <c r="AF646" s="4">
        <v>0.6</v>
      </c>
      <c r="AG646">
        <f t="shared" si="63"/>
        <v>9359.6</v>
      </c>
      <c r="AH646" s="4">
        <v>0.18</v>
      </c>
      <c r="AI646">
        <f t="shared" si="64"/>
        <v>11044.33</v>
      </c>
      <c r="AJ646" s="4">
        <v>0.2</v>
      </c>
      <c r="AK646">
        <f t="shared" si="65"/>
        <v>2208.87</v>
      </c>
      <c r="AL646">
        <f t="shared" si="66"/>
        <v>13253.2</v>
      </c>
      <c r="AM646">
        <f t="shared" si="67"/>
        <v>10145.8</v>
      </c>
      <c r="AN646" s="4">
        <f t="shared" si="68"/>
        <v>0.433599726484038</v>
      </c>
      <c r="AO646" t="s">
        <v>221</v>
      </c>
      <c r="AQ646" t="s">
        <v>217</v>
      </c>
      <c r="AT646" t="s">
        <v>64</v>
      </c>
    </row>
    <row r="647" ht="15.75" customHeight="1" spans="1:46">
      <c r="A647" t="s">
        <v>1322</v>
      </c>
      <c r="B647" t="s">
        <v>67</v>
      </c>
      <c r="C647" t="s">
        <v>435</v>
      </c>
      <c r="D647" t="s">
        <v>1046</v>
      </c>
      <c r="E647" t="s">
        <v>179</v>
      </c>
      <c r="F647" t="s">
        <v>1106</v>
      </c>
      <c r="H647" t="s">
        <v>186</v>
      </c>
      <c r="I647" t="s">
        <v>1323</v>
      </c>
      <c r="J647" t="s">
        <v>1108</v>
      </c>
      <c r="K647" t="s">
        <v>1109</v>
      </c>
      <c r="L647" t="s">
        <v>969</v>
      </c>
      <c r="M647" t="s">
        <v>746</v>
      </c>
      <c r="Q647" t="s">
        <v>57</v>
      </c>
      <c r="Y647" t="s">
        <v>1324</v>
      </c>
      <c r="Z647">
        <v>39263090</v>
      </c>
      <c r="AE647">
        <v>24399</v>
      </c>
      <c r="AF647" s="4">
        <v>0.6</v>
      </c>
      <c r="AG647">
        <f t="shared" si="63"/>
        <v>9759.6</v>
      </c>
      <c r="AH647" s="4">
        <v>0.18</v>
      </c>
      <c r="AI647">
        <f t="shared" si="64"/>
        <v>11516.33</v>
      </c>
      <c r="AJ647" s="4">
        <v>0.2</v>
      </c>
      <c r="AK647">
        <f t="shared" si="65"/>
        <v>2303.27</v>
      </c>
      <c r="AL647">
        <f t="shared" si="66"/>
        <v>13819.6</v>
      </c>
      <c r="AM647">
        <f t="shared" si="67"/>
        <v>10579.4</v>
      </c>
      <c r="AN647" s="4">
        <f t="shared" si="68"/>
        <v>0.433599737694168</v>
      </c>
      <c r="AO647" t="s">
        <v>221</v>
      </c>
      <c r="AQ647" t="s">
        <v>217</v>
      </c>
      <c r="AT647" t="s">
        <v>64</v>
      </c>
    </row>
    <row r="648" ht="15.75" customHeight="1" spans="1:46">
      <c r="A648" t="s">
        <v>1325</v>
      </c>
      <c r="B648" t="s">
        <v>46</v>
      </c>
      <c r="C648" t="s">
        <v>435</v>
      </c>
      <c r="D648" t="s">
        <v>1326</v>
      </c>
      <c r="E648" t="s">
        <v>437</v>
      </c>
      <c r="F648" t="s">
        <v>1327</v>
      </c>
      <c r="H648" t="s">
        <v>186</v>
      </c>
      <c r="I648" t="s">
        <v>442</v>
      </c>
      <c r="J648" t="s">
        <v>910</v>
      </c>
      <c r="K648" t="s">
        <v>1328</v>
      </c>
      <c r="L648" t="s">
        <v>969</v>
      </c>
      <c r="M648" t="s">
        <v>1329</v>
      </c>
      <c r="Q648" t="s">
        <v>57</v>
      </c>
      <c r="R648">
        <v>9221099</v>
      </c>
      <c r="Y648" t="s">
        <v>1330</v>
      </c>
      <c r="Z648">
        <v>7326</v>
      </c>
      <c r="AE648">
        <v>7864</v>
      </c>
      <c r="AF648" s="4">
        <v>0.5</v>
      </c>
      <c r="AG648">
        <f t="shared" si="63"/>
        <v>3932</v>
      </c>
      <c r="AH648" s="4">
        <v>0.18</v>
      </c>
      <c r="AI648">
        <f t="shared" si="64"/>
        <v>4639.76</v>
      </c>
      <c r="AJ648" s="4">
        <v>0.2</v>
      </c>
      <c r="AK648">
        <f t="shared" si="65"/>
        <v>927.95</v>
      </c>
      <c r="AL648">
        <f t="shared" si="66"/>
        <v>5567.71</v>
      </c>
      <c r="AM648">
        <f t="shared" si="67"/>
        <v>2296.29</v>
      </c>
      <c r="AN648" s="4">
        <f t="shared" si="68"/>
        <v>0.292000254323499</v>
      </c>
      <c r="AO648" t="s">
        <v>221</v>
      </c>
      <c r="AQ648" t="s">
        <v>217</v>
      </c>
      <c r="AT648" t="s">
        <v>64</v>
      </c>
    </row>
    <row r="649" ht="15.75" customHeight="1" spans="1:46">
      <c r="A649" t="s">
        <v>1331</v>
      </c>
      <c r="B649" t="s">
        <v>46</v>
      </c>
      <c r="C649" t="s">
        <v>435</v>
      </c>
      <c r="D649" t="s">
        <v>1326</v>
      </c>
      <c r="E649" t="s">
        <v>437</v>
      </c>
      <c r="F649" t="s">
        <v>1332</v>
      </c>
      <c r="H649" t="s">
        <v>186</v>
      </c>
      <c r="I649" t="s">
        <v>1333</v>
      </c>
      <c r="J649" t="s">
        <v>55</v>
      </c>
      <c r="K649" t="s">
        <v>1334</v>
      </c>
      <c r="Q649" t="s">
        <v>57</v>
      </c>
      <c r="R649" t="s">
        <v>1335</v>
      </c>
      <c r="Y649" t="s">
        <v>1336</v>
      </c>
      <c r="Z649">
        <v>83013000</v>
      </c>
      <c r="AE649">
        <v>405</v>
      </c>
      <c r="AF649" s="4">
        <v>0.5</v>
      </c>
      <c r="AG649">
        <f t="shared" si="63"/>
        <v>202.5</v>
      </c>
      <c r="AH649" s="4">
        <v>0.18</v>
      </c>
      <c r="AI649">
        <f t="shared" si="64"/>
        <v>238.95</v>
      </c>
      <c r="AJ649" s="4">
        <v>0.2</v>
      </c>
      <c r="AK649">
        <f t="shared" si="65"/>
        <v>47.79</v>
      </c>
      <c r="AL649">
        <f t="shared" si="66"/>
        <v>286.74</v>
      </c>
      <c r="AM649">
        <f t="shared" si="67"/>
        <v>118.26</v>
      </c>
      <c r="AN649" s="4">
        <f t="shared" si="68"/>
        <v>0.292</v>
      </c>
      <c r="AO649" t="s">
        <v>221</v>
      </c>
      <c r="AQ649" t="s">
        <v>217</v>
      </c>
      <c r="AT649" t="s">
        <v>221</v>
      </c>
    </row>
    <row r="650" ht="15.75" customHeight="1" spans="1:46">
      <c r="A650" t="s">
        <v>1337</v>
      </c>
      <c r="B650" t="s">
        <v>46</v>
      </c>
      <c r="C650" t="s">
        <v>435</v>
      </c>
      <c r="D650" t="s">
        <v>1326</v>
      </c>
      <c r="E650" t="s">
        <v>735</v>
      </c>
      <c r="F650" t="s">
        <v>1338</v>
      </c>
      <c r="H650" t="s">
        <v>186</v>
      </c>
      <c r="I650" t="s">
        <v>1339</v>
      </c>
      <c r="J650" t="s">
        <v>1340</v>
      </c>
      <c r="K650" t="s">
        <v>1341</v>
      </c>
      <c r="Q650" t="s">
        <v>57</v>
      </c>
      <c r="R650" t="s">
        <v>1342</v>
      </c>
      <c r="Y650" t="s">
        <v>1343</v>
      </c>
      <c r="Z650">
        <v>83025000</v>
      </c>
      <c r="AE650">
        <v>891</v>
      </c>
      <c r="AF650" s="4">
        <v>0.5</v>
      </c>
      <c r="AG650">
        <f t="shared" si="63"/>
        <v>445.5</v>
      </c>
      <c r="AH650" s="4">
        <v>0.18</v>
      </c>
      <c r="AI650">
        <f t="shared" si="64"/>
        <v>525.69</v>
      </c>
      <c r="AJ650" s="4">
        <v>0.2</v>
      </c>
      <c r="AK650">
        <f t="shared" si="65"/>
        <v>105.14</v>
      </c>
      <c r="AL650">
        <f t="shared" si="66"/>
        <v>630.83</v>
      </c>
      <c r="AM650">
        <f t="shared" si="67"/>
        <v>260.17</v>
      </c>
      <c r="AN650" s="4">
        <f t="shared" si="68"/>
        <v>0.291997755331089</v>
      </c>
      <c r="AO650" t="s">
        <v>221</v>
      </c>
      <c r="AQ650" t="s">
        <v>217</v>
      </c>
      <c r="AT650" t="s">
        <v>64</v>
      </c>
    </row>
    <row r="651" ht="15.75" customHeight="1" spans="1:46">
      <c r="A651" t="s">
        <v>1337</v>
      </c>
      <c r="B651" t="s">
        <v>67</v>
      </c>
      <c r="C651" t="s">
        <v>435</v>
      </c>
      <c r="D651" t="s">
        <v>1326</v>
      </c>
      <c r="E651" t="s">
        <v>735</v>
      </c>
      <c r="F651" t="s">
        <v>1338</v>
      </c>
      <c r="H651" t="s">
        <v>186</v>
      </c>
      <c r="I651" t="s">
        <v>1344</v>
      </c>
      <c r="J651" t="s">
        <v>1340</v>
      </c>
      <c r="K651" t="s">
        <v>1341</v>
      </c>
      <c r="Q651" t="s">
        <v>57</v>
      </c>
      <c r="R651" t="s">
        <v>1345</v>
      </c>
      <c r="Y651" t="s">
        <v>1346</v>
      </c>
      <c r="Z651">
        <v>7604</v>
      </c>
      <c r="AE651">
        <v>2079</v>
      </c>
      <c r="AF651" s="4">
        <v>0.5</v>
      </c>
      <c r="AG651">
        <f t="shared" si="63"/>
        <v>1039.5</v>
      </c>
      <c r="AH651" s="4">
        <v>0.18</v>
      </c>
      <c r="AI651">
        <f t="shared" si="64"/>
        <v>1226.61</v>
      </c>
      <c r="AJ651" s="4">
        <v>0.2</v>
      </c>
      <c r="AK651">
        <f t="shared" si="65"/>
        <v>245.32</v>
      </c>
      <c r="AL651">
        <f t="shared" si="66"/>
        <v>1471.93</v>
      </c>
      <c r="AM651">
        <f t="shared" si="67"/>
        <v>607.07</v>
      </c>
      <c r="AN651" s="4">
        <f t="shared" si="68"/>
        <v>0.292000962000962</v>
      </c>
      <c r="AO651" t="s">
        <v>221</v>
      </c>
      <c r="AQ651" t="s">
        <v>217</v>
      </c>
      <c r="AT651" t="s">
        <v>64</v>
      </c>
    </row>
    <row r="652" ht="15.75" customHeight="1" spans="1:46">
      <c r="A652" t="s">
        <v>1347</v>
      </c>
      <c r="B652" t="s">
        <v>46</v>
      </c>
      <c r="C652" t="s">
        <v>435</v>
      </c>
      <c r="D652" t="s">
        <v>1326</v>
      </c>
      <c r="E652" t="s">
        <v>735</v>
      </c>
      <c r="F652" t="s">
        <v>1348</v>
      </c>
      <c r="H652" t="s">
        <v>186</v>
      </c>
      <c r="I652" t="s">
        <v>442</v>
      </c>
      <c r="J652" t="s">
        <v>969</v>
      </c>
      <c r="K652" t="s">
        <v>1349</v>
      </c>
      <c r="Q652" t="s">
        <v>57</v>
      </c>
      <c r="R652" t="s">
        <v>1350</v>
      </c>
      <c r="Y652" t="s">
        <v>1351</v>
      </c>
      <c r="Z652">
        <v>7326</v>
      </c>
      <c r="AE652">
        <v>5229</v>
      </c>
      <c r="AF652" s="4">
        <v>0.5</v>
      </c>
      <c r="AG652">
        <f t="shared" si="63"/>
        <v>2614.5</v>
      </c>
      <c r="AH652" s="4">
        <v>0.18</v>
      </c>
      <c r="AI652">
        <f t="shared" si="64"/>
        <v>3085.11</v>
      </c>
      <c r="AJ652" s="4">
        <v>0.2</v>
      </c>
      <c r="AK652">
        <f t="shared" si="65"/>
        <v>617.02</v>
      </c>
      <c r="AL652">
        <f t="shared" si="66"/>
        <v>3702.13</v>
      </c>
      <c r="AM652">
        <f t="shared" si="67"/>
        <v>1526.87</v>
      </c>
      <c r="AN652" s="4">
        <f t="shared" si="68"/>
        <v>0.29200038248231</v>
      </c>
      <c r="AO652" t="s">
        <v>221</v>
      </c>
      <c r="AQ652" t="s">
        <v>217</v>
      </c>
      <c r="AT652" t="s">
        <v>64</v>
      </c>
    </row>
    <row r="653" ht="15.75" customHeight="1" spans="1:46">
      <c r="A653" t="s">
        <v>1352</v>
      </c>
      <c r="B653" t="s">
        <v>46</v>
      </c>
      <c r="C653" t="s">
        <v>435</v>
      </c>
      <c r="D653" t="s">
        <v>1326</v>
      </c>
      <c r="E653" t="s">
        <v>886</v>
      </c>
      <c r="F653" t="s">
        <v>1353</v>
      </c>
      <c r="H653" t="s">
        <v>186</v>
      </c>
      <c r="I653" t="s">
        <v>442</v>
      </c>
      <c r="J653" t="s">
        <v>55</v>
      </c>
      <c r="K653" t="s">
        <v>1334</v>
      </c>
      <c r="Q653" t="s">
        <v>57</v>
      </c>
      <c r="R653" t="s">
        <v>1354</v>
      </c>
      <c r="Y653" t="s">
        <v>1355</v>
      </c>
      <c r="Z653">
        <v>7326</v>
      </c>
      <c r="AE653">
        <v>498</v>
      </c>
      <c r="AF653" s="4">
        <v>0.4</v>
      </c>
      <c r="AG653">
        <f t="shared" si="63"/>
        <v>298.8</v>
      </c>
      <c r="AH653" s="4">
        <v>0.18</v>
      </c>
      <c r="AI653">
        <f t="shared" si="64"/>
        <v>352.58</v>
      </c>
      <c r="AJ653" s="4">
        <v>0.1</v>
      </c>
      <c r="AK653">
        <f t="shared" si="65"/>
        <v>35.26</v>
      </c>
      <c r="AL653">
        <f t="shared" si="66"/>
        <v>387.84</v>
      </c>
      <c r="AM653">
        <f t="shared" si="67"/>
        <v>110.16</v>
      </c>
      <c r="AN653" s="4">
        <f t="shared" si="68"/>
        <v>0.221204819277108</v>
      </c>
      <c r="AO653" t="s">
        <v>221</v>
      </c>
      <c r="AQ653" t="s">
        <v>217</v>
      </c>
      <c r="AT653" t="s">
        <v>64</v>
      </c>
    </row>
    <row r="654" ht="15.75" customHeight="1" spans="1:46">
      <c r="A654" t="s">
        <v>1356</v>
      </c>
      <c r="B654" t="s">
        <v>46</v>
      </c>
      <c r="C654" t="s">
        <v>435</v>
      </c>
      <c r="D654" t="s">
        <v>1326</v>
      </c>
      <c r="E654" t="s">
        <v>886</v>
      </c>
      <c r="F654" t="s">
        <v>1357</v>
      </c>
      <c r="H654" t="s">
        <v>186</v>
      </c>
      <c r="I654" t="s">
        <v>442</v>
      </c>
      <c r="J654" t="s">
        <v>910</v>
      </c>
      <c r="K654" t="s">
        <v>1358</v>
      </c>
      <c r="Q654" t="s">
        <v>57</v>
      </c>
      <c r="R654" t="s">
        <v>1359</v>
      </c>
      <c r="Y654" t="s">
        <v>1360</v>
      </c>
      <c r="Z654">
        <v>7326</v>
      </c>
      <c r="AE654">
        <v>773</v>
      </c>
      <c r="AF654" s="4">
        <v>0.4</v>
      </c>
      <c r="AG654">
        <f t="shared" si="63"/>
        <v>463.8</v>
      </c>
      <c r="AH654" s="4">
        <v>0.18</v>
      </c>
      <c r="AI654">
        <f t="shared" si="64"/>
        <v>547.28</v>
      </c>
      <c r="AJ654" s="4">
        <v>0.1</v>
      </c>
      <c r="AK654">
        <f t="shared" si="65"/>
        <v>54.73</v>
      </c>
      <c r="AL654">
        <f t="shared" si="66"/>
        <v>602.01</v>
      </c>
      <c r="AM654">
        <f t="shared" si="67"/>
        <v>170.99</v>
      </c>
      <c r="AN654" s="4">
        <f t="shared" si="68"/>
        <v>0.221203104786546</v>
      </c>
      <c r="AO654" t="s">
        <v>221</v>
      </c>
      <c r="AQ654" t="s">
        <v>217</v>
      </c>
      <c r="AT654" t="s">
        <v>64</v>
      </c>
    </row>
    <row r="655" ht="15.75" customHeight="1" spans="1:46">
      <c r="A655" t="s">
        <v>1361</v>
      </c>
      <c r="B655" t="s">
        <v>46</v>
      </c>
      <c r="C655" t="s">
        <v>435</v>
      </c>
      <c r="D655" t="s">
        <v>1362</v>
      </c>
      <c r="E655" t="s">
        <v>1022</v>
      </c>
      <c r="F655" t="s">
        <v>1363</v>
      </c>
      <c r="H655" t="s">
        <v>186</v>
      </c>
      <c r="I655" t="s">
        <v>1048</v>
      </c>
      <c r="J655" t="s">
        <v>1340</v>
      </c>
      <c r="K655" t="s">
        <v>1341</v>
      </c>
      <c r="L655" t="s">
        <v>1108</v>
      </c>
      <c r="M655" t="s">
        <v>1364</v>
      </c>
      <c r="N655" t="s">
        <v>124</v>
      </c>
      <c r="O655" t="s">
        <v>909</v>
      </c>
      <c r="Q655" t="s">
        <v>57</v>
      </c>
      <c r="Y655" t="s">
        <v>1365</v>
      </c>
      <c r="Z655">
        <v>8302</v>
      </c>
      <c r="AE655">
        <v>700</v>
      </c>
      <c r="AF655" s="4">
        <v>0.6</v>
      </c>
      <c r="AG655">
        <f t="shared" si="63"/>
        <v>280</v>
      </c>
      <c r="AH655" s="4">
        <v>0.18</v>
      </c>
      <c r="AI655">
        <f t="shared" si="64"/>
        <v>330.4</v>
      </c>
      <c r="AJ655" s="4">
        <v>0.3</v>
      </c>
      <c r="AK655">
        <f t="shared" si="65"/>
        <v>99.12</v>
      </c>
      <c r="AL655">
        <f t="shared" si="66"/>
        <v>429.52</v>
      </c>
      <c r="AM655">
        <f t="shared" si="67"/>
        <v>270.48</v>
      </c>
      <c r="AN655" s="4">
        <f t="shared" si="68"/>
        <v>0.3864</v>
      </c>
      <c r="AO655" t="s">
        <v>221</v>
      </c>
      <c r="AQ655" t="s">
        <v>217</v>
      </c>
      <c r="AT655" t="s">
        <v>221</v>
      </c>
    </row>
    <row r="656" ht="15.75" customHeight="1" spans="1:46">
      <c r="A656" t="s">
        <v>1361</v>
      </c>
      <c r="B656" t="s">
        <v>67</v>
      </c>
      <c r="C656" t="s">
        <v>435</v>
      </c>
      <c r="D656" t="s">
        <v>1362</v>
      </c>
      <c r="E656" t="s">
        <v>1022</v>
      </c>
      <c r="F656" t="s">
        <v>1363</v>
      </c>
      <c r="H656" t="s">
        <v>186</v>
      </c>
      <c r="I656" t="s">
        <v>1048</v>
      </c>
      <c r="J656" t="s">
        <v>1340</v>
      </c>
      <c r="K656" t="s">
        <v>1341</v>
      </c>
      <c r="L656" t="s">
        <v>1108</v>
      </c>
      <c r="M656" t="s">
        <v>1364</v>
      </c>
      <c r="N656" t="s">
        <v>124</v>
      </c>
      <c r="O656" t="s">
        <v>1366</v>
      </c>
      <c r="Q656" t="s">
        <v>57</v>
      </c>
      <c r="Y656" t="s">
        <v>1367</v>
      </c>
      <c r="Z656">
        <v>8302</v>
      </c>
      <c r="AE656">
        <v>800</v>
      </c>
      <c r="AF656" s="4">
        <v>0.6</v>
      </c>
      <c r="AG656">
        <f t="shared" si="63"/>
        <v>320</v>
      </c>
      <c r="AH656" s="4">
        <v>0.18</v>
      </c>
      <c r="AI656">
        <f t="shared" si="64"/>
        <v>377.6</v>
      </c>
      <c r="AJ656" s="4">
        <v>0.3</v>
      </c>
      <c r="AK656">
        <f t="shared" si="65"/>
        <v>113.28</v>
      </c>
      <c r="AL656">
        <f t="shared" si="66"/>
        <v>490.88</v>
      </c>
      <c r="AM656">
        <f t="shared" si="67"/>
        <v>309.12</v>
      </c>
      <c r="AN656" s="4">
        <f t="shared" si="68"/>
        <v>0.3864</v>
      </c>
      <c r="AO656" t="s">
        <v>221</v>
      </c>
      <c r="AQ656" t="s">
        <v>217</v>
      </c>
      <c r="AT656" t="s">
        <v>221</v>
      </c>
    </row>
    <row r="657" ht="15.75" customHeight="1" spans="1:46">
      <c r="A657" t="s">
        <v>1361</v>
      </c>
      <c r="B657" t="s">
        <v>71</v>
      </c>
      <c r="C657" t="s">
        <v>435</v>
      </c>
      <c r="D657" t="s">
        <v>1362</v>
      </c>
      <c r="E657" t="s">
        <v>1022</v>
      </c>
      <c r="F657" t="s">
        <v>1363</v>
      </c>
      <c r="H657" t="s">
        <v>186</v>
      </c>
      <c r="I657" t="s">
        <v>1048</v>
      </c>
      <c r="J657" t="s">
        <v>1340</v>
      </c>
      <c r="K657" t="s">
        <v>1341</v>
      </c>
      <c r="L657" t="s">
        <v>1108</v>
      </c>
      <c r="M657" t="s">
        <v>1364</v>
      </c>
      <c r="N657" t="s">
        <v>124</v>
      </c>
      <c r="O657" t="s">
        <v>964</v>
      </c>
      <c r="Q657" t="s">
        <v>57</v>
      </c>
      <c r="Y657" t="s">
        <v>1368</v>
      </c>
      <c r="Z657">
        <v>8302</v>
      </c>
      <c r="AE657">
        <v>900</v>
      </c>
      <c r="AF657" s="4">
        <v>0.6</v>
      </c>
      <c r="AG657">
        <f t="shared" si="63"/>
        <v>360</v>
      </c>
      <c r="AH657" s="4">
        <v>0.18</v>
      </c>
      <c r="AI657">
        <f t="shared" si="64"/>
        <v>424.8</v>
      </c>
      <c r="AJ657" s="4">
        <v>0.3</v>
      </c>
      <c r="AK657">
        <f t="shared" si="65"/>
        <v>127.44</v>
      </c>
      <c r="AL657">
        <f t="shared" si="66"/>
        <v>552.24</v>
      </c>
      <c r="AM657">
        <f t="shared" si="67"/>
        <v>347.76</v>
      </c>
      <c r="AN657" s="4">
        <f t="shared" si="68"/>
        <v>0.3864</v>
      </c>
      <c r="AO657" t="s">
        <v>221</v>
      </c>
      <c r="AQ657" t="s">
        <v>217</v>
      </c>
      <c r="AT657" t="s">
        <v>221</v>
      </c>
    </row>
    <row r="658" ht="15.75" customHeight="1" spans="1:46">
      <c r="A658" t="s">
        <v>1369</v>
      </c>
      <c r="B658" t="s">
        <v>46</v>
      </c>
      <c r="C658" t="s">
        <v>435</v>
      </c>
      <c r="D658" t="s">
        <v>1362</v>
      </c>
      <c r="E658" t="s">
        <v>1022</v>
      </c>
      <c r="F658" t="s">
        <v>1370</v>
      </c>
      <c r="H658" t="s">
        <v>186</v>
      </c>
      <c r="I658" t="s">
        <v>1048</v>
      </c>
      <c r="J658" t="s">
        <v>1371</v>
      </c>
      <c r="K658" t="s">
        <v>1372</v>
      </c>
      <c r="L658" t="s">
        <v>1108</v>
      </c>
      <c r="M658" t="s">
        <v>1364</v>
      </c>
      <c r="N658" t="s">
        <v>124</v>
      </c>
      <c r="O658" t="s">
        <v>909</v>
      </c>
      <c r="Q658" t="s">
        <v>57</v>
      </c>
      <c r="Y658" t="s">
        <v>1373</v>
      </c>
      <c r="Z658">
        <v>8302</v>
      </c>
      <c r="AE658">
        <v>80</v>
      </c>
      <c r="AF658" s="4">
        <v>0.6</v>
      </c>
      <c r="AG658">
        <f t="shared" si="63"/>
        <v>32</v>
      </c>
      <c r="AH658" s="4">
        <v>0.18</v>
      </c>
      <c r="AI658">
        <f t="shared" si="64"/>
        <v>37.76</v>
      </c>
      <c r="AJ658" s="4">
        <v>0.3</v>
      </c>
      <c r="AK658">
        <f t="shared" si="65"/>
        <v>11.33</v>
      </c>
      <c r="AL658">
        <f t="shared" si="66"/>
        <v>49.09</v>
      </c>
      <c r="AM658">
        <f t="shared" si="67"/>
        <v>30.91</v>
      </c>
      <c r="AN658" s="4">
        <f t="shared" si="68"/>
        <v>0.386375</v>
      </c>
      <c r="AO658" t="s">
        <v>221</v>
      </c>
      <c r="AQ658" t="s">
        <v>217</v>
      </c>
      <c r="AT658" t="s">
        <v>221</v>
      </c>
    </row>
    <row r="659" ht="15.75" customHeight="1" spans="1:46">
      <c r="A659" t="s">
        <v>1369</v>
      </c>
      <c r="B659" t="s">
        <v>67</v>
      </c>
      <c r="C659" t="s">
        <v>435</v>
      </c>
      <c r="D659" t="s">
        <v>1362</v>
      </c>
      <c r="E659" t="s">
        <v>1022</v>
      </c>
      <c r="F659" t="s">
        <v>1370</v>
      </c>
      <c r="H659" t="s">
        <v>186</v>
      </c>
      <c r="I659" t="s">
        <v>1048</v>
      </c>
      <c r="J659" t="s">
        <v>1371</v>
      </c>
      <c r="K659" t="s">
        <v>512</v>
      </c>
      <c r="L659" t="s">
        <v>1108</v>
      </c>
      <c r="M659" t="s">
        <v>1364</v>
      </c>
      <c r="N659" t="s">
        <v>124</v>
      </c>
      <c r="O659" t="s">
        <v>1366</v>
      </c>
      <c r="Q659" t="s">
        <v>57</v>
      </c>
      <c r="Y659" t="s">
        <v>1374</v>
      </c>
      <c r="Z659">
        <v>8302</v>
      </c>
      <c r="AE659">
        <v>80</v>
      </c>
      <c r="AF659" s="4">
        <v>0.6</v>
      </c>
      <c r="AG659">
        <f t="shared" si="63"/>
        <v>32</v>
      </c>
      <c r="AH659" s="4">
        <v>0.18</v>
      </c>
      <c r="AI659">
        <f t="shared" si="64"/>
        <v>37.76</v>
      </c>
      <c r="AJ659" s="4">
        <v>0.3</v>
      </c>
      <c r="AK659">
        <f t="shared" si="65"/>
        <v>11.33</v>
      </c>
      <c r="AL659">
        <f t="shared" si="66"/>
        <v>49.09</v>
      </c>
      <c r="AM659">
        <f t="shared" si="67"/>
        <v>30.91</v>
      </c>
      <c r="AN659" s="4">
        <f t="shared" si="68"/>
        <v>0.386375</v>
      </c>
      <c r="AO659" t="s">
        <v>221</v>
      </c>
      <c r="AQ659" t="s">
        <v>217</v>
      </c>
      <c r="AT659" t="s">
        <v>221</v>
      </c>
    </row>
    <row r="660" ht="15.75" customHeight="1" spans="1:46">
      <c r="A660" t="s">
        <v>1375</v>
      </c>
      <c r="B660" t="s">
        <v>46</v>
      </c>
      <c r="C660" t="s">
        <v>435</v>
      </c>
      <c r="D660" t="s">
        <v>1362</v>
      </c>
      <c r="E660" t="s">
        <v>1022</v>
      </c>
      <c r="F660" t="s">
        <v>1376</v>
      </c>
      <c r="H660" t="s">
        <v>186</v>
      </c>
      <c r="I660" t="s">
        <v>1048</v>
      </c>
      <c r="J660" t="s">
        <v>1108</v>
      </c>
      <c r="K660" t="s">
        <v>970</v>
      </c>
      <c r="Q660" t="s">
        <v>57</v>
      </c>
      <c r="Y660" t="s">
        <v>1377</v>
      </c>
      <c r="Z660">
        <v>8302</v>
      </c>
      <c r="AE660">
        <v>32</v>
      </c>
      <c r="AF660" s="4">
        <v>0.6</v>
      </c>
      <c r="AG660">
        <f t="shared" si="63"/>
        <v>12.8</v>
      </c>
      <c r="AH660" s="4">
        <v>0.18</v>
      </c>
      <c r="AI660">
        <f t="shared" si="64"/>
        <v>15.1</v>
      </c>
      <c r="AJ660" s="4">
        <v>0.3</v>
      </c>
      <c r="AK660">
        <f t="shared" si="65"/>
        <v>4.53</v>
      </c>
      <c r="AL660">
        <f t="shared" si="66"/>
        <v>19.63</v>
      </c>
      <c r="AM660">
        <f t="shared" si="67"/>
        <v>12.37</v>
      </c>
      <c r="AN660" s="4">
        <f t="shared" si="68"/>
        <v>0.3865625</v>
      </c>
      <c r="AO660" t="s">
        <v>221</v>
      </c>
      <c r="AQ660" t="s">
        <v>217</v>
      </c>
      <c r="AT660" t="s">
        <v>221</v>
      </c>
    </row>
    <row r="661" ht="15.75" customHeight="1" spans="1:46">
      <c r="A661" t="s">
        <v>1375</v>
      </c>
      <c r="B661" t="s">
        <v>67</v>
      </c>
      <c r="C661" t="s">
        <v>435</v>
      </c>
      <c r="D661" t="s">
        <v>1362</v>
      </c>
      <c r="E661" t="s">
        <v>1022</v>
      </c>
      <c r="F661" t="s">
        <v>1376</v>
      </c>
      <c r="H661" t="s">
        <v>186</v>
      </c>
      <c r="I661" t="s">
        <v>1048</v>
      </c>
      <c r="J661" t="s">
        <v>1108</v>
      </c>
      <c r="K661" t="s">
        <v>1378</v>
      </c>
      <c r="Q661" t="s">
        <v>57</v>
      </c>
      <c r="Y661" t="s">
        <v>1377</v>
      </c>
      <c r="Z661">
        <v>8302</v>
      </c>
      <c r="AE661">
        <v>34</v>
      </c>
      <c r="AF661" s="4">
        <v>0.6</v>
      </c>
      <c r="AG661">
        <f t="shared" si="63"/>
        <v>13.6</v>
      </c>
      <c r="AH661" s="4">
        <v>0.18</v>
      </c>
      <c r="AI661">
        <f t="shared" si="64"/>
        <v>16.05</v>
      </c>
      <c r="AJ661" s="4">
        <v>0.3</v>
      </c>
      <c r="AK661">
        <f t="shared" si="65"/>
        <v>4.82</v>
      </c>
      <c r="AL661">
        <f t="shared" si="66"/>
        <v>20.87</v>
      </c>
      <c r="AM661">
        <f t="shared" si="67"/>
        <v>13.13</v>
      </c>
      <c r="AN661" s="4">
        <f t="shared" si="68"/>
        <v>0.386176470588235</v>
      </c>
      <c r="AO661" t="s">
        <v>221</v>
      </c>
      <c r="AQ661" t="s">
        <v>217</v>
      </c>
      <c r="AT661" t="s">
        <v>221</v>
      </c>
    </row>
    <row r="662" ht="15.75" customHeight="1" spans="1:46">
      <c r="A662" t="s">
        <v>1375</v>
      </c>
      <c r="B662" t="s">
        <v>71</v>
      </c>
      <c r="C662" t="s">
        <v>435</v>
      </c>
      <c r="D662" t="s">
        <v>1362</v>
      </c>
      <c r="E662" t="s">
        <v>1022</v>
      </c>
      <c r="F662" t="s">
        <v>1376</v>
      </c>
      <c r="H662" t="s">
        <v>186</v>
      </c>
      <c r="I662" t="s">
        <v>1048</v>
      </c>
      <c r="J662" t="s">
        <v>1108</v>
      </c>
      <c r="K662" t="s">
        <v>1364</v>
      </c>
      <c r="Q662" t="s">
        <v>57</v>
      </c>
      <c r="Y662" t="s">
        <v>1377</v>
      </c>
      <c r="Z662">
        <v>8302</v>
      </c>
      <c r="AE662">
        <v>36</v>
      </c>
      <c r="AF662" s="4">
        <v>0.6</v>
      </c>
      <c r="AG662">
        <f t="shared" si="63"/>
        <v>14.4</v>
      </c>
      <c r="AH662" s="4">
        <v>0.18</v>
      </c>
      <c r="AI662">
        <f t="shared" si="64"/>
        <v>16.99</v>
      </c>
      <c r="AJ662" s="4">
        <v>0.3</v>
      </c>
      <c r="AK662">
        <f t="shared" si="65"/>
        <v>5.1</v>
      </c>
      <c r="AL662">
        <f t="shared" si="66"/>
        <v>22.09</v>
      </c>
      <c r="AM662">
        <f t="shared" si="67"/>
        <v>13.91</v>
      </c>
      <c r="AN662" s="4">
        <f t="shared" si="68"/>
        <v>0.386388888888889</v>
      </c>
      <c r="AO662" t="s">
        <v>221</v>
      </c>
      <c r="AQ662" t="s">
        <v>217</v>
      </c>
      <c r="AT662" t="s">
        <v>221</v>
      </c>
    </row>
    <row r="663" ht="15.75" customHeight="1" spans="1:46">
      <c r="A663" t="s">
        <v>1375</v>
      </c>
      <c r="B663" t="s">
        <v>75</v>
      </c>
      <c r="C663" t="s">
        <v>435</v>
      </c>
      <c r="D663" t="s">
        <v>1362</v>
      </c>
      <c r="E663" t="s">
        <v>1022</v>
      </c>
      <c r="F663" t="s">
        <v>1376</v>
      </c>
      <c r="H663" t="s">
        <v>186</v>
      </c>
      <c r="I663" t="s">
        <v>1048</v>
      </c>
      <c r="J663" t="s">
        <v>1108</v>
      </c>
      <c r="K663" t="s">
        <v>1066</v>
      </c>
      <c r="Q663" t="s">
        <v>57</v>
      </c>
      <c r="Y663" t="s">
        <v>1377</v>
      </c>
      <c r="Z663">
        <v>8302</v>
      </c>
      <c r="AE663">
        <v>38</v>
      </c>
      <c r="AF663" s="4">
        <v>0.6</v>
      </c>
      <c r="AG663">
        <f t="shared" ref="AG663:AG699" si="69">ROUND(AE663-(AE663*AF663),2)</f>
        <v>15.2</v>
      </c>
      <c r="AH663" s="4">
        <v>0.18</v>
      </c>
      <c r="AI663">
        <f t="shared" si="64"/>
        <v>17.94</v>
      </c>
      <c r="AJ663" s="4">
        <v>0.3</v>
      </c>
      <c r="AK663">
        <f t="shared" si="65"/>
        <v>5.38</v>
      </c>
      <c r="AL663">
        <f t="shared" si="66"/>
        <v>23.32</v>
      </c>
      <c r="AM663">
        <f t="shared" si="67"/>
        <v>14.68</v>
      </c>
      <c r="AN663" s="4">
        <f t="shared" si="68"/>
        <v>0.386315789473684</v>
      </c>
      <c r="AO663" t="s">
        <v>221</v>
      </c>
      <c r="AQ663" t="s">
        <v>217</v>
      </c>
      <c r="AT663" t="s">
        <v>221</v>
      </c>
    </row>
    <row r="664" ht="15.75" customHeight="1" spans="1:46">
      <c r="A664" t="s">
        <v>1379</v>
      </c>
      <c r="B664" t="s">
        <v>46</v>
      </c>
      <c r="C664" t="s">
        <v>435</v>
      </c>
      <c r="D664" t="s">
        <v>1362</v>
      </c>
      <c r="E664" t="s">
        <v>1022</v>
      </c>
      <c r="F664" t="s">
        <v>1380</v>
      </c>
      <c r="H664" t="s">
        <v>186</v>
      </c>
      <c r="I664" t="s">
        <v>1381</v>
      </c>
      <c r="Q664" t="s">
        <v>57</v>
      </c>
      <c r="Y664" t="s">
        <v>1382</v>
      </c>
      <c r="Z664">
        <v>8302</v>
      </c>
      <c r="AE664">
        <v>4</v>
      </c>
      <c r="AF664" s="4">
        <v>0.6</v>
      </c>
      <c r="AG664">
        <f t="shared" si="69"/>
        <v>1.6</v>
      </c>
      <c r="AH664" s="4">
        <v>0.18</v>
      </c>
      <c r="AI664">
        <f t="shared" si="64"/>
        <v>1.89</v>
      </c>
      <c r="AJ664" s="4">
        <v>0.3</v>
      </c>
      <c r="AK664">
        <f t="shared" si="65"/>
        <v>0.57</v>
      </c>
      <c r="AL664">
        <f t="shared" si="66"/>
        <v>2.46</v>
      </c>
      <c r="AM664">
        <f t="shared" si="67"/>
        <v>1.54</v>
      </c>
      <c r="AN664" s="4">
        <f t="shared" si="68"/>
        <v>0.385</v>
      </c>
      <c r="AO664" t="s">
        <v>221</v>
      </c>
      <c r="AQ664" t="s">
        <v>217</v>
      </c>
      <c r="AT664" t="s">
        <v>221</v>
      </c>
    </row>
    <row r="665" ht="15.75" customHeight="1" spans="1:46">
      <c r="A665" t="s">
        <v>1379</v>
      </c>
      <c r="B665" t="s">
        <v>67</v>
      </c>
      <c r="C665" t="s">
        <v>435</v>
      </c>
      <c r="D665" t="s">
        <v>1362</v>
      </c>
      <c r="E665" t="s">
        <v>1022</v>
      </c>
      <c r="F665" t="s">
        <v>1380</v>
      </c>
      <c r="H665" t="s">
        <v>186</v>
      </c>
      <c r="I665" t="s">
        <v>1054</v>
      </c>
      <c r="Q665" t="s">
        <v>57</v>
      </c>
      <c r="Y665" t="s">
        <v>1383</v>
      </c>
      <c r="Z665">
        <v>8302</v>
      </c>
      <c r="AE665">
        <v>6</v>
      </c>
      <c r="AF665" s="4">
        <v>0.6</v>
      </c>
      <c r="AG665">
        <f t="shared" si="69"/>
        <v>2.4</v>
      </c>
      <c r="AH665" s="4">
        <v>0.18</v>
      </c>
      <c r="AI665">
        <f t="shared" si="64"/>
        <v>2.83</v>
      </c>
      <c r="AJ665" s="4">
        <v>0.3</v>
      </c>
      <c r="AK665">
        <f t="shared" si="65"/>
        <v>0.85</v>
      </c>
      <c r="AL665">
        <f t="shared" si="66"/>
        <v>3.68</v>
      </c>
      <c r="AM665">
        <f t="shared" si="67"/>
        <v>2.32</v>
      </c>
      <c r="AN665" s="4">
        <f t="shared" si="68"/>
        <v>0.386666666666667</v>
      </c>
      <c r="AO665" t="s">
        <v>221</v>
      </c>
      <c r="AQ665" t="s">
        <v>217</v>
      </c>
      <c r="AT665" t="s">
        <v>221</v>
      </c>
    </row>
    <row r="666" ht="15.75" customHeight="1" spans="1:46">
      <c r="A666" t="s">
        <v>1384</v>
      </c>
      <c r="B666" t="s">
        <v>46</v>
      </c>
      <c r="C666" t="s">
        <v>435</v>
      </c>
      <c r="D666" t="s">
        <v>1385</v>
      </c>
      <c r="E666" t="s">
        <v>437</v>
      </c>
      <c r="F666" t="s">
        <v>1386</v>
      </c>
      <c r="H666" t="s">
        <v>441</v>
      </c>
      <c r="I666" t="s">
        <v>442</v>
      </c>
      <c r="J666" t="s">
        <v>53</v>
      </c>
      <c r="K666" t="s">
        <v>1366</v>
      </c>
      <c r="L666" t="s">
        <v>910</v>
      </c>
      <c r="M666" t="s">
        <v>1387</v>
      </c>
      <c r="Q666" t="s">
        <v>57</v>
      </c>
      <c r="R666">
        <v>9323002</v>
      </c>
      <c r="Y666" t="s">
        <v>1388</v>
      </c>
      <c r="Z666">
        <v>8302</v>
      </c>
      <c r="AE666">
        <v>16</v>
      </c>
      <c r="AF666" s="4">
        <v>0.5</v>
      </c>
      <c r="AG666">
        <f t="shared" si="69"/>
        <v>8</v>
      </c>
      <c r="AH666" s="4">
        <v>0.18</v>
      </c>
      <c r="AI666">
        <f t="shared" si="64"/>
        <v>9.44</v>
      </c>
      <c r="AJ666" s="4">
        <v>0.2</v>
      </c>
      <c r="AK666">
        <f t="shared" si="65"/>
        <v>1.89</v>
      </c>
      <c r="AL666">
        <f t="shared" si="66"/>
        <v>11.33</v>
      </c>
      <c r="AM666">
        <f t="shared" si="67"/>
        <v>4.67</v>
      </c>
      <c r="AN666" s="4">
        <f t="shared" si="68"/>
        <v>0.291875</v>
      </c>
      <c r="AO666" t="s">
        <v>221</v>
      </c>
      <c r="AQ666" t="s">
        <v>217</v>
      </c>
      <c r="AT666" t="s">
        <v>221</v>
      </c>
    </row>
    <row r="667" ht="15.75" customHeight="1" spans="1:46">
      <c r="A667" t="s">
        <v>1389</v>
      </c>
      <c r="B667" t="s">
        <v>46</v>
      </c>
      <c r="C667" t="s">
        <v>435</v>
      </c>
      <c r="D667" t="s">
        <v>1385</v>
      </c>
      <c r="E667" t="s">
        <v>437</v>
      </c>
      <c r="F667" t="s">
        <v>1390</v>
      </c>
      <c r="H667" t="s">
        <v>441</v>
      </c>
      <c r="I667" t="s">
        <v>1278</v>
      </c>
      <c r="J667" t="s">
        <v>53</v>
      </c>
      <c r="L667" t="s">
        <v>910</v>
      </c>
      <c r="M667" t="s">
        <v>1391</v>
      </c>
      <c r="Q667" t="s">
        <v>57</v>
      </c>
      <c r="R667">
        <v>9290706</v>
      </c>
      <c r="Y667" t="s">
        <v>1392</v>
      </c>
      <c r="Z667">
        <v>8302</v>
      </c>
      <c r="AE667">
        <v>1.11</v>
      </c>
      <c r="AF667" s="4">
        <v>0.6</v>
      </c>
      <c r="AG667">
        <f t="shared" si="69"/>
        <v>0.44</v>
      </c>
      <c r="AH667" s="4">
        <v>0.18</v>
      </c>
      <c r="AI667">
        <f t="shared" si="64"/>
        <v>0.52</v>
      </c>
      <c r="AJ667" s="4">
        <v>0.2</v>
      </c>
      <c r="AK667">
        <f t="shared" si="65"/>
        <v>0.1</v>
      </c>
      <c r="AL667">
        <f t="shared" si="66"/>
        <v>0.62</v>
      </c>
      <c r="AM667">
        <f t="shared" si="67"/>
        <v>0.49</v>
      </c>
      <c r="AN667" s="4">
        <f t="shared" si="68"/>
        <v>0.441441441441441</v>
      </c>
      <c r="AO667" t="s">
        <v>221</v>
      </c>
      <c r="AQ667" t="s">
        <v>217</v>
      </c>
      <c r="AT667" t="s">
        <v>221</v>
      </c>
    </row>
    <row r="668" ht="15.75" customHeight="1" spans="1:46">
      <c r="A668" t="s">
        <v>1389</v>
      </c>
      <c r="B668" t="s">
        <v>67</v>
      </c>
      <c r="C668" t="s">
        <v>435</v>
      </c>
      <c r="D668" t="s">
        <v>1385</v>
      </c>
      <c r="E668" t="s">
        <v>437</v>
      </c>
      <c r="F668" t="s">
        <v>1390</v>
      </c>
      <c r="H668" t="s">
        <v>441</v>
      </c>
      <c r="I668" t="s">
        <v>1278</v>
      </c>
      <c r="J668" t="s">
        <v>53</v>
      </c>
      <c r="L668" t="s">
        <v>910</v>
      </c>
      <c r="M668" t="s">
        <v>1393</v>
      </c>
      <c r="Q668" t="s">
        <v>57</v>
      </c>
      <c r="R668">
        <v>9290708</v>
      </c>
      <c r="Y668" t="s">
        <v>1392</v>
      </c>
      <c r="Z668">
        <v>8302</v>
      </c>
      <c r="AE668">
        <v>1.11</v>
      </c>
      <c r="AF668" s="4">
        <v>0.6</v>
      </c>
      <c r="AG668">
        <f t="shared" si="69"/>
        <v>0.44</v>
      </c>
      <c r="AH668" s="4">
        <v>0.18</v>
      </c>
      <c r="AI668">
        <f t="shared" si="64"/>
        <v>0.52</v>
      </c>
      <c r="AJ668" s="4">
        <v>0.2</v>
      </c>
      <c r="AK668">
        <f t="shared" si="65"/>
        <v>0.1</v>
      </c>
      <c r="AL668">
        <f t="shared" si="66"/>
        <v>0.62</v>
      </c>
      <c r="AM668">
        <f t="shared" si="67"/>
        <v>0.49</v>
      </c>
      <c r="AN668" s="4">
        <f t="shared" si="68"/>
        <v>0.441441441441441</v>
      </c>
      <c r="AO668" t="s">
        <v>221</v>
      </c>
      <c r="AQ668" t="s">
        <v>217</v>
      </c>
      <c r="AT668" t="s">
        <v>221</v>
      </c>
    </row>
    <row r="669" ht="15.75" customHeight="1" spans="1:46">
      <c r="A669" t="s">
        <v>1389</v>
      </c>
      <c r="B669" t="s">
        <v>71</v>
      </c>
      <c r="C669" t="s">
        <v>435</v>
      </c>
      <c r="D669" t="s">
        <v>1385</v>
      </c>
      <c r="E669" t="s">
        <v>437</v>
      </c>
      <c r="F669" t="s">
        <v>1390</v>
      </c>
      <c r="H669" t="s">
        <v>441</v>
      </c>
      <c r="I669" t="s">
        <v>1278</v>
      </c>
      <c r="J669" t="s">
        <v>53</v>
      </c>
      <c r="L669" t="s">
        <v>910</v>
      </c>
      <c r="M669" t="s">
        <v>1394</v>
      </c>
      <c r="Q669" t="s">
        <v>57</v>
      </c>
      <c r="R669">
        <v>9102465</v>
      </c>
      <c r="Y669" t="s">
        <v>1392</v>
      </c>
      <c r="Z669">
        <v>8302</v>
      </c>
      <c r="AE669">
        <v>1.25</v>
      </c>
      <c r="AF669" s="4">
        <v>0.6</v>
      </c>
      <c r="AG669">
        <f t="shared" si="69"/>
        <v>0.5</v>
      </c>
      <c r="AH669" s="4">
        <v>0.18</v>
      </c>
      <c r="AI669">
        <f t="shared" si="64"/>
        <v>0.59</v>
      </c>
      <c r="AJ669" s="4">
        <v>0.2</v>
      </c>
      <c r="AK669">
        <f t="shared" si="65"/>
        <v>0.12</v>
      </c>
      <c r="AL669">
        <f t="shared" si="66"/>
        <v>0.71</v>
      </c>
      <c r="AM669">
        <f t="shared" si="67"/>
        <v>0.54</v>
      </c>
      <c r="AN669" s="4">
        <f t="shared" si="68"/>
        <v>0.432</v>
      </c>
      <c r="AO669" t="s">
        <v>221</v>
      </c>
      <c r="AQ669" t="s">
        <v>217</v>
      </c>
      <c r="AT669" t="s">
        <v>221</v>
      </c>
    </row>
    <row r="670" ht="15.75" customHeight="1" spans="1:46">
      <c r="A670" t="s">
        <v>1395</v>
      </c>
      <c r="B670" t="s">
        <v>46</v>
      </c>
      <c r="C670" t="s">
        <v>435</v>
      </c>
      <c r="D670" t="s">
        <v>1385</v>
      </c>
      <c r="E670" t="s">
        <v>735</v>
      </c>
      <c r="F670" t="s">
        <v>1396</v>
      </c>
      <c r="H670" t="s">
        <v>441</v>
      </c>
      <c r="I670" t="s">
        <v>442</v>
      </c>
      <c r="J670" t="s">
        <v>53</v>
      </c>
      <c r="K670" t="s">
        <v>1366</v>
      </c>
      <c r="L670" t="s">
        <v>910</v>
      </c>
      <c r="M670" t="s">
        <v>1397</v>
      </c>
      <c r="Q670" t="s">
        <v>57</v>
      </c>
      <c r="R670" t="s">
        <v>1398</v>
      </c>
      <c r="Y670" t="s">
        <v>1399</v>
      </c>
      <c r="Z670">
        <v>8302</v>
      </c>
      <c r="AE670">
        <v>10</v>
      </c>
      <c r="AF670" s="4">
        <v>0.5</v>
      </c>
      <c r="AG670">
        <f t="shared" si="69"/>
        <v>5</v>
      </c>
      <c r="AH670" s="4">
        <v>0.18</v>
      </c>
      <c r="AI670">
        <f t="shared" si="64"/>
        <v>5.9</v>
      </c>
      <c r="AJ670" s="4">
        <v>0.2</v>
      </c>
      <c r="AK670">
        <f t="shared" si="65"/>
        <v>1.18</v>
      </c>
      <c r="AL670">
        <f t="shared" si="66"/>
        <v>7.08</v>
      </c>
      <c r="AM670">
        <f t="shared" si="67"/>
        <v>2.92</v>
      </c>
      <c r="AN670" s="4">
        <f t="shared" si="68"/>
        <v>0.292</v>
      </c>
      <c r="AO670" t="s">
        <v>221</v>
      </c>
      <c r="AQ670" t="s">
        <v>217</v>
      </c>
      <c r="AT670" t="s">
        <v>64</v>
      </c>
    </row>
    <row r="671" ht="15.75" customHeight="1" spans="1:46">
      <c r="A671" t="s">
        <v>1400</v>
      </c>
      <c r="B671" t="s">
        <v>46</v>
      </c>
      <c r="C671" t="s">
        <v>435</v>
      </c>
      <c r="D671" t="s">
        <v>1385</v>
      </c>
      <c r="E671" t="s">
        <v>735</v>
      </c>
      <c r="F671" t="s">
        <v>1401</v>
      </c>
      <c r="H671" t="s">
        <v>441</v>
      </c>
      <c r="I671" t="s">
        <v>442</v>
      </c>
      <c r="J671" t="s">
        <v>53</v>
      </c>
      <c r="K671" t="s">
        <v>1366</v>
      </c>
      <c r="L671" t="s">
        <v>910</v>
      </c>
      <c r="M671" t="s">
        <v>1397</v>
      </c>
      <c r="Q671" t="s">
        <v>57</v>
      </c>
      <c r="R671" t="s">
        <v>1402</v>
      </c>
      <c r="Y671" t="s">
        <v>1399</v>
      </c>
      <c r="Z671">
        <v>8302</v>
      </c>
      <c r="AE671">
        <v>13</v>
      </c>
      <c r="AF671" s="4">
        <v>0.5</v>
      </c>
      <c r="AG671">
        <f t="shared" si="69"/>
        <v>6.5</v>
      </c>
      <c r="AH671" s="4">
        <v>0.18</v>
      </c>
      <c r="AI671">
        <f t="shared" si="64"/>
        <v>7.67</v>
      </c>
      <c r="AJ671" s="4">
        <v>0.2</v>
      </c>
      <c r="AK671">
        <f t="shared" si="65"/>
        <v>1.53</v>
      </c>
      <c r="AL671">
        <f t="shared" si="66"/>
        <v>9.2</v>
      </c>
      <c r="AM671">
        <f t="shared" si="67"/>
        <v>3.8</v>
      </c>
      <c r="AN671" s="4">
        <f t="shared" si="68"/>
        <v>0.292307692307692</v>
      </c>
      <c r="AO671" t="s">
        <v>221</v>
      </c>
      <c r="AQ671" t="s">
        <v>217</v>
      </c>
      <c r="AT671" t="s">
        <v>64</v>
      </c>
    </row>
    <row r="672" ht="15.75" customHeight="1" spans="1:46">
      <c r="A672" t="s">
        <v>1403</v>
      </c>
      <c r="B672" t="s">
        <v>46</v>
      </c>
      <c r="C672" t="s">
        <v>435</v>
      </c>
      <c r="D672" t="s">
        <v>1385</v>
      </c>
      <c r="E672" t="s">
        <v>735</v>
      </c>
      <c r="F672" t="s">
        <v>1390</v>
      </c>
      <c r="H672" t="s">
        <v>441</v>
      </c>
      <c r="I672" t="s">
        <v>1278</v>
      </c>
      <c r="J672" t="s">
        <v>53</v>
      </c>
      <c r="L672" t="s">
        <v>910</v>
      </c>
      <c r="M672" t="s">
        <v>1394</v>
      </c>
      <c r="Q672" t="s">
        <v>57</v>
      </c>
      <c r="R672" t="s">
        <v>1404</v>
      </c>
      <c r="Y672" t="s">
        <v>1405</v>
      </c>
      <c r="Z672">
        <v>8302</v>
      </c>
      <c r="AE672">
        <v>0.88</v>
      </c>
      <c r="AF672" s="4">
        <v>0.5</v>
      </c>
      <c r="AG672">
        <f t="shared" si="69"/>
        <v>0.44</v>
      </c>
      <c r="AH672" s="4">
        <v>0.18</v>
      </c>
      <c r="AI672">
        <f t="shared" si="64"/>
        <v>0.52</v>
      </c>
      <c r="AJ672" s="4">
        <v>0.2</v>
      </c>
      <c r="AK672">
        <f t="shared" si="65"/>
        <v>0.1</v>
      </c>
      <c r="AL672">
        <f t="shared" si="66"/>
        <v>0.62</v>
      </c>
      <c r="AM672">
        <f t="shared" si="67"/>
        <v>0.26</v>
      </c>
      <c r="AN672" s="4">
        <f t="shared" si="68"/>
        <v>0.295454545454545</v>
      </c>
      <c r="AO672" t="s">
        <v>221</v>
      </c>
      <c r="AQ672" t="s">
        <v>217</v>
      </c>
      <c r="AT672" t="s">
        <v>64</v>
      </c>
    </row>
    <row r="673" ht="15.75" customHeight="1" spans="1:46">
      <c r="A673" t="s">
        <v>1406</v>
      </c>
      <c r="B673" t="s">
        <v>46</v>
      </c>
      <c r="C673" t="s">
        <v>435</v>
      </c>
      <c r="D673" t="s">
        <v>1385</v>
      </c>
      <c r="E673" t="s">
        <v>1022</v>
      </c>
      <c r="F673" t="s">
        <v>69</v>
      </c>
      <c r="H673" t="s">
        <v>441</v>
      </c>
      <c r="I673" t="s">
        <v>442</v>
      </c>
      <c r="J673" t="s">
        <v>124</v>
      </c>
      <c r="K673" t="s">
        <v>1366</v>
      </c>
      <c r="L673" t="s">
        <v>53</v>
      </c>
      <c r="M673" t="s">
        <v>1407</v>
      </c>
      <c r="Q673" t="s">
        <v>57</v>
      </c>
      <c r="Y673" t="s">
        <v>1408</v>
      </c>
      <c r="Z673">
        <v>8302</v>
      </c>
      <c r="AA673" t="s">
        <v>1409</v>
      </c>
      <c r="AE673">
        <v>700</v>
      </c>
      <c r="AF673" s="4">
        <v>0.5</v>
      </c>
      <c r="AG673">
        <f t="shared" si="69"/>
        <v>350</v>
      </c>
      <c r="AH673" s="4">
        <v>0.18</v>
      </c>
      <c r="AI673">
        <f t="shared" si="64"/>
        <v>413</v>
      </c>
      <c r="AJ673" s="4">
        <v>0.2</v>
      </c>
      <c r="AK673">
        <f t="shared" si="65"/>
        <v>82.6</v>
      </c>
      <c r="AL673">
        <f t="shared" si="66"/>
        <v>495.6</v>
      </c>
      <c r="AM673">
        <f t="shared" si="67"/>
        <v>204.4</v>
      </c>
      <c r="AN673" s="4">
        <f t="shared" si="68"/>
        <v>0.292</v>
      </c>
      <c r="AO673" t="s">
        <v>221</v>
      </c>
      <c r="AQ673" t="s">
        <v>217</v>
      </c>
      <c r="AS673" t="s">
        <v>1410</v>
      </c>
      <c r="AT673" t="s">
        <v>221</v>
      </c>
    </row>
    <row r="674" ht="15.75" customHeight="1" spans="1:46">
      <c r="A674" t="s">
        <v>1406</v>
      </c>
      <c r="B674" t="s">
        <v>67</v>
      </c>
      <c r="C674" t="s">
        <v>435</v>
      </c>
      <c r="D674" t="s">
        <v>1385</v>
      </c>
      <c r="E674" t="s">
        <v>1022</v>
      </c>
      <c r="F674" t="s">
        <v>69</v>
      </c>
      <c r="H674" t="s">
        <v>441</v>
      </c>
      <c r="I674" t="s">
        <v>442</v>
      </c>
      <c r="J674" t="s">
        <v>124</v>
      </c>
      <c r="K674" t="s">
        <v>1366</v>
      </c>
      <c r="L674" t="s">
        <v>53</v>
      </c>
      <c r="M674" t="s">
        <v>1411</v>
      </c>
      <c r="Q674" t="s">
        <v>57</v>
      </c>
      <c r="Y674" t="s">
        <v>1412</v>
      </c>
      <c r="Z674">
        <v>8302</v>
      </c>
      <c r="AA674" t="s">
        <v>1409</v>
      </c>
      <c r="AE674">
        <v>925</v>
      </c>
      <c r="AF674" s="4">
        <v>0.5</v>
      </c>
      <c r="AG674">
        <f t="shared" si="69"/>
        <v>462.5</v>
      </c>
      <c r="AH674" s="4">
        <v>0.18</v>
      </c>
      <c r="AI674">
        <f t="shared" si="64"/>
        <v>545.75</v>
      </c>
      <c r="AJ674" s="4">
        <v>0.2</v>
      </c>
      <c r="AK674">
        <f t="shared" si="65"/>
        <v>109.15</v>
      </c>
      <c r="AL674">
        <f t="shared" si="66"/>
        <v>654.9</v>
      </c>
      <c r="AM674">
        <f t="shared" si="67"/>
        <v>270.1</v>
      </c>
      <c r="AN674" s="4">
        <f t="shared" si="68"/>
        <v>0.292</v>
      </c>
      <c r="AO674" t="s">
        <v>221</v>
      </c>
      <c r="AQ674" t="s">
        <v>217</v>
      </c>
      <c r="AS674" t="s">
        <v>1413</v>
      </c>
      <c r="AT674" t="s">
        <v>221</v>
      </c>
    </row>
    <row r="675" ht="15.75" customHeight="1" spans="1:46">
      <c r="A675" t="s">
        <v>1406</v>
      </c>
      <c r="B675" t="s">
        <v>71</v>
      </c>
      <c r="C675" t="s">
        <v>435</v>
      </c>
      <c r="D675" t="s">
        <v>1385</v>
      </c>
      <c r="E675" t="s">
        <v>1022</v>
      </c>
      <c r="F675" t="s">
        <v>69</v>
      </c>
      <c r="H675" t="s">
        <v>441</v>
      </c>
      <c r="I675" t="s">
        <v>442</v>
      </c>
      <c r="J675" t="s">
        <v>124</v>
      </c>
      <c r="K675" t="s">
        <v>1366</v>
      </c>
      <c r="L675" t="s">
        <v>53</v>
      </c>
      <c r="M675" t="s">
        <v>1414</v>
      </c>
      <c r="Q675" t="s">
        <v>57</v>
      </c>
      <c r="Y675" t="s">
        <v>1412</v>
      </c>
      <c r="Z675">
        <v>8302</v>
      </c>
      <c r="AA675" t="s">
        <v>1409</v>
      </c>
      <c r="AE675">
        <v>1025</v>
      </c>
      <c r="AF675" s="4">
        <v>0.5</v>
      </c>
      <c r="AG675">
        <f t="shared" si="69"/>
        <v>512.5</v>
      </c>
      <c r="AH675" s="4">
        <v>0.18</v>
      </c>
      <c r="AI675">
        <f t="shared" si="64"/>
        <v>604.75</v>
      </c>
      <c r="AJ675" s="4">
        <v>0.2</v>
      </c>
      <c r="AK675">
        <f t="shared" si="65"/>
        <v>120.95</v>
      </c>
      <c r="AL675">
        <f t="shared" si="66"/>
        <v>725.7</v>
      </c>
      <c r="AM675">
        <f t="shared" si="67"/>
        <v>299.3</v>
      </c>
      <c r="AN675" s="4">
        <f t="shared" si="68"/>
        <v>0.292</v>
      </c>
      <c r="AO675" t="s">
        <v>221</v>
      </c>
      <c r="AQ675" t="s">
        <v>217</v>
      </c>
      <c r="AS675" t="s">
        <v>1413</v>
      </c>
      <c r="AT675" t="s">
        <v>221</v>
      </c>
    </row>
    <row r="676" ht="15.75" customHeight="1" spans="1:46">
      <c r="A676" t="s">
        <v>1406</v>
      </c>
      <c r="B676" t="s">
        <v>75</v>
      </c>
      <c r="C676" t="s">
        <v>435</v>
      </c>
      <c r="D676" t="s">
        <v>1385</v>
      </c>
      <c r="E676" t="s">
        <v>1022</v>
      </c>
      <c r="F676" t="s">
        <v>69</v>
      </c>
      <c r="H676" t="s">
        <v>441</v>
      </c>
      <c r="I676" t="s">
        <v>442</v>
      </c>
      <c r="J676" t="s">
        <v>124</v>
      </c>
      <c r="K676" t="s">
        <v>1366</v>
      </c>
      <c r="L676" t="s">
        <v>53</v>
      </c>
      <c r="M676" t="s">
        <v>1415</v>
      </c>
      <c r="Q676" t="s">
        <v>57</v>
      </c>
      <c r="Y676" t="s">
        <v>1412</v>
      </c>
      <c r="Z676">
        <v>8302</v>
      </c>
      <c r="AA676" t="s">
        <v>1409</v>
      </c>
      <c r="AE676">
        <v>650</v>
      </c>
      <c r="AF676" s="4">
        <v>0.5</v>
      </c>
      <c r="AG676">
        <f t="shared" si="69"/>
        <v>325</v>
      </c>
      <c r="AH676" s="4">
        <v>0.18</v>
      </c>
      <c r="AI676">
        <f t="shared" si="64"/>
        <v>383.5</v>
      </c>
      <c r="AJ676" s="4">
        <v>0.2</v>
      </c>
      <c r="AK676">
        <f t="shared" si="65"/>
        <v>76.7</v>
      </c>
      <c r="AL676">
        <f t="shared" si="66"/>
        <v>460.2</v>
      </c>
      <c r="AM676">
        <f t="shared" si="67"/>
        <v>189.8</v>
      </c>
      <c r="AN676" s="4">
        <f t="shared" si="68"/>
        <v>0.292</v>
      </c>
      <c r="AO676" t="s">
        <v>221</v>
      </c>
      <c r="AQ676" t="s">
        <v>217</v>
      </c>
      <c r="AS676" t="s">
        <v>1416</v>
      </c>
      <c r="AT676" t="s">
        <v>221</v>
      </c>
    </row>
    <row r="677" ht="15.75" customHeight="1" spans="1:46">
      <c r="A677" t="s">
        <v>1406</v>
      </c>
      <c r="B677" t="s">
        <v>79</v>
      </c>
      <c r="C677" t="s">
        <v>435</v>
      </c>
      <c r="D677" t="s">
        <v>1385</v>
      </c>
      <c r="E677" t="s">
        <v>1022</v>
      </c>
      <c r="F677" t="s">
        <v>69</v>
      </c>
      <c r="H677" t="s">
        <v>441</v>
      </c>
      <c r="I677" t="s">
        <v>442</v>
      </c>
      <c r="J677" t="s">
        <v>124</v>
      </c>
      <c r="K677" t="s">
        <v>1366</v>
      </c>
      <c r="L677" t="s">
        <v>53</v>
      </c>
      <c r="M677" t="s">
        <v>1417</v>
      </c>
      <c r="Q677" t="s">
        <v>57</v>
      </c>
      <c r="Y677" t="s">
        <v>1412</v>
      </c>
      <c r="Z677">
        <v>8302</v>
      </c>
      <c r="AA677" t="s">
        <v>1409</v>
      </c>
      <c r="AE677">
        <v>900</v>
      </c>
      <c r="AF677" s="4">
        <v>0.5</v>
      </c>
      <c r="AG677">
        <f t="shared" si="69"/>
        <v>450</v>
      </c>
      <c r="AH677" s="4">
        <v>0.18</v>
      </c>
      <c r="AI677">
        <f t="shared" si="64"/>
        <v>531</v>
      </c>
      <c r="AJ677" s="4">
        <v>0.2</v>
      </c>
      <c r="AK677">
        <f t="shared" si="65"/>
        <v>106.2</v>
      </c>
      <c r="AL677">
        <f t="shared" si="66"/>
        <v>637.2</v>
      </c>
      <c r="AM677">
        <f t="shared" si="67"/>
        <v>262.8</v>
      </c>
      <c r="AN677" s="4">
        <f t="shared" si="68"/>
        <v>0.292</v>
      </c>
      <c r="AO677" t="s">
        <v>221</v>
      </c>
      <c r="AQ677" t="s">
        <v>217</v>
      </c>
      <c r="AS677" t="s">
        <v>1416</v>
      </c>
      <c r="AT677" t="s">
        <v>221</v>
      </c>
    </row>
    <row r="678" ht="15.75" customHeight="1" spans="1:46">
      <c r="A678" t="s">
        <v>1406</v>
      </c>
      <c r="B678" t="s">
        <v>83</v>
      </c>
      <c r="C678" t="s">
        <v>435</v>
      </c>
      <c r="D678" t="s">
        <v>1385</v>
      </c>
      <c r="E678" t="s">
        <v>1022</v>
      </c>
      <c r="F678" t="s">
        <v>69</v>
      </c>
      <c r="H678" t="s">
        <v>441</v>
      </c>
      <c r="I678" t="s">
        <v>442</v>
      </c>
      <c r="J678" t="s">
        <v>124</v>
      </c>
      <c r="K678" t="s">
        <v>909</v>
      </c>
      <c r="L678" t="s">
        <v>53</v>
      </c>
      <c r="M678" t="s">
        <v>1407</v>
      </c>
      <c r="Q678" t="s">
        <v>57</v>
      </c>
      <c r="Y678" t="s">
        <v>1408</v>
      </c>
      <c r="Z678">
        <v>8302</v>
      </c>
      <c r="AA678" t="s">
        <v>1409</v>
      </c>
      <c r="AE678">
        <v>700</v>
      </c>
      <c r="AF678" s="4">
        <v>0.5</v>
      </c>
      <c r="AG678">
        <f t="shared" si="69"/>
        <v>350</v>
      </c>
      <c r="AH678" s="4">
        <v>0.18</v>
      </c>
      <c r="AI678">
        <f t="shared" si="64"/>
        <v>413</v>
      </c>
      <c r="AJ678" s="4">
        <v>0.2</v>
      </c>
      <c r="AK678">
        <f t="shared" si="65"/>
        <v>82.6</v>
      </c>
      <c r="AL678">
        <f t="shared" si="66"/>
        <v>495.6</v>
      </c>
      <c r="AM678">
        <f t="shared" si="67"/>
        <v>204.4</v>
      </c>
      <c r="AN678" s="4">
        <f t="shared" si="68"/>
        <v>0.292</v>
      </c>
      <c r="AO678" t="s">
        <v>221</v>
      </c>
      <c r="AQ678" t="s">
        <v>217</v>
      </c>
      <c r="AS678" t="s">
        <v>1410</v>
      </c>
      <c r="AT678" t="s">
        <v>221</v>
      </c>
    </row>
    <row r="679" ht="15.75" customHeight="1" spans="1:46">
      <c r="A679" t="s">
        <v>1406</v>
      </c>
      <c r="B679" t="s">
        <v>131</v>
      </c>
      <c r="C679" t="s">
        <v>435</v>
      </c>
      <c r="D679" t="s">
        <v>1385</v>
      </c>
      <c r="E679" t="s">
        <v>1022</v>
      </c>
      <c r="F679" t="s">
        <v>69</v>
      </c>
      <c r="H679" t="s">
        <v>441</v>
      </c>
      <c r="I679" t="s">
        <v>442</v>
      </c>
      <c r="J679" t="s">
        <v>124</v>
      </c>
      <c r="K679" t="s">
        <v>909</v>
      </c>
      <c r="L679" t="s">
        <v>53</v>
      </c>
      <c r="M679" t="s">
        <v>1411</v>
      </c>
      <c r="Q679" t="s">
        <v>57</v>
      </c>
      <c r="Y679" t="s">
        <v>1412</v>
      </c>
      <c r="Z679">
        <v>8302</v>
      </c>
      <c r="AA679" t="s">
        <v>1409</v>
      </c>
      <c r="AE679">
        <v>925</v>
      </c>
      <c r="AF679" s="4">
        <v>0.5</v>
      </c>
      <c r="AG679">
        <f t="shared" si="69"/>
        <v>462.5</v>
      </c>
      <c r="AH679" s="4">
        <v>0.18</v>
      </c>
      <c r="AI679">
        <f t="shared" si="64"/>
        <v>545.75</v>
      </c>
      <c r="AJ679" s="4">
        <v>0.2</v>
      </c>
      <c r="AK679">
        <f t="shared" si="65"/>
        <v>109.15</v>
      </c>
      <c r="AL679">
        <f t="shared" si="66"/>
        <v>654.9</v>
      </c>
      <c r="AM679">
        <f t="shared" si="67"/>
        <v>270.1</v>
      </c>
      <c r="AN679" s="4">
        <f t="shared" si="68"/>
        <v>0.292</v>
      </c>
      <c r="AO679" t="s">
        <v>221</v>
      </c>
      <c r="AQ679" t="s">
        <v>217</v>
      </c>
      <c r="AS679" t="s">
        <v>1413</v>
      </c>
      <c r="AT679" t="s">
        <v>221</v>
      </c>
    </row>
    <row r="680" ht="15.75" customHeight="1" spans="1:46">
      <c r="A680" t="s">
        <v>1406</v>
      </c>
      <c r="B680" t="s">
        <v>133</v>
      </c>
      <c r="C680" t="s">
        <v>435</v>
      </c>
      <c r="D680" t="s">
        <v>1385</v>
      </c>
      <c r="E680" t="s">
        <v>1022</v>
      </c>
      <c r="F680" t="s">
        <v>69</v>
      </c>
      <c r="H680" t="s">
        <v>441</v>
      </c>
      <c r="I680" t="s">
        <v>442</v>
      </c>
      <c r="J680" t="s">
        <v>124</v>
      </c>
      <c r="K680" t="s">
        <v>909</v>
      </c>
      <c r="L680" t="s">
        <v>53</v>
      </c>
      <c r="M680" t="s">
        <v>1414</v>
      </c>
      <c r="Q680" t="s">
        <v>57</v>
      </c>
      <c r="Y680" t="s">
        <v>1412</v>
      </c>
      <c r="Z680">
        <v>8302</v>
      </c>
      <c r="AA680" t="s">
        <v>1409</v>
      </c>
      <c r="AE680">
        <v>1025</v>
      </c>
      <c r="AF680" s="4">
        <v>0.5</v>
      </c>
      <c r="AG680">
        <f t="shared" si="69"/>
        <v>512.5</v>
      </c>
      <c r="AH680" s="4">
        <v>0.18</v>
      </c>
      <c r="AI680">
        <f t="shared" si="64"/>
        <v>604.75</v>
      </c>
      <c r="AJ680" s="4">
        <v>0.2</v>
      </c>
      <c r="AK680">
        <f t="shared" si="65"/>
        <v>120.95</v>
      </c>
      <c r="AL680">
        <f t="shared" si="66"/>
        <v>725.7</v>
      </c>
      <c r="AM680">
        <f t="shared" si="67"/>
        <v>299.3</v>
      </c>
      <c r="AN680" s="4">
        <f t="shared" si="68"/>
        <v>0.292</v>
      </c>
      <c r="AO680" t="s">
        <v>221</v>
      </c>
      <c r="AQ680" t="s">
        <v>217</v>
      </c>
      <c r="AS680" t="s">
        <v>1413</v>
      </c>
      <c r="AT680" t="s">
        <v>221</v>
      </c>
    </row>
    <row r="681" ht="15.75" customHeight="1" spans="1:46">
      <c r="A681" t="s">
        <v>1406</v>
      </c>
      <c r="B681" t="s">
        <v>135</v>
      </c>
      <c r="C681" t="s">
        <v>435</v>
      </c>
      <c r="D681" t="s">
        <v>1385</v>
      </c>
      <c r="E681" t="s">
        <v>1022</v>
      </c>
      <c r="F681" t="s">
        <v>69</v>
      </c>
      <c r="H681" t="s">
        <v>441</v>
      </c>
      <c r="I681" t="s">
        <v>442</v>
      </c>
      <c r="J681" t="s">
        <v>124</v>
      </c>
      <c r="K681" t="s">
        <v>909</v>
      </c>
      <c r="L681" t="s">
        <v>53</v>
      </c>
      <c r="M681" t="s">
        <v>1415</v>
      </c>
      <c r="Q681" t="s">
        <v>57</v>
      </c>
      <c r="Y681" t="s">
        <v>1412</v>
      </c>
      <c r="Z681">
        <v>8302</v>
      </c>
      <c r="AA681" t="s">
        <v>1409</v>
      </c>
      <c r="AE681">
        <v>650</v>
      </c>
      <c r="AF681" s="4">
        <v>0.5</v>
      </c>
      <c r="AG681">
        <f t="shared" si="69"/>
        <v>325</v>
      </c>
      <c r="AH681" s="4">
        <v>0.18</v>
      </c>
      <c r="AI681">
        <f t="shared" si="64"/>
        <v>383.5</v>
      </c>
      <c r="AJ681" s="4">
        <v>0.2</v>
      </c>
      <c r="AK681">
        <f t="shared" si="65"/>
        <v>76.7</v>
      </c>
      <c r="AL681">
        <f t="shared" si="66"/>
        <v>460.2</v>
      </c>
      <c r="AM681">
        <f t="shared" si="67"/>
        <v>189.8</v>
      </c>
      <c r="AN681" s="4">
        <f t="shared" si="68"/>
        <v>0.292</v>
      </c>
      <c r="AO681" t="s">
        <v>221</v>
      </c>
      <c r="AQ681" t="s">
        <v>217</v>
      </c>
      <c r="AS681" t="s">
        <v>1416</v>
      </c>
      <c r="AT681" t="s">
        <v>221</v>
      </c>
    </row>
    <row r="682" ht="15.75" customHeight="1" spans="1:46">
      <c r="A682" t="s">
        <v>1406</v>
      </c>
      <c r="B682" t="s">
        <v>137</v>
      </c>
      <c r="C682" t="s">
        <v>435</v>
      </c>
      <c r="D682" t="s">
        <v>1385</v>
      </c>
      <c r="E682" t="s">
        <v>1022</v>
      </c>
      <c r="F682" t="s">
        <v>69</v>
      </c>
      <c r="H682" t="s">
        <v>441</v>
      </c>
      <c r="I682" t="s">
        <v>442</v>
      </c>
      <c r="J682" t="s">
        <v>124</v>
      </c>
      <c r="K682" t="s">
        <v>909</v>
      </c>
      <c r="L682" t="s">
        <v>53</v>
      </c>
      <c r="M682" t="s">
        <v>1417</v>
      </c>
      <c r="Q682" t="s">
        <v>57</v>
      </c>
      <c r="Y682" t="s">
        <v>1412</v>
      </c>
      <c r="Z682">
        <v>8302</v>
      </c>
      <c r="AA682" t="s">
        <v>1409</v>
      </c>
      <c r="AE682">
        <v>900</v>
      </c>
      <c r="AF682" s="4">
        <v>0.5</v>
      </c>
      <c r="AG682">
        <f t="shared" si="69"/>
        <v>450</v>
      </c>
      <c r="AH682" s="4">
        <v>0.18</v>
      </c>
      <c r="AI682">
        <f t="shared" si="64"/>
        <v>531</v>
      </c>
      <c r="AJ682" s="4">
        <v>0.2</v>
      </c>
      <c r="AK682">
        <f t="shared" si="65"/>
        <v>106.2</v>
      </c>
      <c r="AL682">
        <f t="shared" si="66"/>
        <v>637.2</v>
      </c>
      <c r="AM682">
        <f t="shared" si="67"/>
        <v>262.8</v>
      </c>
      <c r="AN682" s="4">
        <f t="shared" si="68"/>
        <v>0.292</v>
      </c>
      <c r="AO682" t="s">
        <v>221</v>
      </c>
      <c r="AQ682" t="s">
        <v>217</v>
      </c>
      <c r="AS682" t="s">
        <v>1416</v>
      </c>
      <c r="AT682" t="s">
        <v>221</v>
      </c>
    </row>
    <row r="683" ht="15.75" customHeight="1" spans="1:46">
      <c r="A683" t="s">
        <v>1418</v>
      </c>
      <c r="B683" t="s">
        <v>46</v>
      </c>
      <c r="C683" t="s">
        <v>435</v>
      </c>
      <c r="D683" t="s">
        <v>1385</v>
      </c>
      <c r="E683" t="s">
        <v>1022</v>
      </c>
      <c r="F683" t="s">
        <v>1396</v>
      </c>
      <c r="H683" t="s">
        <v>441</v>
      </c>
      <c r="I683" t="s">
        <v>442</v>
      </c>
      <c r="J683" t="s">
        <v>124</v>
      </c>
      <c r="K683" t="s">
        <v>1366</v>
      </c>
      <c r="L683" t="s">
        <v>910</v>
      </c>
      <c r="M683" t="s">
        <v>1397</v>
      </c>
      <c r="Q683" t="s">
        <v>57</v>
      </c>
      <c r="Y683" t="s">
        <v>1419</v>
      </c>
      <c r="Z683">
        <v>8302</v>
      </c>
      <c r="AE683">
        <v>16</v>
      </c>
      <c r="AF683" s="4">
        <v>0.5</v>
      </c>
      <c r="AG683">
        <f t="shared" si="69"/>
        <v>8</v>
      </c>
      <c r="AH683" s="4">
        <v>0.18</v>
      </c>
      <c r="AI683">
        <f t="shared" si="64"/>
        <v>9.44</v>
      </c>
      <c r="AJ683" s="4">
        <v>0.2</v>
      </c>
      <c r="AK683">
        <f t="shared" si="65"/>
        <v>1.89</v>
      </c>
      <c r="AL683">
        <f t="shared" si="66"/>
        <v>11.33</v>
      </c>
      <c r="AM683">
        <f t="shared" si="67"/>
        <v>4.67</v>
      </c>
      <c r="AN683" s="4">
        <f t="shared" si="68"/>
        <v>0.291875</v>
      </c>
      <c r="AO683" t="s">
        <v>221</v>
      </c>
      <c r="AQ683" t="s">
        <v>217</v>
      </c>
      <c r="AT683" t="s">
        <v>221</v>
      </c>
    </row>
    <row r="684" ht="15.75" customHeight="1" spans="1:46">
      <c r="A684" t="s">
        <v>1420</v>
      </c>
      <c r="B684" t="s">
        <v>46</v>
      </c>
      <c r="C684" t="s">
        <v>435</v>
      </c>
      <c r="D684" t="s">
        <v>1385</v>
      </c>
      <c r="E684" t="s">
        <v>1022</v>
      </c>
      <c r="F684" t="s">
        <v>1401</v>
      </c>
      <c r="H684" t="s">
        <v>441</v>
      </c>
      <c r="I684" t="s">
        <v>442</v>
      </c>
      <c r="J684" t="s">
        <v>124</v>
      </c>
      <c r="K684" t="s">
        <v>1366</v>
      </c>
      <c r="L684" t="s">
        <v>910</v>
      </c>
      <c r="M684" t="s">
        <v>1397</v>
      </c>
      <c r="Q684" t="s">
        <v>57</v>
      </c>
      <c r="Y684" t="s">
        <v>1421</v>
      </c>
      <c r="Z684">
        <v>8302</v>
      </c>
      <c r="AE684">
        <v>18</v>
      </c>
      <c r="AF684" s="4">
        <v>0.5</v>
      </c>
      <c r="AG684">
        <f t="shared" si="69"/>
        <v>9</v>
      </c>
      <c r="AH684" s="4">
        <v>0.18</v>
      </c>
      <c r="AI684">
        <f t="shared" si="64"/>
        <v>10.62</v>
      </c>
      <c r="AJ684" s="4">
        <v>0.2</v>
      </c>
      <c r="AK684">
        <f t="shared" si="65"/>
        <v>2.12</v>
      </c>
      <c r="AL684">
        <f t="shared" si="66"/>
        <v>12.74</v>
      </c>
      <c r="AM684">
        <f t="shared" si="67"/>
        <v>5.26</v>
      </c>
      <c r="AN684" s="4">
        <f t="shared" si="68"/>
        <v>0.292222222222222</v>
      </c>
      <c r="AO684" t="s">
        <v>221</v>
      </c>
      <c r="AQ684" t="s">
        <v>217</v>
      </c>
      <c r="AT684" t="s">
        <v>221</v>
      </c>
    </row>
    <row r="685" ht="15.75" customHeight="1" spans="1:46">
      <c r="A685" t="s">
        <v>1422</v>
      </c>
      <c r="B685" t="s">
        <v>46</v>
      </c>
      <c r="C685" t="s">
        <v>435</v>
      </c>
      <c r="D685" t="s">
        <v>1385</v>
      </c>
      <c r="E685" t="s">
        <v>1022</v>
      </c>
      <c r="F685" t="s">
        <v>1390</v>
      </c>
      <c r="H685" t="s">
        <v>441</v>
      </c>
      <c r="I685" t="s">
        <v>1278</v>
      </c>
      <c r="L685" t="s">
        <v>910</v>
      </c>
      <c r="M685" t="s">
        <v>1394</v>
      </c>
      <c r="Q685" t="s">
        <v>57</v>
      </c>
      <c r="Y685" t="s">
        <v>1423</v>
      </c>
      <c r="Z685">
        <v>8302</v>
      </c>
      <c r="AE685">
        <v>2</v>
      </c>
      <c r="AF685" s="4">
        <v>0.5</v>
      </c>
      <c r="AG685">
        <f t="shared" si="69"/>
        <v>1</v>
      </c>
      <c r="AH685" s="4">
        <v>0.18</v>
      </c>
      <c r="AI685">
        <f t="shared" si="64"/>
        <v>1.18</v>
      </c>
      <c r="AJ685" s="4">
        <v>0.2</v>
      </c>
      <c r="AK685">
        <f t="shared" si="65"/>
        <v>0.24</v>
      </c>
      <c r="AL685">
        <f t="shared" si="66"/>
        <v>1.42</v>
      </c>
      <c r="AM685">
        <f t="shared" si="67"/>
        <v>0.58</v>
      </c>
      <c r="AN685" s="4">
        <f t="shared" si="68"/>
        <v>0.29</v>
      </c>
      <c r="AO685" t="s">
        <v>221</v>
      </c>
      <c r="AQ685" t="s">
        <v>217</v>
      </c>
      <c r="AT685" t="s">
        <v>221</v>
      </c>
    </row>
    <row r="686" ht="15.75" customHeight="1" spans="1:46">
      <c r="A686" t="s">
        <v>1424</v>
      </c>
      <c r="B686" t="s">
        <v>46</v>
      </c>
      <c r="C686" t="s">
        <v>435</v>
      </c>
      <c r="D686" t="s">
        <v>1385</v>
      </c>
      <c r="E686" t="s">
        <v>1022</v>
      </c>
      <c r="F686" t="s">
        <v>1425</v>
      </c>
      <c r="H686" t="s">
        <v>51</v>
      </c>
      <c r="I686" t="s">
        <v>1426</v>
      </c>
      <c r="J686" t="s">
        <v>53</v>
      </c>
      <c r="K686" t="s">
        <v>1427</v>
      </c>
      <c r="Q686" t="s">
        <v>57</v>
      </c>
      <c r="Y686" t="s">
        <v>1428</v>
      </c>
      <c r="Z686">
        <v>8302</v>
      </c>
      <c r="AE686">
        <v>15.5</v>
      </c>
      <c r="AF686" s="4">
        <v>0.5</v>
      </c>
      <c r="AG686">
        <f t="shared" si="69"/>
        <v>7.75</v>
      </c>
      <c r="AH686" s="4">
        <v>0.18</v>
      </c>
      <c r="AI686">
        <f t="shared" si="64"/>
        <v>9.15</v>
      </c>
      <c r="AJ686" s="4">
        <v>0.2</v>
      </c>
      <c r="AK686">
        <f t="shared" si="65"/>
        <v>1.83</v>
      </c>
      <c r="AL686">
        <f t="shared" si="66"/>
        <v>10.98</v>
      </c>
      <c r="AM686">
        <f t="shared" si="67"/>
        <v>4.52</v>
      </c>
      <c r="AN686" s="4">
        <f t="shared" si="68"/>
        <v>0.291612903225806</v>
      </c>
      <c r="AO686" t="s">
        <v>221</v>
      </c>
      <c r="AQ686" t="s">
        <v>217</v>
      </c>
      <c r="AT686" t="s">
        <v>221</v>
      </c>
    </row>
    <row r="687" ht="15.75" customHeight="1" spans="1:46">
      <c r="A687" t="s">
        <v>1424</v>
      </c>
      <c r="B687" t="s">
        <v>67</v>
      </c>
      <c r="C687" t="s">
        <v>435</v>
      </c>
      <c r="D687" t="s">
        <v>1385</v>
      </c>
      <c r="E687" t="s">
        <v>1022</v>
      </c>
      <c r="F687" t="s">
        <v>1425</v>
      </c>
      <c r="H687" t="s">
        <v>51</v>
      </c>
      <c r="I687" t="s">
        <v>1426</v>
      </c>
      <c r="J687" t="s">
        <v>53</v>
      </c>
      <c r="K687" t="s">
        <v>1429</v>
      </c>
      <c r="Q687" t="s">
        <v>57</v>
      </c>
      <c r="Y687" t="s">
        <v>1428</v>
      </c>
      <c r="Z687">
        <v>8302</v>
      </c>
      <c r="AE687">
        <v>24</v>
      </c>
      <c r="AF687" s="4">
        <v>0.5</v>
      </c>
      <c r="AG687">
        <f t="shared" si="69"/>
        <v>12</v>
      </c>
      <c r="AH687" s="4">
        <v>0.18</v>
      </c>
      <c r="AI687">
        <f t="shared" si="64"/>
        <v>14.16</v>
      </c>
      <c r="AJ687" s="4">
        <v>0.2</v>
      </c>
      <c r="AK687">
        <f t="shared" si="65"/>
        <v>2.83</v>
      </c>
      <c r="AL687">
        <f t="shared" si="66"/>
        <v>16.99</v>
      </c>
      <c r="AM687">
        <f t="shared" si="67"/>
        <v>7.01</v>
      </c>
      <c r="AN687" s="4">
        <f t="shared" si="68"/>
        <v>0.292083333333333</v>
      </c>
      <c r="AO687" t="s">
        <v>221</v>
      </c>
      <c r="AQ687" t="s">
        <v>217</v>
      </c>
      <c r="AT687" t="s">
        <v>221</v>
      </c>
    </row>
    <row r="688" ht="15.75" customHeight="1" spans="1:46">
      <c r="A688" t="s">
        <v>1424</v>
      </c>
      <c r="B688" t="s">
        <v>71</v>
      </c>
      <c r="C688" t="s">
        <v>435</v>
      </c>
      <c r="D688" t="s">
        <v>1385</v>
      </c>
      <c r="E688" t="s">
        <v>1022</v>
      </c>
      <c r="F688" t="s">
        <v>1425</v>
      </c>
      <c r="H688" t="s">
        <v>51</v>
      </c>
      <c r="I688" t="s">
        <v>1426</v>
      </c>
      <c r="J688" t="s">
        <v>53</v>
      </c>
      <c r="K688" t="s">
        <v>1430</v>
      </c>
      <c r="Q688" t="s">
        <v>57</v>
      </c>
      <c r="Y688" t="s">
        <v>1428</v>
      </c>
      <c r="Z688">
        <v>8302</v>
      </c>
      <c r="AE688">
        <v>26</v>
      </c>
      <c r="AF688" s="4">
        <v>0.5</v>
      </c>
      <c r="AG688">
        <f t="shared" si="69"/>
        <v>13</v>
      </c>
      <c r="AH688" s="4">
        <v>0.18</v>
      </c>
      <c r="AI688">
        <f t="shared" si="64"/>
        <v>15.34</v>
      </c>
      <c r="AJ688" s="4">
        <v>0.2</v>
      </c>
      <c r="AK688">
        <f t="shared" si="65"/>
        <v>3.07</v>
      </c>
      <c r="AL688">
        <f t="shared" si="66"/>
        <v>18.41</v>
      </c>
      <c r="AM688">
        <f t="shared" si="67"/>
        <v>7.59</v>
      </c>
      <c r="AN688" s="4">
        <f t="shared" si="68"/>
        <v>0.291923076923077</v>
      </c>
      <c r="AO688" t="s">
        <v>221</v>
      </c>
      <c r="AQ688" t="s">
        <v>217</v>
      </c>
      <c r="AT688" t="s">
        <v>221</v>
      </c>
    </row>
    <row r="689" ht="15.75" customHeight="1" spans="1:46">
      <c r="A689" t="s">
        <v>1424</v>
      </c>
      <c r="B689" t="s">
        <v>75</v>
      </c>
      <c r="C689" t="s">
        <v>435</v>
      </c>
      <c r="D689" t="s">
        <v>1385</v>
      </c>
      <c r="E689" t="s">
        <v>1022</v>
      </c>
      <c r="F689" t="s">
        <v>1425</v>
      </c>
      <c r="H689" t="s">
        <v>51</v>
      </c>
      <c r="I689" t="s">
        <v>1426</v>
      </c>
      <c r="J689" t="s">
        <v>53</v>
      </c>
      <c r="K689" t="s">
        <v>1431</v>
      </c>
      <c r="Q689" t="s">
        <v>57</v>
      </c>
      <c r="Y689" t="s">
        <v>1428</v>
      </c>
      <c r="Z689">
        <v>8302</v>
      </c>
      <c r="AE689">
        <v>32</v>
      </c>
      <c r="AF689" s="4">
        <v>0.5</v>
      </c>
      <c r="AG689">
        <f t="shared" si="69"/>
        <v>16</v>
      </c>
      <c r="AH689" s="4">
        <v>0.18</v>
      </c>
      <c r="AI689">
        <f t="shared" si="64"/>
        <v>18.88</v>
      </c>
      <c r="AJ689" s="4">
        <v>0.2</v>
      </c>
      <c r="AK689">
        <f t="shared" si="65"/>
        <v>3.78</v>
      </c>
      <c r="AL689">
        <f t="shared" si="66"/>
        <v>22.66</v>
      </c>
      <c r="AM689">
        <f t="shared" si="67"/>
        <v>9.34</v>
      </c>
      <c r="AN689" s="4">
        <f t="shared" si="68"/>
        <v>0.291875</v>
      </c>
      <c r="AO689" t="s">
        <v>221</v>
      </c>
      <c r="AQ689" t="s">
        <v>217</v>
      </c>
      <c r="AT689" t="s">
        <v>221</v>
      </c>
    </row>
    <row r="690" ht="15.75" customHeight="1" spans="1:46">
      <c r="A690" t="s">
        <v>1424</v>
      </c>
      <c r="B690" t="s">
        <v>79</v>
      </c>
      <c r="C690" t="s">
        <v>435</v>
      </c>
      <c r="D690" t="s">
        <v>1385</v>
      </c>
      <c r="E690" t="s">
        <v>1022</v>
      </c>
      <c r="F690" t="s">
        <v>1425</v>
      </c>
      <c r="H690" t="s">
        <v>51</v>
      </c>
      <c r="I690" t="s">
        <v>1426</v>
      </c>
      <c r="J690" t="s">
        <v>53</v>
      </c>
      <c r="K690" t="s">
        <v>1432</v>
      </c>
      <c r="Q690" t="s">
        <v>57</v>
      </c>
      <c r="Y690" t="s">
        <v>1428</v>
      </c>
      <c r="Z690">
        <v>8302</v>
      </c>
      <c r="AE690">
        <v>38</v>
      </c>
      <c r="AF690" s="4">
        <v>0.5</v>
      </c>
      <c r="AG690">
        <f t="shared" si="69"/>
        <v>19</v>
      </c>
      <c r="AH690" s="4">
        <v>0.18</v>
      </c>
      <c r="AI690">
        <f t="shared" si="64"/>
        <v>22.42</v>
      </c>
      <c r="AJ690" s="4">
        <v>0.2</v>
      </c>
      <c r="AK690">
        <f t="shared" si="65"/>
        <v>4.48</v>
      </c>
      <c r="AL690">
        <f t="shared" si="66"/>
        <v>26.9</v>
      </c>
      <c r="AM690">
        <f t="shared" si="67"/>
        <v>11.1</v>
      </c>
      <c r="AN690" s="4">
        <f t="shared" si="68"/>
        <v>0.292105263157895</v>
      </c>
      <c r="AO690" t="s">
        <v>221</v>
      </c>
      <c r="AQ690" t="s">
        <v>217</v>
      </c>
      <c r="AT690" t="s">
        <v>221</v>
      </c>
    </row>
    <row r="691" ht="15.75" customHeight="1" spans="1:46">
      <c r="A691" t="s">
        <v>1424</v>
      </c>
      <c r="B691" t="s">
        <v>83</v>
      </c>
      <c r="C691" t="s">
        <v>435</v>
      </c>
      <c r="D691" t="s">
        <v>1385</v>
      </c>
      <c r="E691" t="s">
        <v>1022</v>
      </c>
      <c r="F691" t="s">
        <v>1425</v>
      </c>
      <c r="H691" t="s">
        <v>51</v>
      </c>
      <c r="I691" t="s">
        <v>1048</v>
      </c>
      <c r="J691" t="s">
        <v>53</v>
      </c>
      <c r="K691" t="s">
        <v>1433</v>
      </c>
      <c r="Q691" t="s">
        <v>57</v>
      </c>
      <c r="Y691" t="s">
        <v>1434</v>
      </c>
      <c r="Z691">
        <v>8302</v>
      </c>
      <c r="AE691">
        <v>15</v>
      </c>
      <c r="AF691" s="4">
        <v>0.5</v>
      </c>
      <c r="AG691">
        <f t="shared" si="69"/>
        <v>7.5</v>
      </c>
      <c r="AH691" s="4">
        <v>0.18</v>
      </c>
      <c r="AI691">
        <f t="shared" si="64"/>
        <v>8.85</v>
      </c>
      <c r="AJ691" s="4">
        <v>0.2</v>
      </c>
      <c r="AK691">
        <f t="shared" si="65"/>
        <v>1.77</v>
      </c>
      <c r="AL691">
        <f t="shared" si="66"/>
        <v>10.62</v>
      </c>
      <c r="AM691">
        <f t="shared" si="67"/>
        <v>4.38</v>
      </c>
      <c r="AN691" s="4">
        <f t="shared" si="68"/>
        <v>0.292</v>
      </c>
      <c r="AO691" t="s">
        <v>221</v>
      </c>
      <c r="AQ691" t="s">
        <v>217</v>
      </c>
      <c r="AT691" t="s">
        <v>221</v>
      </c>
    </row>
    <row r="692" ht="15.75" customHeight="1" spans="1:46">
      <c r="A692" t="s">
        <v>1424</v>
      </c>
      <c r="B692" t="s">
        <v>131</v>
      </c>
      <c r="C692" t="s">
        <v>435</v>
      </c>
      <c r="D692" t="s">
        <v>1385</v>
      </c>
      <c r="E692" t="s">
        <v>1022</v>
      </c>
      <c r="F692" t="s">
        <v>1425</v>
      </c>
      <c r="H692" t="s">
        <v>51</v>
      </c>
      <c r="I692" t="s">
        <v>1048</v>
      </c>
      <c r="J692" t="s">
        <v>53</v>
      </c>
      <c r="K692" t="s">
        <v>1435</v>
      </c>
      <c r="Q692" t="s">
        <v>57</v>
      </c>
      <c r="Y692" t="s">
        <v>1434</v>
      </c>
      <c r="Z692">
        <v>8302</v>
      </c>
      <c r="AE692">
        <v>18</v>
      </c>
      <c r="AF692" s="4">
        <v>0.5</v>
      </c>
      <c r="AG692">
        <f t="shared" si="69"/>
        <v>9</v>
      </c>
      <c r="AH692" s="4">
        <v>0.18</v>
      </c>
      <c r="AI692">
        <f t="shared" si="64"/>
        <v>10.62</v>
      </c>
      <c r="AJ692" s="4">
        <v>0.2</v>
      </c>
      <c r="AK692">
        <f t="shared" si="65"/>
        <v>2.12</v>
      </c>
      <c r="AL692">
        <f t="shared" si="66"/>
        <v>12.74</v>
      </c>
      <c r="AM692">
        <f t="shared" si="67"/>
        <v>5.26</v>
      </c>
      <c r="AN692" s="4">
        <f t="shared" si="68"/>
        <v>0.292222222222222</v>
      </c>
      <c r="AO692" t="s">
        <v>221</v>
      </c>
      <c r="AQ692" t="s">
        <v>217</v>
      </c>
      <c r="AT692" t="s">
        <v>221</v>
      </c>
    </row>
    <row r="693" ht="15.75" customHeight="1" spans="1:46">
      <c r="A693" t="s">
        <v>1424</v>
      </c>
      <c r="B693" t="s">
        <v>133</v>
      </c>
      <c r="C693" t="s">
        <v>435</v>
      </c>
      <c r="D693" t="s">
        <v>1385</v>
      </c>
      <c r="E693" t="s">
        <v>1022</v>
      </c>
      <c r="F693" t="s">
        <v>1425</v>
      </c>
      <c r="H693" t="s">
        <v>51</v>
      </c>
      <c r="I693" t="s">
        <v>1048</v>
      </c>
      <c r="J693" t="s">
        <v>53</v>
      </c>
      <c r="K693" t="s">
        <v>1436</v>
      </c>
      <c r="Q693" t="s">
        <v>57</v>
      </c>
      <c r="Y693" t="s">
        <v>1434</v>
      </c>
      <c r="Z693">
        <v>8302</v>
      </c>
      <c r="AE693">
        <v>19</v>
      </c>
      <c r="AF693" s="4">
        <v>0.5</v>
      </c>
      <c r="AG693">
        <f t="shared" si="69"/>
        <v>9.5</v>
      </c>
      <c r="AH693" s="4">
        <v>0.18</v>
      </c>
      <c r="AI693">
        <f t="shared" si="64"/>
        <v>11.21</v>
      </c>
      <c r="AJ693" s="4">
        <v>0.2</v>
      </c>
      <c r="AK693">
        <f t="shared" si="65"/>
        <v>2.24</v>
      </c>
      <c r="AL693">
        <f t="shared" si="66"/>
        <v>13.45</v>
      </c>
      <c r="AM693">
        <f t="shared" si="67"/>
        <v>5.55</v>
      </c>
      <c r="AN693" s="4">
        <f t="shared" si="68"/>
        <v>0.292105263157895</v>
      </c>
      <c r="AO693" t="s">
        <v>221</v>
      </c>
      <c r="AQ693" t="s">
        <v>217</v>
      </c>
      <c r="AT693" t="s">
        <v>221</v>
      </c>
    </row>
    <row r="694" ht="15.75" customHeight="1" spans="1:46">
      <c r="A694" t="s">
        <v>1424</v>
      </c>
      <c r="B694" t="s">
        <v>135</v>
      </c>
      <c r="C694" t="s">
        <v>435</v>
      </c>
      <c r="D694" t="s">
        <v>1385</v>
      </c>
      <c r="E694" t="s">
        <v>1022</v>
      </c>
      <c r="F694" t="s">
        <v>1425</v>
      </c>
      <c r="H694" t="s">
        <v>51</v>
      </c>
      <c r="I694" t="s">
        <v>1437</v>
      </c>
      <c r="J694" t="s">
        <v>53</v>
      </c>
      <c r="K694" t="s">
        <v>1438</v>
      </c>
      <c r="Q694" t="s">
        <v>57</v>
      </c>
      <c r="Y694" t="s">
        <v>1439</v>
      </c>
      <c r="Z694">
        <v>8302</v>
      </c>
      <c r="AE694">
        <v>14</v>
      </c>
      <c r="AF694" s="4">
        <v>0.5</v>
      </c>
      <c r="AG694">
        <f t="shared" si="69"/>
        <v>7</v>
      </c>
      <c r="AH694" s="4">
        <v>0.18</v>
      </c>
      <c r="AI694">
        <f t="shared" si="64"/>
        <v>8.26</v>
      </c>
      <c r="AJ694" s="4">
        <v>0.2</v>
      </c>
      <c r="AK694">
        <f t="shared" si="65"/>
        <v>1.65</v>
      </c>
      <c r="AL694">
        <f t="shared" si="66"/>
        <v>9.91</v>
      </c>
      <c r="AM694">
        <f t="shared" si="67"/>
        <v>4.09</v>
      </c>
      <c r="AN694" s="4">
        <f t="shared" si="68"/>
        <v>0.292142857142857</v>
      </c>
      <c r="AO694" t="s">
        <v>221</v>
      </c>
      <c r="AQ694" t="s">
        <v>217</v>
      </c>
      <c r="AT694" t="s">
        <v>221</v>
      </c>
    </row>
    <row r="695" ht="15.75" customHeight="1" spans="1:46">
      <c r="A695" t="s">
        <v>1424</v>
      </c>
      <c r="B695" t="s">
        <v>137</v>
      </c>
      <c r="C695" t="s">
        <v>435</v>
      </c>
      <c r="D695" t="s">
        <v>1385</v>
      </c>
      <c r="E695" t="s">
        <v>1022</v>
      </c>
      <c r="F695" t="s">
        <v>1425</v>
      </c>
      <c r="H695" t="s">
        <v>51</v>
      </c>
      <c r="I695" t="s">
        <v>1437</v>
      </c>
      <c r="J695" t="s">
        <v>53</v>
      </c>
      <c r="K695" t="s">
        <v>1387</v>
      </c>
      <c r="Q695" t="s">
        <v>57</v>
      </c>
      <c r="Y695" t="s">
        <v>1439</v>
      </c>
      <c r="Z695">
        <v>8302</v>
      </c>
      <c r="AE695">
        <v>16</v>
      </c>
      <c r="AF695" s="4">
        <v>0.5</v>
      </c>
      <c r="AG695">
        <f t="shared" si="69"/>
        <v>8</v>
      </c>
      <c r="AH695" s="4">
        <v>0.18</v>
      </c>
      <c r="AI695">
        <f t="shared" si="64"/>
        <v>9.44</v>
      </c>
      <c r="AJ695" s="4">
        <v>0.2</v>
      </c>
      <c r="AK695">
        <f t="shared" si="65"/>
        <v>1.89</v>
      </c>
      <c r="AL695">
        <f t="shared" si="66"/>
        <v>11.33</v>
      </c>
      <c r="AM695">
        <f t="shared" si="67"/>
        <v>4.67</v>
      </c>
      <c r="AN695" s="4">
        <f t="shared" si="68"/>
        <v>0.291875</v>
      </c>
      <c r="AO695" t="s">
        <v>221</v>
      </c>
      <c r="AQ695" t="s">
        <v>217</v>
      </c>
      <c r="AT695" t="s">
        <v>221</v>
      </c>
    </row>
    <row r="696" ht="15.75" customHeight="1" spans="1:46">
      <c r="A696" t="s">
        <v>1424</v>
      </c>
      <c r="B696" t="s">
        <v>138</v>
      </c>
      <c r="C696" t="s">
        <v>435</v>
      </c>
      <c r="D696" t="s">
        <v>1385</v>
      </c>
      <c r="E696" t="s">
        <v>1022</v>
      </c>
      <c r="F696" t="s">
        <v>1425</v>
      </c>
      <c r="H696" t="s">
        <v>51</v>
      </c>
      <c r="I696" t="s">
        <v>1437</v>
      </c>
      <c r="J696" t="s">
        <v>53</v>
      </c>
      <c r="K696" t="s">
        <v>1427</v>
      </c>
      <c r="Q696" t="s">
        <v>57</v>
      </c>
      <c r="Y696" t="s">
        <v>1439</v>
      </c>
      <c r="Z696">
        <v>8302</v>
      </c>
      <c r="AE696">
        <v>21</v>
      </c>
      <c r="AF696" s="4">
        <v>0.5</v>
      </c>
      <c r="AG696">
        <f t="shared" si="69"/>
        <v>10.5</v>
      </c>
      <c r="AH696" s="4">
        <v>0.18</v>
      </c>
      <c r="AI696">
        <f t="shared" si="64"/>
        <v>12.39</v>
      </c>
      <c r="AJ696" s="4">
        <v>0.2</v>
      </c>
      <c r="AK696">
        <f t="shared" si="65"/>
        <v>2.48</v>
      </c>
      <c r="AL696">
        <f t="shared" si="66"/>
        <v>14.87</v>
      </c>
      <c r="AM696">
        <f t="shared" si="67"/>
        <v>6.13</v>
      </c>
      <c r="AN696" s="4">
        <f t="shared" si="68"/>
        <v>0.291904761904762</v>
      </c>
      <c r="AO696" t="s">
        <v>221</v>
      </c>
      <c r="AQ696" t="s">
        <v>217</v>
      </c>
      <c r="AT696" t="s">
        <v>221</v>
      </c>
    </row>
    <row r="697" ht="15.75" customHeight="1" spans="1:46">
      <c r="A697" t="s">
        <v>1424</v>
      </c>
      <c r="B697" t="s">
        <v>140</v>
      </c>
      <c r="C697" t="s">
        <v>435</v>
      </c>
      <c r="D697" t="s">
        <v>1385</v>
      </c>
      <c r="E697" t="s">
        <v>1022</v>
      </c>
      <c r="F697" t="s">
        <v>1425</v>
      </c>
      <c r="H697" t="s">
        <v>51</v>
      </c>
      <c r="I697" t="s">
        <v>1437</v>
      </c>
      <c r="J697" t="s">
        <v>53</v>
      </c>
      <c r="K697" t="s">
        <v>1440</v>
      </c>
      <c r="Q697" t="s">
        <v>57</v>
      </c>
      <c r="Y697" t="s">
        <v>1439</v>
      </c>
      <c r="Z697">
        <v>8302</v>
      </c>
      <c r="AE697">
        <v>33</v>
      </c>
      <c r="AF697" s="4">
        <v>0.5</v>
      </c>
      <c r="AG697">
        <f t="shared" si="69"/>
        <v>16.5</v>
      </c>
      <c r="AH697" s="4">
        <v>0.18</v>
      </c>
      <c r="AI697">
        <f t="shared" si="64"/>
        <v>19.47</v>
      </c>
      <c r="AJ697" s="4">
        <v>0.2</v>
      </c>
      <c r="AK697">
        <f t="shared" si="65"/>
        <v>3.89</v>
      </c>
      <c r="AL697">
        <f t="shared" si="66"/>
        <v>23.36</v>
      </c>
      <c r="AM697">
        <f t="shared" si="67"/>
        <v>9.64</v>
      </c>
      <c r="AN697" s="4">
        <f t="shared" si="68"/>
        <v>0.292121212121212</v>
      </c>
      <c r="AO697" t="s">
        <v>221</v>
      </c>
      <c r="AQ697" t="s">
        <v>217</v>
      </c>
      <c r="AT697" t="s">
        <v>221</v>
      </c>
    </row>
    <row r="698" ht="15.75" customHeight="1" spans="1:46">
      <c r="A698" t="s">
        <v>1424</v>
      </c>
      <c r="B698" t="s">
        <v>202</v>
      </c>
      <c r="C698" t="s">
        <v>435</v>
      </c>
      <c r="D698" t="s">
        <v>1385</v>
      </c>
      <c r="E698" t="s">
        <v>1022</v>
      </c>
      <c r="F698" t="s">
        <v>1425</v>
      </c>
      <c r="H698" t="s">
        <v>51</v>
      </c>
      <c r="I698" t="s">
        <v>1437</v>
      </c>
      <c r="J698" t="s">
        <v>53</v>
      </c>
      <c r="K698" t="s">
        <v>1441</v>
      </c>
      <c r="Q698" t="s">
        <v>57</v>
      </c>
      <c r="Y698" t="s">
        <v>1439</v>
      </c>
      <c r="Z698">
        <v>8302</v>
      </c>
      <c r="AE698">
        <v>33</v>
      </c>
      <c r="AF698" s="4">
        <v>0.5</v>
      </c>
      <c r="AG698">
        <f t="shared" si="69"/>
        <v>16.5</v>
      </c>
      <c r="AH698" s="4">
        <v>0.18</v>
      </c>
      <c r="AI698">
        <f t="shared" si="64"/>
        <v>19.47</v>
      </c>
      <c r="AJ698" s="4">
        <v>0.2</v>
      </c>
      <c r="AK698">
        <f t="shared" si="65"/>
        <v>3.89</v>
      </c>
      <c r="AL698">
        <f t="shared" si="66"/>
        <v>23.36</v>
      </c>
      <c r="AM698">
        <f t="shared" si="67"/>
        <v>9.64</v>
      </c>
      <c r="AN698" s="4">
        <f t="shared" si="68"/>
        <v>0.292121212121212</v>
      </c>
      <c r="AO698" t="s">
        <v>221</v>
      </c>
      <c r="AQ698" t="s">
        <v>217</v>
      </c>
      <c r="AT698" t="s">
        <v>221</v>
      </c>
    </row>
    <row r="699" ht="15.75" customHeight="1" spans="1:46">
      <c r="A699" t="s">
        <v>1424</v>
      </c>
      <c r="B699" t="s">
        <v>203</v>
      </c>
      <c r="C699" t="s">
        <v>435</v>
      </c>
      <c r="D699" t="s">
        <v>1385</v>
      </c>
      <c r="E699" t="s">
        <v>1022</v>
      </c>
      <c r="F699" t="s">
        <v>1425</v>
      </c>
      <c r="H699" t="s">
        <v>51</v>
      </c>
      <c r="I699" t="s">
        <v>1437</v>
      </c>
      <c r="J699" t="s">
        <v>53</v>
      </c>
      <c r="K699" t="s">
        <v>1442</v>
      </c>
      <c r="Q699" t="s">
        <v>57</v>
      </c>
      <c r="Y699" t="s">
        <v>1439</v>
      </c>
      <c r="Z699">
        <v>8302</v>
      </c>
      <c r="AE699">
        <v>42</v>
      </c>
      <c r="AF699" s="4">
        <v>0.5</v>
      </c>
      <c r="AG699">
        <f t="shared" si="69"/>
        <v>21</v>
      </c>
      <c r="AH699" s="4">
        <v>0.18</v>
      </c>
      <c r="AI699">
        <f t="shared" si="64"/>
        <v>24.78</v>
      </c>
      <c r="AJ699" s="4">
        <v>0.2</v>
      </c>
      <c r="AK699">
        <f t="shared" si="65"/>
        <v>4.96</v>
      </c>
      <c r="AL699">
        <f t="shared" si="66"/>
        <v>29.74</v>
      </c>
      <c r="AM699">
        <f t="shared" si="67"/>
        <v>12.26</v>
      </c>
      <c r="AN699" s="4">
        <f t="shared" si="68"/>
        <v>0.291904761904762</v>
      </c>
      <c r="AO699" t="s">
        <v>221</v>
      </c>
      <c r="AQ699" t="s">
        <v>217</v>
      </c>
      <c r="AT699" t="s">
        <v>221</v>
      </c>
    </row>
    <row r="700" ht="15.75" customHeight="1" spans="1:46">
      <c r="A700" t="s">
        <v>1443</v>
      </c>
      <c r="B700" t="s">
        <v>46</v>
      </c>
      <c r="C700" t="s">
        <v>1444</v>
      </c>
      <c r="D700" t="s">
        <v>1445</v>
      </c>
      <c r="E700" t="s">
        <v>1446</v>
      </c>
      <c r="F700" t="s">
        <v>1445</v>
      </c>
      <c r="H700" t="s">
        <v>1447</v>
      </c>
      <c r="I700" t="s">
        <v>777</v>
      </c>
      <c r="Q700" t="s">
        <v>57</v>
      </c>
      <c r="Y700" t="s">
        <v>1448</v>
      </c>
      <c r="Z700">
        <v>2520</v>
      </c>
      <c r="AF700" s="4"/>
      <c r="AG700">
        <v>220</v>
      </c>
      <c r="AH700" s="4">
        <v>0.05</v>
      </c>
      <c r="AI700">
        <f t="shared" si="64"/>
        <v>231</v>
      </c>
      <c r="AJ700" s="4">
        <v>0.115</v>
      </c>
      <c r="AK700">
        <f t="shared" si="65"/>
        <v>26.57</v>
      </c>
      <c r="AL700">
        <f t="shared" si="66"/>
        <v>257.57</v>
      </c>
      <c r="AM700">
        <f t="shared" si="67"/>
        <v>-257.57</v>
      </c>
      <c r="AN700" s="4" t="e">
        <f t="shared" si="68"/>
        <v>#DIV/0!</v>
      </c>
      <c r="AO700" t="s">
        <v>221</v>
      </c>
      <c r="AQ700" t="s">
        <v>217</v>
      </c>
      <c r="AR700" t="s">
        <v>176</v>
      </c>
    </row>
    <row r="701" ht="15.75" customHeight="1" spans="1:46">
      <c r="A701" t="s">
        <v>1443</v>
      </c>
      <c r="B701" t="s">
        <v>67</v>
      </c>
      <c r="C701" t="s">
        <v>1444</v>
      </c>
      <c r="D701" t="s">
        <v>1445</v>
      </c>
      <c r="E701" t="s">
        <v>1446</v>
      </c>
      <c r="F701" t="s">
        <v>1445</v>
      </c>
      <c r="H701" t="s">
        <v>1447</v>
      </c>
      <c r="I701" t="s">
        <v>719</v>
      </c>
      <c r="Q701" t="s">
        <v>57</v>
      </c>
      <c r="Y701" t="s">
        <v>1448</v>
      </c>
      <c r="Z701">
        <v>2520</v>
      </c>
      <c r="AF701" s="4"/>
      <c r="AG701">
        <v>320</v>
      </c>
      <c r="AH701" s="4">
        <v>0.05</v>
      </c>
      <c r="AI701">
        <f t="shared" si="64"/>
        <v>336</v>
      </c>
      <c r="AJ701" s="4">
        <v>0.115</v>
      </c>
      <c r="AK701">
        <f t="shared" si="65"/>
        <v>38.64</v>
      </c>
      <c r="AL701">
        <f t="shared" si="66"/>
        <v>374.64</v>
      </c>
      <c r="AM701">
        <f t="shared" si="67"/>
        <v>-374.64</v>
      </c>
      <c r="AN701" s="4" t="e">
        <f t="shared" si="68"/>
        <v>#DIV/0!</v>
      </c>
      <c r="AO701" t="s">
        <v>221</v>
      </c>
      <c r="AQ701" t="s">
        <v>217</v>
      </c>
      <c r="AR701" t="s">
        <v>176</v>
      </c>
    </row>
    <row r="702" ht="15.75" customHeight="1" spans="1:46">
      <c r="A702" t="s">
        <v>1449</v>
      </c>
      <c r="B702" t="s">
        <v>46</v>
      </c>
      <c r="C702" t="s">
        <v>1444</v>
      </c>
      <c r="D702" t="s">
        <v>1445</v>
      </c>
      <c r="E702" t="s">
        <v>1450</v>
      </c>
      <c r="F702" t="s">
        <v>1445</v>
      </c>
      <c r="H702" t="s">
        <v>1447</v>
      </c>
      <c r="I702" t="s">
        <v>777</v>
      </c>
      <c r="Q702" t="s">
        <v>57</v>
      </c>
      <c r="Y702" t="s">
        <v>1451</v>
      </c>
      <c r="Z702">
        <v>2520</v>
      </c>
      <c r="AF702" s="4"/>
      <c r="AG702">
        <v>206</v>
      </c>
      <c r="AH702" s="4">
        <v>0.05</v>
      </c>
      <c r="AI702">
        <f t="shared" si="64"/>
        <v>216.3</v>
      </c>
      <c r="AJ702" s="4">
        <v>0.115</v>
      </c>
      <c r="AK702">
        <f t="shared" si="65"/>
        <v>24.87</v>
      </c>
      <c r="AL702">
        <f t="shared" si="66"/>
        <v>241.17</v>
      </c>
      <c r="AM702">
        <f t="shared" si="67"/>
        <v>-241.17</v>
      </c>
      <c r="AN702" s="4" t="e">
        <f t="shared" si="68"/>
        <v>#DIV/0!</v>
      </c>
      <c r="AO702" t="s">
        <v>221</v>
      </c>
      <c r="AQ702" t="s">
        <v>217</v>
      </c>
    </row>
    <row r="703" ht="15.75" customHeight="1" spans="1:46">
      <c r="A703" t="s">
        <v>1449</v>
      </c>
      <c r="B703" t="s">
        <v>67</v>
      </c>
      <c r="C703" t="s">
        <v>1444</v>
      </c>
      <c r="D703" t="s">
        <v>1445</v>
      </c>
      <c r="E703" t="s">
        <v>1450</v>
      </c>
      <c r="F703" t="s">
        <v>1445</v>
      </c>
      <c r="H703" t="s">
        <v>1447</v>
      </c>
      <c r="I703" t="s">
        <v>719</v>
      </c>
      <c r="Q703" t="s">
        <v>57</v>
      </c>
      <c r="Y703" t="s">
        <v>1451</v>
      </c>
      <c r="Z703">
        <v>2520</v>
      </c>
      <c r="AF703" s="4"/>
      <c r="AG703">
        <v>298</v>
      </c>
      <c r="AH703" s="4">
        <v>0.05</v>
      </c>
      <c r="AI703">
        <f t="shared" si="64"/>
        <v>312.9</v>
      </c>
      <c r="AJ703" s="4">
        <v>0.115</v>
      </c>
      <c r="AK703">
        <f t="shared" si="65"/>
        <v>35.98</v>
      </c>
      <c r="AL703">
        <f t="shared" si="66"/>
        <v>348.88</v>
      </c>
      <c r="AM703">
        <f t="shared" si="67"/>
        <v>-348.88</v>
      </c>
      <c r="AN703" s="4" t="e">
        <f t="shared" si="68"/>
        <v>#DIV/0!</v>
      </c>
      <c r="AO703" t="s">
        <v>221</v>
      </c>
      <c r="AQ703" t="s">
        <v>217</v>
      </c>
    </row>
    <row r="704" ht="15.75" customHeight="1" spans="1:46">
      <c r="A704" t="s">
        <v>1452</v>
      </c>
      <c r="B704" t="s">
        <v>46</v>
      </c>
      <c r="C704" t="s">
        <v>1444</v>
      </c>
      <c r="D704" t="s">
        <v>1445</v>
      </c>
      <c r="E704" t="s">
        <v>1453</v>
      </c>
      <c r="F704" t="s">
        <v>1445</v>
      </c>
      <c r="H704" t="s">
        <v>1447</v>
      </c>
      <c r="I704" t="s">
        <v>777</v>
      </c>
      <c r="Q704" t="s">
        <v>57</v>
      </c>
      <c r="Y704" t="s">
        <v>1454</v>
      </c>
      <c r="Z704">
        <v>2520</v>
      </c>
      <c r="AF704" s="4"/>
      <c r="AG704">
        <v>200</v>
      </c>
      <c r="AH704" s="4">
        <v>0.05</v>
      </c>
      <c r="AI704">
        <f t="shared" si="64"/>
        <v>210</v>
      </c>
      <c r="AJ704" s="4">
        <v>0.115</v>
      </c>
      <c r="AK704">
        <f t="shared" si="65"/>
        <v>24.15</v>
      </c>
      <c r="AL704">
        <f t="shared" si="66"/>
        <v>234.15</v>
      </c>
      <c r="AM704">
        <f t="shared" si="67"/>
        <v>-234.15</v>
      </c>
      <c r="AN704" s="4" t="e">
        <f t="shared" si="68"/>
        <v>#DIV/0!</v>
      </c>
      <c r="AO704" t="s">
        <v>221</v>
      </c>
      <c r="AQ704" t="s">
        <v>217</v>
      </c>
    </row>
    <row r="705" ht="15.75" customHeight="1" spans="1:43">
      <c r="A705" t="s">
        <v>1452</v>
      </c>
      <c r="B705" t="s">
        <v>67</v>
      </c>
      <c r="C705" t="s">
        <v>1444</v>
      </c>
      <c r="D705" t="s">
        <v>1445</v>
      </c>
      <c r="E705" t="s">
        <v>1453</v>
      </c>
      <c r="F705" t="s">
        <v>1445</v>
      </c>
      <c r="H705" t="s">
        <v>1447</v>
      </c>
      <c r="I705" t="s">
        <v>719</v>
      </c>
      <c r="Q705" t="s">
        <v>57</v>
      </c>
      <c r="Y705" t="s">
        <v>1455</v>
      </c>
      <c r="Z705">
        <v>2520</v>
      </c>
      <c r="AF705" s="4"/>
      <c r="AG705">
        <v>300</v>
      </c>
      <c r="AH705" s="4">
        <v>0.05</v>
      </c>
      <c r="AI705">
        <f t="shared" si="64"/>
        <v>315</v>
      </c>
      <c r="AJ705" s="4">
        <v>0.115</v>
      </c>
      <c r="AK705">
        <f t="shared" si="65"/>
        <v>36.23</v>
      </c>
      <c r="AL705">
        <f t="shared" si="66"/>
        <v>351.23</v>
      </c>
      <c r="AM705">
        <f t="shared" si="67"/>
        <v>-351.23</v>
      </c>
      <c r="AN705" s="4" t="e">
        <f t="shared" si="68"/>
        <v>#DIV/0!</v>
      </c>
      <c r="AO705" t="s">
        <v>221</v>
      </c>
      <c r="AQ705" t="s">
        <v>217</v>
      </c>
    </row>
    <row r="706" ht="15.75" customHeight="1" spans="1:43">
      <c r="A706" t="s">
        <v>1456</v>
      </c>
      <c r="B706" t="s">
        <v>46</v>
      </c>
      <c r="C706" t="s">
        <v>1444</v>
      </c>
      <c r="D706" t="s">
        <v>1457</v>
      </c>
      <c r="E706" t="s">
        <v>1446</v>
      </c>
      <c r="F706" t="s">
        <v>1458</v>
      </c>
      <c r="H706" t="s">
        <v>910</v>
      </c>
      <c r="I706" t="s">
        <v>1459</v>
      </c>
      <c r="J706" t="s">
        <v>55</v>
      </c>
      <c r="K706" t="s">
        <v>1460</v>
      </c>
      <c r="Q706" t="s">
        <v>57</v>
      </c>
      <c r="Y706" t="s">
        <v>1461</v>
      </c>
      <c r="Z706">
        <v>6809</v>
      </c>
      <c r="AF706" s="4"/>
      <c r="AG706">
        <v>333.45</v>
      </c>
      <c r="AH706" s="4">
        <v>0.05</v>
      </c>
      <c r="AI706">
        <f t="shared" ref="AI706:AI769" si="70">ROUND(AG706+(AG706*AH706),2)</f>
        <v>350.12</v>
      </c>
      <c r="AJ706" s="4">
        <v>0.115</v>
      </c>
      <c r="AK706">
        <f t="shared" ref="AK706:AK769" si="71">ROUND(AI706*AJ706,2)</f>
        <v>40.26</v>
      </c>
      <c r="AL706">
        <f t="shared" ref="AL706:AL769" si="72">AI706+AK706</f>
        <v>390.38</v>
      </c>
      <c r="AM706">
        <f t="shared" ref="AM706:AM769" si="73">AE706-AL706</f>
        <v>-390.38</v>
      </c>
      <c r="AN706" s="4" t="e">
        <f t="shared" ref="AN706:AN769" si="74">AM706/AE706</f>
        <v>#DIV/0!</v>
      </c>
      <c r="AO706" t="s">
        <v>64</v>
      </c>
      <c r="AQ706" t="s">
        <v>65</v>
      </c>
    </row>
    <row r="707" ht="15.75" customHeight="1" spans="1:43">
      <c r="A707" t="s">
        <v>1462</v>
      </c>
      <c r="B707" t="s">
        <v>46</v>
      </c>
      <c r="C707" t="s">
        <v>1444</v>
      </c>
      <c r="D707" t="s">
        <v>1457</v>
      </c>
      <c r="E707" t="s">
        <v>1463</v>
      </c>
      <c r="F707" t="s">
        <v>1464</v>
      </c>
      <c r="H707" t="s">
        <v>910</v>
      </c>
      <c r="I707" t="s">
        <v>1459</v>
      </c>
      <c r="J707" t="s">
        <v>55</v>
      </c>
      <c r="K707" t="s">
        <v>1460</v>
      </c>
      <c r="Q707" t="s">
        <v>57</v>
      </c>
      <c r="Y707" t="s">
        <v>1465</v>
      </c>
      <c r="Z707">
        <v>6809</v>
      </c>
      <c r="AF707" s="4"/>
      <c r="AG707">
        <v>333.45</v>
      </c>
      <c r="AH707" s="4">
        <v>0.05</v>
      </c>
      <c r="AI707">
        <f t="shared" si="70"/>
        <v>350.12</v>
      </c>
      <c r="AJ707" s="4">
        <v>0.115</v>
      </c>
      <c r="AK707">
        <f t="shared" si="71"/>
        <v>40.26</v>
      </c>
      <c r="AL707">
        <f t="shared" si="72"/>
        <v>390.38</v>
      </c>
      <c r="AM707">
        <f t="shared" si="73"/>
        <v>-390.38</v>
      </c>
      <c r="AN707" s="4" t="e">
        <f t="shared" si="74"/>
        <v>#DIV/0!</v>
      </c>
      <c r="AO707" t="s">
        <v>64</v>
      </c>
      <c r="AQ707" t="s">
        <v>65</v>
      </c>
    </row>
    <row r="708" ht="15.75" customHeight="1" spans="1:43">
      <c r="A708" t="s">
        <v>1466</v>
      </c>
      <c r="B708" t="s">
        <v>46</v>
      </c>
      <c r="C708" t="s">
        <v>1444</v>
      </c>
      <c r="D708" t="s">
        <v>1467</v>
      </c>
      <c r="E708" t="s">
        <v>1453</v>
      </c>
      <c r="F708" t="s">
        <v>1467</v>
      </c>
      <c r="H708" t="s">
        <v>55</v>
      </c>
      <c r="I708" t="s">
        <v>68</v>
      </c>
      <c r="Q708" t="s">
        <v>57</v>
      </c>
      <c r="Y708" t="s">
        <v>1468</v>
      </c>
      <c r="Z708">
        <v>7318</v>
      </c>
      <c r="AA708" t="s">
        <v>1469</v>
      </c>
      <c r="AC708">
        <v>100</v>
      </c>
      <c r="AD708">
        <v>8.99</v>
      </c>
      <c r="AE708">
        <v>899</v>
      </c>
      <c r="AF708" s="4">
        <v>0.58</v>
      </c>
      <c r="AG708">
        <f t="shared" ref="AG708:AG771" si="75">ROUND(AE708-(AE708*AF708),2)</f>
        <v>377.58</v>
      </c>
      <c r="AH708" s="4">
        <v>0.18</v>
      </c>
      <c r="AI708">
        <f t="shared" si="70"/>
        <v>445.54</v>
      </c>
      <c r="AJ708" s="4">
        <v>0.2</v>
      </c>
      <c r="AK708">
        <f t="shared" si="71"/>
        <v>89.11</v>
      </c>
      <c r="AL708">
        <f t="shared" si="72"/>
        <v>534.65</v>
      </c>
      <c r="AM708">
        <f t="shared" si="73"/>
        <v>364.35</v>
      </c>
      <c r="AN708" s="4">
        <f t="shared" si="74"/>
        <v>0.405283648498331</v>
      </c>
      <c r="AO708" t="s">
        <v>221</v>
      </c>
      <c r="AQ708" t="s">
        <v>217</v>
      </c>
    </row>
    <row r="709" ht="15.75" customHeight="1" spans="1:43">
      <c r="A709" t="s">
        <v>1466</v>
      </c>
      <c r="B709" t="s">
        <v>67</v>
      </c>
      <c r="C709" t="s">
        <v>1444</v>
      </c>
      <c r="D709" t="s">
        <v>1467</v>
      </c>
      <c r="E709" t="s">
        <v>1453</v>
      </c>
      <c r="F709" t="s">
        <v>1467</v>
      </c>
      <c r="H709" t="s">
        <v>55</v>
      </c>
      <c r="I709" t="s">
        <v>90</v>
      </c>
      <c r="Q709" t="s">
        <v>57</v>
      </c>
      <c r="Y709" t="s">
        <v>1468</v>
      </c>
      <c r="Z709">
        <v>7318</v>
      </c>
      <c r="AE709">
        <v>899</v>
      </c>
      <c r="AF709" s="4">
        <v>0.37</v>
      </c>
      <c r="AG709">
        <f t="shared" si="75"/>
        <v>566.37</v>
      </c>
      <c r="AH709" s="4">
        <v>0.18</v>
      </c>
      <c r="AI709">
        <f t="shared" si="70"/>
        <v>668.32</v>
      </c>
      <c r="AJ709" s="4">
        <v>0.2</v>
      </c>
      <c r="AK709">
        <f t="shared" si="71"/>
        <v>133.66</v>
      </c>
      <c r="AL709">
        <f t="shared" si="72"/>
        <v>801.98</v>
      </c>
      <c r="AM709">
        <f t="shared" si="73"/>
        <v>97.02</v>
      </c>
      <c r="AN709" s="4">
        <f t="shared" si="74"/>
        <v>0.107919911012236</v>
      </c>
      <c r="AO709" t="s">
        <v>221</v>
      </c>
      <c r="AQ709" t="s">
        <v>217</v>
      </c>
    </row>
    <row r="710" ht="15.75" customHeight="1" spans="1:43">
      <c r="A710" t="s">
        <v>1466</v>
      </c>
      <c r="B710" t="s">
        <v>71</v>
      </c>
      <c r="C710" t="s">
        <v>1444</v>
      </c>
      <c r="D710" t="s">
        <v>1467</v>
      </c>
      <c r="E710" t="s">
        <v>1453</v>
      </c>
      <c r="F710" t="s">
        <v>1467</v>
      </c>
      <c r="H710" t="s">
        <v>55</v>
      </c>
      <c r="I710" t="s">
        <v>1470</v>
      </c>
      <c r="Q710" t="s">
        <v>57</v>
      </c>
      <c r="Y710" t="s">
        <v>1468</v>
      </c>
      <c r="Z710">
        <v>7318</v>
      </c>
      <c r="AE710">
        <v>899</v>
      </c>
      <c r="AF710" s="4">
        <v>0.37</v>
      </c>
      <c r="AG710">
        <f t="shared" si="75"/>
        <v>566.37</v>
      </c>
      <c r="AH710" s="4">
        <v>0.18</v>
      </c>
      <c r="AI710">
        <f t="shared" si="70"/>
        <v>668.32</v>
      </c>
      <c r="AJ710" s="4">
        <v>0.2</v>
      </c>
      <c r="AK710">
        <f t="shared" si="71"/>
        <v>133.66</v>
      </c>
      <c r="AL710">
        <f t="shared" si="72"/>
        <v>801.98</v>
      </c>
      <c r="AM710">
        <f t="shared" si="73"/>
        <v>97.02</v>
      </c>
      <c r="AN710" s="4">
        <f t="shared" si="74"/>
        <v>0.107919911012236</v>
      </c>
      <c r="AO710" t="s">
        <v>221</v>
      </c>
      <c r="AQ710" t="s">
        <v>217</v>
      </c>
    </row>
    <row r="711" ht="15.75" customHeight="1" spans="1:43">
      <c r="A711" t="s">
        <v>1471</v>
      </c>
      <c r="B711" t="s">
        <v>46</v>
      </c>
      <c r="C711" t="s">
        <v>1444</v>
      </c>
      <c r="D711" t="s">
        <v>1467</v>
      </c>
      <c r="E711" t="s">
        <v>1446</v>
      </c>
      <c r="F711" t="s">
        <v>1467</v>
      </c>
      <c r="H711" t="s">
        <v>55</v>
      </c>
      <c r="I711" t="s">
        <v>68</v>
      </c>
      <c r="Q711" t="s">
        <v>57</v>
      </c>
      <c r="Y711" t="s">
        <v>1472</v>
      </c>
      <c r="Z711">
        <v>7318</v>
      </c>
      <c r="AA711" t="s">
        <v>1469</v>
      </c>
      <c r="AC711">
        <v>100</v>
      </c>
      <c r="AD711">
        <v>12</v>
      </c>
      <c r="AE711">
        <v>1200</v>
      </c>
      <c r="AF711" s="4">
        <v>0.37</v>
      </c>
      <c r="AG711">
        <f t="shared" si="75"/>
        <v>756</v>
      </c>
      <c r="AH711" s="4">
        <v>0.18</v>
      </c>
      <c r="AI711">
        <f t="shared" si="70"/>
        <v>892.08</v>
      </c>
      <c r="AJ711" s="4">
        <v>0.2</v>
      </c>
      <c r="AK711">
        <f t="shared" si="71"/>
        <v>178.42</v>
      </c>
      <c r="AL711">
        <f t="shared" si="72"/>
        <v>1070.5</v>
      </c>
      <c r="AM711">
        <f t="shared" si="73"/>
        <v>129.5</v>
      </c>
      <c r="AN711" s="4">
        <f t="shared" si="74"/>
        <v>0.107916666666667</v>
      </c>
      <c r="AO711" t="s">
        <v>221</v>
      </c>
      <c r="AQ711" t="s">
        <v>217</v>
      </c>
    </row>
    <row r="712" ht="15.75" customHeight="1" spans="1:43">
      <c r="A712" t="s">
        <v>1471</v>
      </c>
      <c r="B712" t="s">
        <v>67</v>
      </c>
      <c r="C712" t="s">
        <v>1444</v>
      </c>
      <c r="D712" t="s">
        <v>1467</v>
      </c>
      <c r="E712" t="s">
        <v>1446</v>
      </c>
      <c r="F712" t="s">
        <v>1467</v>
      </c>
      <c r="H712" t="s">
        <v>55</v>
      </c>
      <c r="I712" t="s">
        <v>90</v>
      </c>
      <c r="Q712" t="s">
        <v>57</v>
      </c>
      <c r="Y712" t="s">
        <v>1472</v>
      </c>
      <c r="Z712">
        <v>7318</v>
      </c>
      <c r="AE712">
        <v>1200</v>
      </c>
      <c r="AF712" s="4">
        <v>0.37</v>
      </c>
      <c r="AG712">
        <f t="shared" si="75"/>
        <v>756</v>
      </c>
      <c r="AH712" s="4">
        <v>0.18</v>
      </c>
      <c r="AI712">
        <f t="shared" si="70"/>
        <v>892.08</v>
      </c>
      <c r="AJ712" s="4">
        <v>0.2</v>
      </c>
      <c r="AK712">
        <f t="shared" si="71"/>
        <v>178.42</v>
      </c>
      <c r="AL712">
        <f t="shared" si="72"/>
        <v>1070.5</v>
      </c>
      <c r="AM712">
        <f t="shared" si="73"/>
        <v>129.5</v>
      </c>
      <c r="AN712" s="4">
        <f t="shared" si="74"/>
        <v>0.107916666666667</v>
      </c>
      <c r="AO712" t="s">
        <v>221</v>
      </c>
      <c r="AQ712" t="s">
        <v>217</v>
      </c>
    </row>
    <row r="713" ht="15.75" customHeight="1" spans="1:43">
      <c r="A713" t="s">
        <v>1471</v>
      </c>
      <c r="B713" t="s">
        <v>71</v>
      </c>
      <c r="C713" t="s">
        <v>1444</v>
      </c>
      <c r="D713" t="s">
        <v>1467</v>
      </c>
      <c r="E713" t="s">
        <v>1446</v>
      </c>
      <c r="F713" t="s">
        <v>1467</v>
      </c>
      <c r="H713" t="s">
        <v>55</v>
      </c>
      <c r="I713" t="s">
        <v>1470</v>
      </c>
      <c r="Q713" t="s">
        <v>57</v>
      </c>
      <c r="Y713" t="s">
        <v>1472</v>
      </c>
      <c r="Z713">
        <v>7318</v>
      </c>
      <c r="AE713">
        <v>1200</v>
      </c>
      <c r="AF713" s="4">
        <v>0.37</v>
      </c>
      <c r="AG713">
        <f t="shared" si="75"/>
        <v>756</v>
      </c>
      <c r="AH713" s="4">
        <v>0.18</v>
      </c>
      <c r="AI713">
        <f t="shared" si="70"/>
        <v>892.08</v>
      </c>
      <c r="AJ713" s="4">
        <v>0.2</v>
      </c>
      <c r="AK713">
        <f t="shared" si="71"/>
        <v>178.42</v>
      </c>
      <c r="AL713">
        <f t="shared" si="72"/>
        <v>1070.5</v>
      </c>
      <c r="AM713">
        <f t="shared" si="73"/>
        <v>129.5</v>
      </c>
      <c r="AN713" s="4">
        <f t="shared" si="74"/>
        <v>0.107916666666667</v>
      </c>
      <c r="AO713" t="s">
        <v>221</v>
      </c>
      <c r="AQ713" t="s">
        <v>217</v>
      </c>
    </row>
    <row r="714" ht="15.75" customHeight="1" spans="1:43">
      <c r="A714" t="s">
        <v>1473</v>
      </c>
      <c r="B714" t="s">
        <v>46</v>
      </c>
      <c r="C714" t="s">
        <v>1444</v>
      </c>
      <c r="D714" t="s">
        <v>1467</v>
      </c>
      <c r="E714" t="s">
        <v>1022</v>
      </c>
      <c r="F714" t="s">
        <v>1467</v>
      </c>
      <c r="H714" t="s">
        <v>55</v>
      </c>
      <c r="I714" t="s">
        <v>68</v>
      </c>
      <c r="Q714" t="s">
        <v>57</v>
      </c>
      <c r="Y714" t="s">
        <v>1474</v>
      </c>
      <c r="Z714">
        <v>7318</v>
      </c>
      <c r="AA714" t="s">
        <v>1469</v>
      </c>
      <c r="AC714">
        <v>100</v>
      </c>
      <c r="AD714">
        <v>8.5</v>
      </c>
      <c r="AE714">
        <v>850</v>
      </c>
      <c r="AF714" s="4">
        <v>0.37</v>
      </c>
      <c r="AG714">
        <f t="shared" si="75"/>
        <v>535.5</v>
      </c>
      <c r="AH714" s="4">
        <v>0.18</v>
      </c>
      <c r="AI714">
        <f t="shared" si="70"/>
        <v>631.89</v>
      </c>
      <c r="AJ714" s="4">
        <v>0.2</v>
      </c>
      <c r="AK714">
        <f t="shared" si="71"/>
        <v>126.38</v>
      </c>
      <c r="AL714">
        <f t="shared" si="72"/>
        <v>758.27</v>
      </c>
      <c r="AM714">
        <f t="shared" si="73"/>
        <v>91.73</v>
      </c>
      <c r="AN714" s="4">
        <f t="shared" si="74"/>
        <v>0.107917647058824</v>
      </c>
      <c r="AO714" t="s">
        <v>221</v>
      </c>
      <c r="AQ714" t="s">
        <v>217</v>
      </c>
    </row>
    <row r="715" ht="15.75" customHeight="1" spans="1:43">
      <c r="A715" t="s">
        <v>1473</v>
      </c>
      <c r="B715" t="s">
        <v>67</v>
      </c>
      <c r="C715" t="s">
        <v>1444</v>
      </c>
      <c r="D715" t="s">
        <v>1467</v>
      </c>
      <c r="E715" t="s">
        <v>1022</v>
      </c>
      <c r="F715" t="s">
        <v>1467</v>
      </c>
      <c r="H715" t="s">
        <v>55</v>
      </c>
      <c r="I715" t="s">
        <v>90</v>
      </c>
      <c r="Q715" t="s">
        <v>57</v>
      </c>
      <c r="Y715" t="s">
        <v>1474</v>
      </c>
      <c r="Z715">
        <v>7318</v>
      </c>
      <c r="AE715">
        <v>850</v>
      </c>
      <c r="AF715" s="4">
        <v>0.37</v>
      </c>
      <c r="AG715">
        <f t="shared" si="75"/>
        <v>535.5</v>
      </c>
      <c r="AH715" s="4">
        <v>0.18</v>
      </c>
      <c r="AI715">
        <f t="shared" si="70"/>
        <v>631.89</v>
      </c>
      <c r="AJ715" s="4">
        <v>0.2</v>
      </c>
      <c r="AK715">
        <f t="shared" si="71"/>
        <v>126.38</v>
      </c>
      <c r="AL715">
        <f t="shared" si="72"/>
        <v>758.27</v>
      </c>
      <c r="AM715">
        <f t="shared" si="73"/>
        <v>91.73</v>
      </c>
      <c r="AN715" s="4">
        <f t="shared" si="74"/>
        <v>0.107917647058824</v>
      </c>
      <c r="AO715" t="s">
        <v>221</v>
      </c>
      <c r="AQ715" t="s">
        <v>217</v>
      </c>
    </row>
    <row r="716" ht="15.75" customHeight="1" spans="1:43">
      <c r="A716" t="s">
        <v>1473</v>
      </c>
      <c r="B716" t="s">
        <v>71</v>
      </c>
      <c r="C716" t="s">
        <v>1444</v>
      </c>
      <c r="D716" t="s">
        <v>1467</v>
      </c>
      <c r="E716" t="s">
        <v>1022</v>
      </c>
      <c r="F716" t="s">
        <v>1467</v>
      </c>
      <c r="H716" t="s">
        <v>55</v>
      </c>
      <c r="I716" t="s">
        <v>1470</v>
      </c>
      <c r="Q716" t="s">
        <v>57</v>
      </c>
      <c r="Y716" t="s">
        <v>1474</v>
      </c>
      <c r="Z716">
        <v>7318</v>
      </c>
      <c r="AE716">
        <v>850</v>
      </c>
      <c r="AF716" s="4">
        <v>0.37</v>
      </c>
      <c r="AG716">
        <f t="shared" si="75"/>
        <v>535.5</v>
      </c>
      <c r="AH716" s="4">
        <v>0.18</v>
      </c>
      <c r="AI716">
        <f t="shared" si="70"/>
        <v>631.89</v>
      </c>
      <c r="AJ716" s="4">
        <v>0.2</v>
      </c>
      <c r="AK716">
        <f t="shared" si="71"/>
        <v>126.38</v>
      </c>
      <c r="AL716">
        <f t="shared" si="72"/>
        <v>758.27</v>
      </c>
      <c r="AM716">
        <f t="shared" si="73"/>
        <v>91.73</v>
      </c>
      <c r="AN716" s="4">
        <f t="shared" si="74"/>
        <v>0.107917647058824</v>
      </c>
      <c r="AO716" t="s">
        <v>221</v>
      </c>
      <c r="AQ716" t="s">
        <v>217</v>
      </c>
    </row>
    <row r="717" ht="15.75" customHeight="1" spans="1:43">
      <c r="A717" t="s">
        <v>1475</v>
      </c>
      <c r="B717" t="s">
        <v>46</v>
      </c>
      <c r="C717" t="s">
        <v>1444</v>
      </c>
      <c r="D717" t="s">
        <v>1476</v>
      </c>
      <c r="E717" t="s">
        <v>1453</v>
      </c>
      <c r="F717" t="s">
        <v>1477</v>
      </c>
      <c r="H717" t="s">
        <v>217</v>
      </c>
      <c r="I717" t="s">
        <v>1478</v>
      </c>
      <c r="Q717" t="s">
        <v>57</v>
      </c>
      <c r="Y717" t="s">
        <v>1479</v>
      </c>
      <c r="Z717">
        <v>7314</v>
      </c>
      <c r="AE717">
        <v>984</v>
      </c>
      <c r="AF717" s="4">
        <v>0.58</v>
      </c>
      <c r="AG717">
        <f t="shared" si="75"/>
        <v>413.28</v>
      </c>
      <c r="AH717" s="4">
        <v>0.18</v>
      </c>
      <c r="AI717">
        <f t="shared" si="70"/>
        <v>487.67</v>
      </c>
      <c r="AJ717" s="4">
        <v>0.115</v>
      </c>
      <c r="AK717">
        <f t="shared" si="71"/>
        <v>56.08</v>
      </c>
      <c r="AL717">
        <f t="shared" si="72"/>
        <v>543.75</v>
      </c>
      <c r="AM717">
        <f t="shared" si="73"/>
        <v>440.25</v>
      </c>
      <c r="AN717" s="4">
        <f t="shared" si="74"/>
        <v>0.447408536585366</v>
      </c>
      <c r="AO717" t="s">
        <v>221</v>
      </c>
      <c r="AQ717" t="s">
        <v>217</v>
      </c>
    </row>
    <row r="718" ht="15.75" customHeight="1" spans="1:43">
      <c r="A718" t="s">
        <v>1475</v>
      </c>
      <c r="B718" t="s">
        <v>67</v>
      </c>
      <c r="C718" t="s">
        <v>1444</v>
      </c>
      <c r="D718" t="s">
        <v>1476</v>
      </c>
      <c r="E718" t="s">
        <v>1453</v>
      </c>
      <c r="F718" t="s">
        <v>1477</v>
      </c>
      <c r="H718" t="s">
        <v>217</v>
      </c>
      <c r="I718" t="s">
        <v>1480</v>
      </c>
      <c r="Q718" t="s">
        <v>57</v>
      </c>
      <c r="Y718" t="s">
        <v>1479</v>
      </c>
      <c r="Z718">
        <v>7314</v>
      </c>
      <c r="AE718">
        <v>1968</v>
      </c>
      <c r="AF718" s="4">
        <v>0.58</v>
      </c>
      <c r="AG718">
        <f t="shared" si="75"/>
        <v>826.56</v>
      </c>
      <c r="AH718" s="4">
        <v>0.18</v>
      </c>
      <c r="AI718">
        <f t="shared" si="70"/>
        <v>975.34</v>
      </c>
      <c r="AJ718" s="4">
        <v>0.115</v>
      </c>
      <c r="AK718">
        <f t="shared" si="71"/>
        <v>112.16</v>
      </c>
      <c r="AL718">
        <f t="shared" si="72"/>
        <v>1087.5</v>
      </c>
      <c r="AM718">
        <f t="shared" si="73"/>
        <v>880.5</v>
      </c>
      <c r="AN718" s="4">
        <f t="shared" si="74"/>
        <v>0.447408536585366</v>
      </c>
      <c r="AO718" t="s">
        <v>221</v>
      </c>
      <c r="AQ718" t="s">
        <v>217</v>
      </c>
    </row>
    <row r="719" ht="15.75" customHeight="1" spans="1:43">
      <c r="A719" t="s">
        <v>1475</v>
      </c>
      <c r="B719" t="s">
        <v>71</v>
      </c>
      <c r="C719" t="s">
        <v>1444</v>
      </c>
      <c r="D719" t="s">
        <v>1476</v>
      </c>
      <c r="E719" t="s">
        <v>1453</v>
      </c>
      <c r="F719" t="s">
        <v>1477</v>
      </c>
      <c r="H719" t="s">
        <v>217</v>
      </c>
      <c r="I719" t="s">
        <v>1481</v>
      </c>
      <c r="Q719" t="s">
        <v>57</v>
      </c>
      <c r="Y719" t="s">
        <v>1479</v>
      </c>
      <c r="Z719">
        <v>7314</v>
      </c>
      <c r="AE719">
        <v>2952</v>
      </c>
      <c r="AF719" s="4">
        <v>0.58</v>
      </c>
      <c r="AG719">
        <f t="shared" si="75"/>
        <v>1239.84</v>
      </c>
      <c r="AH719" s="4">
        <v>0.18</v>
      </c>
      <c r="AI719">
        <f t="shared" si="70"/>
        <v>1463.01</v>
      </c>
      <c r="AJ719" s="4">
        <v>0.115</v>
      </c>
      <c r="AK719">
        <f t="shared" si="71"/>
        <v>168.25</v>
      </c>
      <c r="AL719">
        <f t="shared" si="72"/>
        <v>1631.26</v>
      </c>
      <c r="AM719">
        <f t="shared" si="73"/>
        <v>1320.74</v>
      </c>
      <c r="AN719" s="4">
        <f t="shared" si="74"/>
        <v>0.447405149051491</v>
      </c>
      <c r="AO719" t="s">
        <v>221</v>
      </c>
      <c r="AQ719" t="s">
        <v>217</v>
      </c>
    </row>
    <row r="720" ht="15.75" customHeight="1" spans="1:43">
      <c r="A720" t="s">
        <v>1475</v>
      </c>
      <c r="B720" t="s">
        <v>75</v>
      </c>
      <c r="C720" t="s">
        <v>1444</v>
      </c>
      <c r="D720" t="s">
        <v>1476</v>
      </c>
      <c r="E720" t="s">
        <v>1453</v>
      </c>
      <c r="F720" t="s">
        <v>1477</v>
      </c>
      <c r="H720" t="s">
        <v>217</v>
      </c>
      <c r="I720" t="s">
        <v>1482</v>
      </c>
      <c r="Q720" t="s">
        <v>57</v>
      </c>
      <c r="Y720" t="s">
        <v>1479</v>
      </c>
      <c r="Z720">
        <v>7314</v>
      </c>
      <c r="AE720">
        <v>3936</v>
      </c>
      <c r="AF720" s="4">
        <v>0.58</v>
      </c>
      <c r="AG720">
        <f t="shared" si="75"/>
        <v>1653.12</v>
      </c>
      <c r="AH720" s="4">
        <v>0.18</v>
      </c>
      <c r="AI720">
        <f t="shared" si="70"/>
        <v>1950.68</v>
      </c>
      <c r="AJ720" s="4">
        <v>0.115</v>
      </c>
      <c r="AK720">
        <f t="shared" si="71"/>
        <v>224.33</v>
      </c>
      <c r="AL720">
        <f t="shared" si="72"/>
        <v>2175.01</v>
      </c>
      <c r="AM720">
        <f t="shared" si="73"/>
        <v>1760.99</v>
      </c>
      <c r="AN720" s="4">
        <f t="shared" si="74"/>
        <v>0.447405995934959</v>
      </c>
      <c r="AO720" t="s">
        <v>221</v>
      </c>
      <c r="AQ720" t="s">
        <v>217</v>
      </c>
    </row>
    <row r="721" ht="15.75" customHeight="1" spans="1:46">
      <c r="A721" t="s">
        <v>1483</v>
      </c>
      <c r="B721" t="s">
        <v>46</v>
      </c>
      <c r="C721" t="s">
        <v>1444</v>
      </c>
      <c r="D721" t="s">
        <v>1476</v>
      </c>
      <c r="E721" t="s">
        <v>1446</v>
      </c>
      <c r="F721" t="s">
        <v>1477</v>
      </c>
      <c r="H721" t="s">
        <v>217</v>
      </c>
      <c r="I721" t="s">
        <v>1478</v>
      </c>
      <c r="Q721" t="s">
        <v>57</v>
      </c>
      <c r="Y721" t="s">
        <v>1484</v>
      </c>
      <c r="Z721">
        <v>7314</v>
      </c>
      <c r="AE721">
        <v>1230</v>
      </c>
      <c r="AF721" s="4">
        <v>0.58</v>
      </c>
      <c r="AG721">
        <f t="shared" si="75"/>
        <v>516.6</v>
      </c>
      <c r="AH721" s="4">
        <v>0.18</v>
      </c>
      <c r="AI721">
        <f t="shared" si="70"/>
        <v>609.59</v>
      </c>
      <c r="AJ721" s="4">
        <v>0.115</v>
      </c>
      <c r="AK721">
        <f t="shared" si="71"/>
        <v>70.1</v>
      </c>
      <c r="AL721">
        <f t="shared" si="72"/>
        <v>679.69</v>
      </c>
      <c r="AM721">
        <f t="shared" si="73"/>
        <v>550.31</v>
      </c>
      <c r="AN721" s="4">
        <f t="shared" si="74"/>
        <v>0.447406504065041</v>
      </c>
      <c r="AO721" t="s">
        <v>221</v>
      </c>
      <c r="AQ721" t="s">
        <v>217</v>
      </c>
    </row>
    <row r="722" ht="15.75" customHeight="1" spans="1:46">
      <c r="A722" t="s">
        <v>1483</v>
      </c>
      <c r="B722" t="s">
        <v>67</v>
      </c>
      <c r="C722" t="s">
        <v>1444</v>
      </c>
      <c r="D722" t="s">
        <v>1476</v>
      </c>
      <c r="E722" t="s">
        <v>1446</v>
      </c>
      <c r="F722" t="s">
        <v>1477</v>
      </c>
      <c r="H722" t="s">
        <v>217</v>
      </c>
      <c r="I722" t="s">
        <v>1480</v>
      </c>
      <c r="Q722" t="s">
        <v>57</v>
      </c>
      <c r="Y722" t="s">
        <v>1484</v>
      </c>
      <c r="Z722">
        <v>7314</v>
      </c>
      <c r="AE722">
        <v>2448</v>
      </c>
      <c r="AF722" s="4">
        <v>0.58</v>
      </c>
      <c r="AG722">
        <f t="shared" si="75"/>
        <v>1028.16</v>
      </c>
      <c r="AH722" s="4">
        <v>0.18</v>
      </c>
      <c r="AI722">
        <f t="shared" si="70"/>
        <v>1213.23</v>
      </c>
      <c r="AJ722" s="4">
        <v>0.115</v>
      </c>
      <c r="AK722">
        <f t="shared" si="71"/>
        <v>139.52</v>
      </c>
      <c r="AL722">
        <f t="shared" si="72"/>
        <v>1352.75</v>
      </c>
      <c r="AM722">
        <f t="shared" si="73"/>
        <v>1095.25</v>
      </c>
      <c r="AN722" s="4">
        <f t="shared" si="74"/>
        <v>0.447406045751634</v>
      </c>
      <c r="AO722" t="s">
        <v>221</v>
      </c>
      <c r="AQ722" t="s">
        <v>217</v>
      </c>
    </row>
    <row r="723" ht="15.75" customHeight="1" spans="1:46">
      <c r="A723" t="s">
        <v>1483</v>
      </c>
      <c r="B723" t="s">
        <v>71</v>
      </c>
      <c r="C723" t="s">
        <v>1444</v>
      </c>
      <c r="D723" t="s">
        <v>1476</v>
      </c>
      <c r="E723" t="s">
        <v>1446</v>
      </c>
      <c r="F723" t="s">
        <v>1477</v>
      </c>
      <c r="H723" t="s">
        <v>217</v>
      </c>
      <c r="I723" t="s">
        <v>1481</v>
      </c>
      <c r="Q723" t="s">
        <v>57</v>
      </c>
      <c r="Y723" t="s">
        <v>1484</v>
      </c>
      <c r="Z723">
        <v>7314</v>
      </c>
      <c r="AE723">
        <v>3672</v>
      </c>
      <c r="AF723" s="4">
        <v>0.58</v>
      </c>
      <c r="AG723">
        <f t="shared" si="75"/>
        <v>1542.24</v>
      </c>
      <c r="AH723" s="4">
        <v>0.18</v>
      </c>
      <c r="AI723">
        <f t="shared" si="70"/>
        <v>1819.84</v>
      </c>
      <c r="AJ723" s="4">
        <v>0.115</v>
      </c>
      <c r="AK723">
        <f t="shared" si="71"/>
        <v>209.28</v>
      </c>
      <c r="AL723">
        <f t="shared" si="72"/>
        <v>2029.12</v>
      </c>
      <c r="AM723">
        <f t="shared" si="73"/>
        <v>1642.88</v>
      </c>
      <c r="AN723" s="4">
        <f t="shared" si="74"/>
        <v>0.447407407407407</v>
      </c>
      <c r="AO723" t="s">
        <v>221</v>
      </c>
      <c r="AQ723" t="s">
        <v>217</v>
      </c>
    </row>
    <row r="724" ht="15.75" customHeight="1" spans="1:46">
      <c r="A724" t="s">
        <v>1483</v>
      </c>
      <c r="B724" t="s">
        <v>75</v>
      </c>
      <c r="C724" t="s">
        <v>1444</v>
      </c>
      <c r="D724" t="s">
        <v>1476</v>
      </c>
      <c r="E724" t="s">
        <v>1446</v>
      </c>
      <c r="F724" t="s">
        <v>1477</v>
      </c>
      <c r="H724" t="s">
        <v>217</v>
      </c>
      <c r="I724" t="s">
        <v>1482</v>
      </c>
      <c r="Q724" t="s">
        <v>57</v>
      </c>
      <c r="Y724" t="s">
        <v>1484</v>
      </c>
      <c r="Z724">
        <v>7314</v>
      </c>
      <c r="AE724">
        <v>5508</v>
      </c>
      <c r="AF724" s="4">
        <v>0.58</v>
      </c>
      <c r="AG724">
        <f t="shared" si="75"/>
        <v>2313.36</v>
      </c>
      <c r="AH724" s="4">
        <v>0.18</v>
      </c>
      <c r="AI724">
        <f t="shared" si="70"/>
        <v>2729.76</v>
      </c>
      <c r="AJ724" s="4">
        <v>0.115</v>
      </c>
      <c r="AK724">
        <f t="shared" si="71"/>
        <v>313.92</v>
      </c>
      <c r="AL724">
        <f t="shared" si="72"/>
        <v>3043.68</v>
      </c>
      <c r="AM724">
        <f t="shared" si="73"/>
        <v>2464.32</v>
      </c>
      <c r="AN724" s="4">
        <f t="shared" si="74"/>
        <v>0.447407407407407</v>
      </c>
      <c r="AO724" t="s">
        <v>221</v>
      </c>
      <c r="AQ724" t="s">
        <v>217</v>
      </c>
    </row>
    <row r="725" ht="15.75" customHeight="1" spans="1:46">
      <c r="A725" t="s">
        <v>1485</v>
      </c>
      <c r="B725" t="s">
        <v>46</v>
      </c>
      <c r="C725" t="s">
        <v>1444</v>
      </c>
      <c r="D725" t="s">
        <v>1476</v>
      </c>
      <c r="E725" t="s">
        <v>1022</v>
      </c>
      <c r="F725" t="s">
        <v>1477</v>
      </c>
      <c r="H725" t="s">
        <v>217</v>
      </c>
      <c r="I725" t="s">
        <v>1478</v>
      </c>
      <c r="Q725" t="s">
        <v>57</v>
      </c>
      <c r="Y725" t="s">
        <v>1486</v>
      </c>
      <c r="Z725">
        <v>7314</v>
      </c>
      <c r="AE725">
        <v>960</v>
      </c>
      <c r="AF725" s="4">
        <v>0.58</v>
      </c>
      <c r="AG725">
        <f t="shared" si="75"/>
        <v>403.2</v>
      </c>
      <c r="AH725" s="4">
        <v>0.18</v>
      </c>
      <c r="AI725">
        <f t="shared" si="70"/>
        <v>475.78</v>
      </c>
      <c r="AJ725" s="4">
        <v>0.15</v>
      </c>
      <c r="AK725">
        <f t="shared" si="71"/>
        <v>71.37</v>
      </c>
      <c r="AL725">
        <f t="shared" si="72"/>
        <v>547.15</v>
      </c>
      <c r="AM725">
        <f t="shared" si="73"/>
        <v>412.85</v>
      </c>
      <c r="AN725" s="4">
        <f t="shared" si="74"/>
        <v>0.430052083333333</v>
      </c>
      <c r="AO725" t="s">
        <v>221</v>
      </c>
      <c r="AQ725" t="s">
        <v>217</v>
      </c>
    </row>
    <row r="726" ht="15.75" customHeight="1" spans="1:46">
      <c r="A726" t="s">
        <v>1485</v>
      </c>
      <c r="B726" t="s">
        <v>67</v>
      </c>
      <c r="C726" t="s">
        <v>1444</v>
      </c>
      <c r="D726" t="s">
        <v>1476</v>
      </c>
      <c r="E726" t="s">
        <v>1022</v>
      </c>
      <c r="F726" t="s">
        <v>1477</v>
      </c>
      <c r="H726" t="s">
        <v>217</v>
      </c>
      <c r="I726" t="s">
        <v>1480</v>
      </c>
      <c r="Q726" t="s">
        <v>57</v>
      </c>
      <c r="Y726" t="s">
        <v>1486</v>
      </c>
      <c r="Z726">
        <v>7314</v>
      </c>
      <c r="AE726">
        <v>1940</v>
      </c>
      <c r="AF726" s="4">
        <v>0.58</v>
      </c>
      <c r="AG726">
        <f t="shared" si="75"/>
        <v>814.8</v>
      </c>
      <c r="AH726" s="4">
        <v>0.18</v>
      </c>
      <c r="AI726">
        <f t="shared" si="70"/>
        <v>961.46</v>
      </c>
      <c r="AJ726" s="4">
        <v>0.15</v>
      </c>
      <c r="AK726">
        <f t="shared" si="71"/>
        <v>144.22</v>
      </c>
      <c r="AL726">
        <f t="shared" si="72"/>
        <v>1105.68</v>
      </c>
      <c r="AM726">
        <f t="shared" si="73"/>
        <v>834.32</v>
      </c>
      <c r="AN726" s="4">
        <f t="shared" si="74"/>
        <v>0.430061855670103</v>
      </c>
      <c r="AO726" t="s">
        <v>221</v>
      </c>
      <c r="AQ726" t="s">
        <v>217</v>
      </c>
    </row>
    <row r="727" ht="15.75" customHeight="1" spans="1:46">
      <c r="A727" t="s">
        <v>1485</v>
      </c>
      <c r="B727" t="s">
        <v>71</v>
      </c>
      <c r="C727" t="s">
        <v>1444</v>
      </c>
      <c r="D727" t="s">
        <v>1476</v>
      </c>
      <c r="E727" t="s">
        <v>1022</v>
      </c>
      <c r="F727" t="s">
        <v>1477</v>
      </c>
      <c r="H727" t="s">
        <v>217</v>
      </c>
      <c r="I727" t="s">
        <v>1481</v>
      </c>
      <c r="Q727" t="s">
        <v>57</v>
      </c>
      <c r="Y727" t="s">
        <v>1486</v>
      </c>
      <c r="Z727">
        <v>7314</v>
      </c>
      <c r="AE727">
        <v>2910</v>
      </c>
      <c r="AF727" s="4">
        <v>0.58</v>
      </c>
      <c r="AG727">
        <f t="shared" si="75"/>
        <v>1222.2</v>
      </c>
      <c r="AH727" s="4">
        <v>0.18</v>
      </c>
      <c r="AI727">
        <f t="shared" si="70"/>
        <v>1442.2</v>
      </c>
      <c r="AJ727" s="4">
        <v>0.15</v>
      </c>
      <c r="AK727">
        <f t="shared" si="71"/>
        <v>216.33</v>
      </c>
      <c r="AL727">
        <f t="shared" si="72"/>
        <v>1658.53</v>
      </c>
      <c r="AM727">
        <f t="shared" si="73"/>
        <v>1251.47</v>
      </c>
      <c r="AN727" s="4">
        <f t="shared" si="74"/>
        <v>0.430058419243986</v>
      </c>
      <c r="AO727" t="s">
        <v>221</v>
      </c>
      <c r="AQ727" t="s">
        <v>217</v>
      </c>
    </row>
    <row r="728" ht="15.75" customHeight="1" spans="1:46">
      <c r="A728" t="s">
        <v>1485</v>
      </c>
      <c r="B728" t="s">
        <v>75</v>
      </c>
      <c r="C728" t="s">
        <v>1444</v>
      </c>
      <c r="D728" t="s">
        <v>1476</v>
      </c>
      <c r="E728" t="s">
        <v>1022</v>
      </c>
      <c r="F728" t="s">
        <v>1477</v>
      </c>
      <c r="H728" t="s">
        <v>217</v>
      </c>
      <c r="I728" t="s">
        <v>1482</v>
      </c>
      <c r="Q728" t="s">
        <v>57</v>
      </c>
      <c r="Y728" t="s">
        <v>1486</v>
      </c>
      <c r="Z728">
        <v>7314</v>
      </c>
      <c r="AE728">
        <v>3910</v>
      </c>
      <c r="AF728" s="4">
        <v>0.58</v>
      </c>
      <c r="AG728">
        <f t="shared" si="75"/>
        <v>1642.2</v>
      </c>
      <c r="AH728" s="4">
        <v>0.18</v>
      </c>
      <c r="AI728">
        <f t="shared" si="70"/>
        <v>1937.8</v>
      </c>
      <c r="AJ728" s="4">
        <v>0.15</v>
      </c>
      <c r="AK728">
        <f t="shared" si="71"/>
        <v>290.67</v>
      </c>
      <c r="AL728">
        <f t="shared" si="72"/>
        <v>2228.47</v>
      </c>
      <c r="AM728">
        <f t="shared" si="73"/>
        <v>1681.53</v>
      </c>
      <c r="AN728" s="4">
        <f t="shared" si="74"/>
        <v>0.430058823529412</v>
      </c>
      <c r="AO728" t="s">
        <v>221</v>
      </c>
      <c r="AQ728" t="s">
        <v>217</v>
      </c>
    </row>
    <row r="729" ht="15.75" customHeight="1" spans="1:46">
      <c r="A729" t="s">
        <v>1487</v>
      </c>
      <c r="B729" t="s">
        <v>46</v>
      </c>
      <c r="C729" t="s">
        <v>1444</v>
      </c>
      <c r="D729" t="s">
        <v>1488</v>
      </c>
      <c r="E729" t="s">
        <v>1453</v>
      </c>
      <c r="F729" t="s">
        <v>1489</v>
      </c>
      <c r="H729" t="s">
        <v>53</v>
      </c>
      <c r="I729" t="s">
        <v>1490</v>
      </c>
      <c r="Q729" t="s">
        <v>57</v>
      </c>
      <c r="Y729" t="s">
        <v>1491</v>
      </c>
      <c r="Z729">
        <v>7318</v>
      </c>
      <c r="AE729">
        <v>499</v>
      </c>
      <c r="AF729" s="4">
        <v>0.63</v>
      </c>
      <c r="AG729">
        <f t="shared" si="75"/>
        <v>184.63</v>
      </c>
      <c r="AH729" s="4">
        <v>0.18</v>
      </c>
      <c r="AI729">
        <f t="shared" si="70"/>
        <v>217.86</v>
      </c>
      <c r="AJ729" s="4">
        <v>0.2</v>
      </c>
      <c r="AK729">
        <f t="shared" si="71"/>
        <v>43.57</v>
      </c>
      <c r="AL729">
        <f t="shared" si="72"/>
        <v>261.43</v>
      </c>
      <c r="AM729">
        <f t="shared" si="73"/>
        <v>237.57</v>
      </c>
      <c r="AN729" s="4">
        <f t="shared" si="74"/>
        <v>0.476092184368737</v>
      </c>
      <c r="AO729" t="s">
        <v>221</v>
      </c>
      <c r="AQ729" t="s">
        <v>217</v>
      </c>
    </row>
    <row r="730" ht="15.75" customHeight="1" spans="1:46">
      <c r="A730" t="s">
        <v>1487</v>
      </c>
      <c r="B730" t="s">
        <v>67</v>
      </c>
      <c r="C730" t="s">
        <v>1444</v>
      </c>
      <c r="D730" t="s">
        <v>1488</v>
      </c>
      <c r="E730" t="s">
        <v>1453</v>
      </c>
      <c r="F730" t="s">
        <v>1489</v>
      </c>
      <c r="H730" t="s">
        <v>53</v>
      </c>
      <c r="I730" t="s">
        <v>1492</v>
      </c>
      <c r="Q730" t="s">
        <v>57</v>
      </c>
      <c r="Y730" t="s">
        <v>1491</v>
      </c>
      <c r="Z730">
        <v>7318</v>
      </c>
      <c r="AE730">
        <v>599</v>
      </c>
      <c r="AF730" s="4">
        <v>0.63</v>
      </c>
      <c r="AG730">
        <f t="shared" si="75"/>
        <v>221.63</v>
      </c>
      <c r="AH730" s="4">
        <v>0.18</v>
      </c>
      <c r="AI730">
        <f t="shared" si="70"/>
        <v>261.52</v>
      </c>
      <c r="AJ730" s="4">
        <v>0.2</v>
      </c>
      <c r="AK730">
        <f t="shared" si="71"/>
        <v>52.3</v>
      </c>
      <c r="AL730">
        <f t="shared" si="72"/>
        <v>313.82</v>
      </c>
      <c r="AM730">
        <f t="shared" si="73"/>
        <v>285.18</v>
      </c>
      <c r="AN730" s="4">
        <f t="shared" si="74"/>
        <v>0.476093489148581</v>
      </c>
      <c r="AO730" t="s">
        <v>221</v>
      </c>
      <c r="AQ730" t="s">
        <v>217</v>
      </c>
    </row>
    <row r="731" ht="15.75" customHeight="1" spans="1:46">
      <c r="A731" t="s">
        <v>1493</v>
      </c>
      <c r="B731" t="s">
        <v>46</v>
      </c>
      <c r="C731" t="s">
        <v>1444</v>
      </c>
      <c r="D731" t="s">
        <v>1488</v>
      </c>
      <c r="E731" t="s">
        <v>1446</v>
      </c>
      <c r="F731" t="s">
        <v>1489</v>
      </c>
      <c r="H731" t="s">
        <v>53</v>
      </c>
      <c r="I731" t="s">
        <v>1490</v>
      </c>
      <c r="Q731" t="s">
        <v>57</v>
      </c>
      <c r="Y731" t="s">
        <v>1494</v>
      </c>
      <c r="Z731">
        <v>7318</v>
      </c>
      <c r="AE731">
        <v>699</v>
      </c>
      <c r="AF731" s="4">
        <v>0.63</v>
      </c>
      <c r="AG731">
        <f t="shared" si="75"/>
        <v>258.63</v>
      </c>
      <c r="AH731" s="4">
        <v>0.18</v>
      </c>
      <c r="AI731">
        <f t="shared" si="70"/>
        <v>305.18</v>
      </c>
      <c r="AJ731" s="4">
        <v>0.2</v>
      </c>
      <c r="AK731">
        <f t="shared" si="71"/>
        <v>61.04</v>
      </c>
      <c r="AL731">
        <f t="shared" si="72"/>
        <v>366.22</v>
      </c>
      <c r="AM731">
        <f t="shared" si="73"/>
        <v>332.78</v>
      </c>
      <c r="AN731" s="4">
        <f t="shared" si="74"/>
        <v>0.476080114449213</v>
      </c>
      <c r="AO731" t="s">
        <v>221</v>
      </c>
      <c r="AQ731" t="s">
        <v>217</v>
      </c>
    </row>
    <row r="732" ht="15.75" customHeight="1" spans="1:46">
      <c r="A732" t="s">
        <v>1493</v>
      </c>
      <c r="B732" t="s">
        <v>67</v>
      </c>
      <c r="C732" t="s">
        <v>1444</v>
      </c>
      <c r="D732" t="s">
        <v>1488</v>
      </c>
      <c r="E732" t="s">
        <v>1446</v>
      </c>
      <c r="F732" t="s">
        <v>1489</v>
      </c>
      <c r="H732" t="s">
        <v>53</v>
      </c>
      <c r="I732" t="s">
        <v>1492</v>
      </c>
      <c r="Q732" t="s">
        <v>57</v>
      </c>
      <c r="Y732" t="s">
        <v>1494</v>
      </c>
      <c r="Z732">
        <v>7318</v>
      </c>
      <c r="AE732">
        <v>799</v>
      </c>
      <c r="AF732" s="4">
        <v>0.63</v>
      </c>
      <c r="AG732">
        <f t="shared" si="75"/>
        <v>295.63</v>
      </c>
      <c r="AH732" s="4">
        <v>0.18</v>
      </c>
      <c r="AI732">
        <f t="shared" si="70"/>
        <v>348.84</v>
      </c>
      <c r="AJ732" s="4">
        <v>0.2</v>
      </c>
      <c r="AK732">
        <f t="shared" si="71"/>
        <v>69.77</v>
      </c>
      <c r="AL732">
        <f t="shared" si="72"/>
        <v>418.61</v>
      </c>
      <c r="AM732">
        <f t="shared" si="73"/>
        <v>380.39</v>
      </c>
      <c r="AN732" s="4">
        <f t="shared" si="74"/>
        <v>0.476082603254068</v>
      </c>
      <c r="AO732" t="s">
        <v>221</v>
      </c>
      <c r="AQ732" t="s">
        <v>217</v>
      </c>
    </row>
    <row r="733" ht="15.75" customHeight="1" spans="1:46">
      <c r="A733" t="s">
        <v>1495</v>
      </c>
      <c r="B733" t="s">
        <v>46</v>
      </c>
      <c r="C733" t="s">
        <v>1444</v>
      </c>
      <c r="D733" t="s">
        <v>1488</v>
      </c>
      <c r="E733" t="s">
        <v>1496</v>
      </c>
      <c r="F733" t="s">
        <v>1489</v>
      </c>
      <c r="H733" t="s">
        <v>53</v>
      </c>
      <c r="I733" t="s">
        <v>1490</v>
      </c>
      <c r="Q733" t="s">
        <v>57</v>
      </c>
      <c r="Y733" t="s">
        <v>1497</v>
      </c>
      <c r="Z733">
        <v>7318</v>
      </c>
      <c r="AE733">
        <v>470</v>
      </c>
      <c r="AF733" s="4">
        <v>0.63</v>
      </c>
      <c r="AG733">
        <f t="shared" si="75"/>
        <v>173.9</v>
      </c>
      <c r="AH733" s="4">
        <v>0.18</v>
      </c>
      <c r="AI733">
        <f t="shared" si="70"/>
        <v>205.2</v>
      </c>
      <c r="AJ733" s="4">
        <v>0.2</v>
      </c>
      <c r="AK733">
        <f t="shared" si="71"/>
        <v>41.04</v>
      </c>
      <c r="AL733">
        <f t="shared" si="72"/>
        <v>246.24</v>
      </c>
      <c r="AM733">
        <f t="shared" si="73"/>
        <v>223.76</v>
      </c>
      <c r="AN733" s="4">
        <f t="shared" si="74"/>
        <v>0.476085106382979</v>
      </c>
      <c r="AO733" t="s">
        <v>221</v>
      </c>
      <c r="AQ733" t="s">
        <v>217</v>
      </c>
    </row>
    <row r="734" ht="15.75" customHeight="1" spans="1:46">
      <c r="A734" t="s">
        <v>1495</v>
      </c>
      <c r="B734" t="s">
        <v>67</v>
      </c>
      <c r="C734" t="s">
        <v>1444</v>
      </c>
      <c r="D734" t="s">
        <v>1488</v>
      </c>
      <c r="E734" t="s">
        <v>1496</v>
      </c>
      <c r="F734" t="s">
        <v>1489</v>
      </c>
      <c r="H734" t="s">
        <v>53</v>
      </c>
      <c r="I734" t="s">
        <v>1492</v>
      </c>
      <c r="Q734" t="s">
        <v>57</v>
      </c>
      <c r="Y734" t="s">
        <v>1497</v>
      </c>
      <c r="Z734">
        <v>7318</v>
      </c>
      <c r="AE734">
        <v>570</v>
      </c>
      <c r="AF734" s="4">
        <v>0.63</v>
      </c>
      <c r="AG734">
        <f t="shared" si="75"/>
        <v>210.9</v>
      </c>
      <c r="AH734" s="4">
        <v>0.18</v>
      </c>
      <c r="AI734">
        <f t="shared" si="70"/>
        <v>248.86</v>
      </c>
      <c r="AJ734" s="4">
        <v>0.2</v>
      </c>
      <c r="AK734">
        <f t="shared" si="71"/>
        <v>49.77</v>
      </c>
      <c r="AL734">
        <f t="shared" si="72"/>
        <v>298.63</v>
      </c>
      <c r="AM734">
        <f t="shared" si="73"/>
        <v>271.37</v>
      </c>
      <c r="AN734" s="4">
        <f t="shared" si="74"/>
        <v>0.476087719298246</v>
      </c>
      <c r="AO734" t="s">
        <v>221</v>
      </c>
      <c r="AQ734" t="s">
        <v>217</v>
      </c>
    </row>
    <row r="735" ht="15.75" customHeight="1" spans="1:46">
      <c r="A735" t="s">
        <v>1498</v>
      </c>
      <c r="B735" t="s">
        <v>46</v>
      </c>
      <c r="C735" t="s">
        <v>1499</v>
      </c>
      <c r="D735" t="s">
        <v>1500</v>
      </c>
      <c r="E735" t="s">
        <v>1501</v>
      </c>
      <c r="F735" t="s">
        <v>1502</v>
      </c>
      <c r="H735" t="s">
        <v>55</v>
      </c>
      <c r="I735" t="s">
        <v>1503</v>
      </c>
      <c r="J735" t="s">
        <v>124</v>
      </c>
      <c r="K735" t="s">
        <v>1504</v>
      </c>
      <c r="L735" t="s">
        <v>1340</v>
      </c>
      <c r="M735" t="s">
        <v>1505</v>
      </c>
      <c r="Q735" t="s">
        <v>57</v>
      </c>
      <c r="R735" t="s">
        <v>1506</v>
      </c>
      <c r="Y735" t="s">
        <v>1507</v>
      </c>
      <c r="Z735">
        <v>8544</v>
      </c>
      <c r="AE735">
        <v>2210</v>
      </c>
      <c r="AF735" s="4">
        <v>0.44</v>
      </c>
      <c r="AG735">
        <f t="shared" si="75"/>
        <v>1237.6</v>
      </c>
      <c r="AH735" s="4">
        <v>0.18</v>
      </c>
      <c r="AI735">
        <f t="shared" si="70"/>
        <v>1460.37</v>
      </c>
      <c r="AJ735" s="4">
        <v>0.1</v>
      </c>
      <c r="AK735">
        <f t="shared" si="71"/>
        <v>146.04</v>
      </c>
      <c r="AL735">
        <f t="shared" si="72"/>
        <v>1606.41</v>
      </c>
      <c r="AM735">
        <f t="shared" si="73"/>
        <v>603.59</v>
      </c>
      <c r="AN735" s="4">
        <f t="shared" si="74"/>
        <v>0.273117647058824</v>
      </c>
      <c r="AO735" t="s">
        <v>221</v>
      </c>
      <c r="AQ735" t="s">
        <v>217</v>
      </c>
      <c r="AT735" t="s">
        <v>1508</v>
      </c>
    </row>
    <row r="736" ht="15.75" customHeight="1" spans="1:46">
      <c r="A736" t="s">
        <v>1498</v>
      </c>
      <c r="B736" t="s">
        <v>67</v>
      </c>
      <c r="C736" t="s">
        <v>1499</v>
      </c>
      <c r="D736" t="s">
        <v>1500</v>
      </c>
      <c r="E736" t="s">
        <v>1501</v>
      </c>
      <c r="F736" t="s">
        <v>1502</v>
      </c>
      <c r="H736" t="s">
        <v>55</v>
      </c>
      <c r="I736" t="s">
        <v>1503</v>
      </c>
      <c r="J736" t="s">
        <v>124</v>
      </c>
      <c r="K736" t="s">
        <v>909</v>
      </c>
      <c r="L736" t="s">
        <v>1340</v>
      </c>
      <c r="M736" t="s">
        <v>1505</v>
      </c>
      <c r="Q736" t="s">
        <v>57</v>
      </c>
      <c r="Y736" t="s">
        <v>1509</v>
      </c>
      <c r="Z736">
        <v>8544</v>
      </c>
      <c r="AE736">
        <v>2210</v>
      </c>
      <c r="AF736" s="4">
        <v>0.44</v>
      </c>
      <c r="AG736">
        <f t="shared" si="75"/>
        <v>1237.6</v>
      </c>
      <c r="AH736" s="4">
        <v>0.18</v>
      </c>
      <c r="AI736">
        <f t="shared" si="70"/>
        <v>1460.37</v>
      </c>
      <c r="AJ736" s="4">
        <v>0.1</v>
      </c>
      <c r="AK736">
        <f t="shared" si="71"/>
        <v>146.04</v>
      </c>
      <c r="AL736">
        <f t="shared" si="72"/>
        <v>1606.41</v>
      </c>
      <c r="AM736">
        <f t="shared" si="73"/>
        <v>603.59</v>
      </c>
      <c r="AN736" s="4">
        <f t="shared" si="74"/>
        <v>0.273117647058824</v>
      </c>
      <c r="AO736" t="s">
        <v>221</v>
      </c>
      <c r="AQ736" t="s">
        <v>217</v>
      </c>
      <c r="AT736" t="s">
        <v>1508</v>
      </c>
    </row>
    <row r="737" ht="15.75" customHeight="1" spans="1:46">
      <c r="A737" t="s">
        <v>1498</v>
      </c>
      <c r="B737" t="s">
        <v>71</v>
      </c>
      <c r="C737" t="s">
        <v>1499</v>
      </c>
      <c r="D737" t="s">
        <v>1500</v>
      </c>
      <c r="E737" t="s">
        <v>1501</v>
      </c>
      <c r="F737" t="s">
        <v>1502</v>
      </c>
      <c r="H737" t="s">
        <v>55</v>
      </c>
      <c r="I737" t="s">
        <v>1503</v>
      </c>
      <c r="J737" t="s">
        <v>124</v>
      </c>
      <c r="K737" t="s">
        <v>1510</v>
      </c>
      <c r="L737" t="s">
        <v>1340</v>
      </c>
      <c r="M737" t="s">
        <v>1505</v>
      </c>
      <c r="Q737" t="s">
        <v>57</v>
      </c>
      <c r="Y737" t="s">
        <v>1511</v>
      </c>
      <c r="Z737">
        <v>8544</v>
      </c>
      <c r="AE737">
        <v>2210</v>
      </c>
      <c r="AF737" s="4">
        <v>0.44</v>
      </c>
      <c r="AG737">
        <f t="shared" si="75"/>
        <v>1237.6</v>
      </c>
      <c r="AH737" s="4">
        <v>0.18</v>
      </c>
      <c r="AI737">
        <f t="shared" si="70"/>
        <v>1460.37</v>
      </c>
      <c r="AJ737" s="4">
        <v>0.1</v>
      </c>
      <c r="AK737">
        <f t="shared" si="71"/>
        <v>146.04</v>
      </c>
      <c r="AL737">
        <f t="shared" si="72"/>
        <v>1606.41</v>
      </c>
      <c r="AM737">
        <f t="shared" si="73"/>
        <v>603.59</v>
      </c>
      <c r="AN737" s="4">
        <f t="shared" si="74"/>
        <v>0.273117647058824</v>
      </c>
      <c r="AO737" t="s">
        <v>221</v>
      </c>
      <c r="AQ737" t="s">
        <v>217</v>
      </c>
      <c r="AT737" t="s">
        <v>1508</v>
      </c>
    </row>
    <row r="738" ht="15.75" customHeight="1" spans="1:46">
      <c r="A738" t="s">
        <v>1498</v>
      </c>
      <c r="B738" t="s">
        <v>75</v>
      </c>
      <c r="C738" t="s">
        <v>1499</v>
      </c>
      <c r="D738" t="s">
        <v>1500</v>
      </c>
      <c r="E738" t="s">
        <v>1501</v>
      </c>
      <c r="F738" t="s">
        <v>1502</v>
      </c>
      <c r="H738" t="s">
        <v>55</v>
      </c>
      <c r="I738" t="s">
        <v>1503</v>
      </c>
      <c r="J738" t="s">
        <v>124</v>
      </c>
      <c r="K738" t="s">
        <v>1512</v>
      </c>
      <c r="L738" t="s">
        <v>1340</v>
      </c>
      <c r="M738" t="s">
        <v>1505</v>
      </c>
      <c r="Q738" t="s">
        <v>57</v>
      </c>
      <c r="Y738" t="s">
        <v>1513</v>
      </c>
      <c r="Z738">
        <v>8544</v>
      </c>
      <c r="AE738">
        <v>2210</v>
      </c>
      <c r="AF738" s="4">
        <v>0.44</v>
      </c>
      <c r="AG738">
        <f t="shared" si="75"/>
        <v>1237.6</v>
      </c>
      <c r="AH738" s="4">
        <v>0.18</v>
      </c>
      <c r="AI738">
        <f t="shared" si="70"/>
        <v>1460.37</v>
      </c>
      <c r="AJ738" s="4">
        <v>0.1</v>
      </c>
      <c r="AK738">
        <f t="shared" si="71"/>
        <v>146.04</v>
      </c>
      <c r="AL738">
        <f t="shared" si="72"/>
        <v>1606.41</v>
      </c>
      <c r="AM738">
        <f t="shared" si="73"/>
        <v>603.59</v>
      </c>
      <c r="AN738" s="4">
        <f t="shared" si="74"/>
        <v>0.273117647058824</v>
      </c>
      <c r="AO738" t="s">
        <v>221</v>
      </c>
      <c r="AQ738" t="s">
        <v>217</v>
      </c>
      <c r="AT738" t="s">
        <v>1508</v>
      </c>
    </row>
    <row r="739" ht="15.75" customHeight="1" spans="1:46">
      <c r="A739" t="s">
        <v>1498</v>
      </c>
      <c r="B739" t="s">
        <v>79</v>
      </c>
      <c r="C739" t="s">
        <v>1499</v>
      </c>
      <c r="D739" t="s">
        <v>1500</v>
      </c>
      <c r="E739" t="s">
        <v>1501</v>
      </c>
      <c r="F739" t="s">
        <v>1502</v>
      </c>
      <c r="H739" t="s">
        <v>55</v>
      </c>
      <c r="I739" t="s">
        <v>1503</v>
      </c>
      <c r="J739" t="s">
        <v>124</v>
      </c>
      <c r="K739" t="s">
        <v>1514</v>
      </c>
      <c r="L739" t="s">
        <v>1340</v>
      </c>
      <c r="M739" t="s">
        <v>1505</v>
      </c>
      <c r="Q739" t="s">
        <v>57</v>
      </c>
      <c r="Y739" t="s">
        <v>1515</v>
      </c>
      <c r="Z739">
        <v>8544</v>
      </c>
      <c r="AE739">
        <v>2210</v>
      </c>
      <c r="AF739" s="4">
        <v>0.44</v>
      </c>
      <c r="AG739">
        <f t="shared" si="75"/>
        <v>1237.6</v>
      </c>
      <c r="AH739" s="4">
        <v>0.18</v>
      </c>
      <c r="AI739">
        <f t="shared" si="70"/>
        <v>1460.37</v>
      </c>
      <c r="AJ739" s="4">
        <v>0.1</v>
      </c>
      <c r="AK739">
        <f t="shared" si="71"/>
        <v>146.04</v>
      </c>
      <c r="AL739">
        <f t="shared" si="72"/>
        <v>1606.41</v>
      </c>
      <c r="AM739">
        <f t="shared" si="73"/>
        <v>603.59</v>
      </c>
      <c r="AN739" s="4">
        <f t="shared" si="74"/>
        <v>0.273117647058824</v>
      </c>
      <c r="AO739" t="s">
        <v>221</v>
      </c>
      <c r="AQ739" t="s">
        <v>217</v>
      </c>
      <c r="AT739" t="s">
        <v>1508</v>
      </c>
    </row>
    <row r="740" ht="15.75" customHeight="1" spans="1:46">
      <c r="A740" t="s">
        <v>1498</v>
      </c>
      <c r="B740" t="s">
        <v>83</v>
      </c>
      <c r="C740" t="s">
        <v>1499</v>
      </c>
      <c r="D740" t="s">
        <v>1500</v>
      </c>
      <c r="E740" t="s">
        <v>1501</v>
      </c>
      <c r="F740" t="s">
        <v>1502</v>
      </c>
      <c r="H740" t="s">
        <v>55</v>
      </c>
      <c r="I740" t="s">
        <v>1516</v>
      </c>
      <c r="J740" t="s">
        <v>124</v>
      </c>
      <c r="K740" t="s">
        <v>1504</v>
      </c>
      <c r="L740" t="s">
        <v>1340</v>
      </c>
      <c r="M740" t="s">
        <v>1505</v>
      </c>
      <c r="Q740" t="s">
        <v>57</v>
      </c>
      <c r="Y740" t="s">
        <v>1507</v>
      </c>
      <c r="Z740">
        <v>8544</v>
      </c>
      <c r="AE740">
        <v>2980</v>
      </c>
      <c r="AF740" s="4">
        <v>0.44</v>
      </c>
      <c r="AG740">
        <f t="shared" si="75"/>
        <v>1668.8</v>
      </c>
      <c r="AH740" s="4">
        <v>0.18</v>
      </c>
      <c r="AI740">
        <f t="shared" si="70"/>
        <v>1969.18</v>
      </c>
      <c r="AJ740" s="4">
        <v>0.1</v>
      </c>
      <c r="AK740">
        <f t="shared" si="71"/>
        <v>196.92</v>
      </c>
      <c r="AL740">
        <f t="shared" si="72"/>
        <v>2166.1</v>
      </c>
      <c r="AM740">
        <f t="shared" si="73"/>
        <v>813.9</v>
      </c>
      <c r="AN740" s="4">
        <f t="shared" si="74"/>
        <v>0.273120805369128</v>
      </c>
      <c r="AO740" t="s">
        <v>221</v>
      </c>
      <c r="AQ740" t="s">
        <v>217</v>
      </c>
      <c r="AT740" t="s">
        <v>1508</v>
      </c>
    </row>
    <row r="741" ht="15.75" customHeight="1" spans="1:46">
      <c r="A741" t="s">
        <v>1498</v>
      </c>
      <c r="B741" t="s">
        <v>131</v>
      </c>
      <c r="C741" t="s">
        <v>1499</v>
      </c>
      <c r="D741" t="s">
        <v>1500</v>
      </c>
      <c r="E741" t="s">
        <v>1501</v>
      </c>
      <c r="F741" t="s">
        <v>1502</v>
      </c>
      <c r="H741" t="s">
        <v>55</v>
      </c>
      <c r="I741" t="s">
        <v>1516</v>
      </c>
      <c r="J741" t="s">
        <v>124</v>
      </c>
      <c r="K741" t="s">
        <v>909</v>
      </c>
      <c r="L741" t="s">
        <v>1340</v>
      </c>
      <c r="M741" t="s">
        <v>1505</v>
      </c>
      <c r="Q741" t="s">
        <v>57</v>
      </c>
      <c r="Y741" t="s">
        <v>1509</v>
      </c>
      <c r="Z741">
        <v>8544</v>
      </c>
      <c r="AE741">
        <v>2980</v>
      </c>
      <c r="AF741" s="4">
        <v>0.44</v>
      </c>
      <c r="AG741">
        <f t="shared" si="75"/>
        <v>1668.8</v>
      </c>
      <c r="AH741" s="4">
        <v>0.18</v>
      </c>
      <c r="AI741">
        <f t="shared" si="70"/>
        <v>1969.18</v>
      </c>
      <c r="AJ741" s="4">
        <v>0.1</v>
      </c>
      <c r="AK741">
        <f t="shared" si="71"/>
        <v>196.92</v>
      </c>
      <c r="AL741">
        <f t="shared" si="72"/>
        <v>2166.1</v>
      </c>
      <c r="AM741">
        <f t="shared" si="73"/>
        <v>813.9</v>
      </c>
      <c r="AN741" s="4">
        <f t="shared" si="74"/>
        <v>0.273120805369128</v>
      </c>
      <c r="AO741" t="s">
        <v>221</v>
      </c>
      <c r="AQ741" t="s">
        <v>217</v>
      </c>
      <c r="AT741" t="s">
        <v>1508</v>
      </c>
    </row>
    <row r="742" ht="15.75" customHeight="1" spans="1:46">
      <c r="A742" t="s">
        <v>1498</v>
      </c>
      <c r="B742" t="s">
        <v>133</v>
      </c>
      <c r="C742" t="s">
        <v>1499</v>
      </c>
      <c r="D742" t="s">
        <v>1500</v>
      </c>
      <c r="E742" t="s">
        <v>1501</v>
      </c>
      <c r="F742" t="s">
        <v>1502</v>
      </c>
      <c r="H742" t="s">
        <v>55</v>
      </c>
      <c r="I742" t="s">
        <v>1516</v>
      </c>
      <c r="J742" t="s">
        <v>124</v>
      </c>
      <c r="K742" t="s">
        <v>1510</v>
      </c>
      <c r="L742" t="s">
        <v>1340</v>
      </c>
      <c r="M742" t="s">
        <v>1505</v>
      </c>
      <c r="Q742" t="s">
        <v>57</v>
      </c>
      <c r="Y742" t="s">
        <v>1511</v>
      </c>
      <c r="Z742">
        <v>8544</v>
      </c>
      <c r="AE742">
        <v>2980</v>
      </c>
      <c r="AF742" s="4">
        <v>0.44</v>
      </c>
      <c r="AG742">
        <f t="shared" si="75"/>
        <v>1668.8</v>
      </c>
      <c r="AH742" s="4">
        <v>0.18</v>
      </c>
      <c r="AI742">
        <f t="shared" si="70"/>
        <v>1969.18</v>
      </c>
      <c r="AJ742" s="4">
        <v>0.1</v>
      </c>
      <c r="AK742">
        <f t="shared" si="71"/>
        <v>196.92</v>
      </c>
      <c r="AL742">
        <f t="shared" si="72"/>
        <v>2166.1</v>
      </c>
      <c r="AM742">
        <f t="shared" si="73"/>
        <v>813.9</v>
      </c>
      <c r="AN742" s="4">
        <f t="shared" si="74"/>
        <v>0.273120805369128</v>
      </c>
      <c r="AO742" t="s">
        <v>221</v>
      </c>
      <c r="AQ742" t="s">
        <v>217</v>
      </c>
      <c r="AT742" t="s">
        <v>1508</v>
      </c>
    </row>
    <row r="743" ht="15.75" customHeight="1" spans="1:46">
      <c r="A743" t="s">
        <v>1498</v>
      </c>
      <c r="B743" t="s">
        <v>135</v>
      </c>
      <c r="C743" t="s">
        <v>1499</v>
      </c>
      <c r="D743" t="s">
        <v>1500</v>
      </c>
      <c r="E743" t="s">
        <v>1501</v>
      </c>
      <c r="F743" t="s">
        <v>1502</v>
      </c>
      <c r="H743" t="s">
        <v>55</v>
      </c>
      <c r="I743" t="s">
        <v>1516</v>
      </c>
      <c r="J743" t="s">
        <v>124</v>
      </c>
      <c r="K743" t="s">
        <v>1512</v>
      </c>
      <c r="L743" t="s">
        <v>1340</v>
      </c>
      <c r="M743" t="s">
        <v>1505</v>
      </c>
      <c r="Q743" t="s">
        <v>57</v>
      </c>
      <c r="Y743" t="s">
        <v>1513</v>
      </c>
      <c r="Z743">
        <v>8544</v>
      </c>
      <c r="AE743">
        <v>2980</v>
      </c>
      <c r="AF743" s="4">
        <v>0.44</v>
      </c>
      <c r="AG743">
        <f t="shared" si="75"/>
        <v>1668.8</v>
      </c>
      <c r="AH743" s="4">
        <v>0.18</v>
      </c>
      <c r="AI743">
        <f t="shared" si="70"/>
        <v>1969.18</v>
      </c>
      <c r="AJ743" s="4">
        <v>0.1</v>
      </c>
      <c r="AK743">
        <f t="shared" si="71"/>
        <v>196.92</v>
      </c>
      <c r="AL743">
        <f t="shared" si="72"/>
        <v>2166.1</v>
      </c>
      <c r="AM743">
        <f t="shared" si="73"/>
        <v>813.9</v>
      </c>
      <c r="AN743" s="4">
        <f t="shared" si="74"/>
        <v>0.273120805369128</v>
      </c>
      <c r="AO743" t="s">
        <v>221</v>
      </c>
      <c r="AQ743" t="s">
        <v>217</v>
      </c>
      <c r="AT743" t="s">
        <v>1508</v>
      </c>
    </row>
    <row r="744" ht="15.75" customHeight="1" spans="1:46">
      <c r="A744" t="s">
        <v>1498</v>
      </c>
      <c r="B744" t="s">
        <v>137</v>
      </c>
      <c r="C744" t="s">
        <v>1499</v>
      </c>
      <c r="D744" t="s">
        <v>1500</v>
      </c>
      <c r="E744" t="s">
        <v>1501</v>
      </c>
      <c r="F744" t="s">
        <v>1502</v>
      </c>
      <c r="H744" t="s">
        <v>55</v>
      </c>
      <c r="I744" t="s">
        <v>1516</v>
      </c>
      <c r="J744" t="s">
        <v>124</v>
      </c>
      <c r="K744" t="s">
        <v>1514</v>
      </c>
      <c r="L744" t="s">
        <v>1340</v>
      </c>
      <c r="M744" t="s">
        <v>1505</v>
      </c>
      <c r="Q744" t="s">
        <v>57</v>
      </c>
      <c r="Y744" t="s">
        <v>1515</v>
      </c>
      <c r="Z744">
        <v>8544</v>
      </c>
      <c r="AE744">
        <v>2980</v>
      </c>
      <c r="AF744" s="4">
        <v>0.44</v>
      </c>
      <c r="AG744">
        <f t="shared" si="75"/>
        <v>1668.8</v>
      </c>
      <c r="AH744" s="4">
        <v>0.18</v>
      </c>
      <c r="AI744">
        <f t="shared" si="70"/>
        <v>1969.18</v>
      </c>
      <c r="AJ744" s="4">
        <v>0.1</v>
      </c>
      <c r="AK744">
        <f t="shared" si="71"/>
        <v>196.92</v>
      </c>
      <c r="AL744">
        <f t="shared" si="72"/>
        <v>2166.1</v>
      </c>
      <c r="AM744">
        <f t="shared" si="73"/>
        <v>813.9</v>
      </c>
      <c r="AN744" s="4">
        <f t="shared" si="74"/>
        <v>0.273120805369128</v>
      </c>
      <c r="AO744" t="s">
        <v>221</v>
      </c>
      <c r="AQ744" t="s">
        <v>217</v>
      </c>
      <c r="AT744" t="s">
        <v>1508</v>
      </c>
    </row>
    <row r="745" ht="15.75" customHeight="1" spans="1:46">
      <c r="A745" t="s">
        <v>1498</v>
      </c>
      <c r="B745" t="s">
        <v>138</v>
      </c>
      <c r="C745" t="s">
        <v>1499</v>
      </c>
      <c r="D745" t="s">
        <v>1500</v>
      </c>
      <c r="E745" t="s">
        <v>1501</v>
      </c>
      <c r="F745" t="s">
        <v>1502</v>
      </c>
      <c r="H745" t="s">
        <v>55</v>
      </c>
      <c r="I745" t="s">
        <v>1517</v>
      </c>
      <c r="J745" t="s">
        <v>124</v>
      </c>
      <c r="K745" t="s">
        <v>1504</v>
      </c>
      <c r="L745" t="s">
        <v>1340</v>
      </c>
      <c r="M745" t="s">
        <v>1505</v>
      </c>
      <c r="Q745" t="s">
        <v>57</v>
      </c>
      <c r="Y745" t="s">
        <v>1507</v>
      </c>
      <c r="Z745">
        <v>8544</v>
      </c>
      <c r="AE745">
        <v>4350</v>
      </c>
      <c r="AF745" s="4">
        <v>0.44</v>
      </c>
      <c r="AG745">
        <f t="shared" si="75"/>
        <v>2436</v>
      </c>
      <c r="AH745" s="4">
        <v>0.18</v>
      </c>
      <c r="AI745">
        <f t="shared" si="70"/>
        <v>2874.48</v>
      </c>
      <c r="AJ745" s="4">
        <v>0.1</v>
      </c>
      <c r="AK745">
        <f t="shared" si="71"/>
        <v>287.45</v>
      </c>
      <c r="AL745">
        <f t="shared" si="72"/>
        <v>3161.93</v>
      </c>
      <c r="AM745">
        <f t="shared" si="73"/>
        <v>1188.07</v>
      </c>
      <c r="AN745" s="4">
        <f t="shared" si="74"/>
        <v>0.273119540229885</v>
      </c>
      <c r="AO745" t="s">
        <v>221</v>
      </c>
      <c r="AQ745" t="s">
        <v>217</v>
      </c>
      <c r="AT745" t="s">
        <v>1508</v>
      </c>
    </row>
    <row r="746" ht="15.75" customHeight="1" spans="1:46">
      <c r="A746" t="s">
        <v>1498</v>
      </c>
      <c r="B746" t="s">
        <v>140</v>
      </c>
      <c r="C746" t="s">
        <v>1499</v>
      </c>
      <c r="D746" t="s">
        <v>1500</v>
      </c>
      <c r="E746" t="s">
        <v>1501</v>
      </c>
      <c r="F746" t="s">
        <v>1502</v>
      </c>
      <c r="H746" t="s">
        <v>55</v>
      </c>
      <c r="I746" t="s">
        <v>1517</v>
      </c>
      <c r="J746" t="s">
        <v>124</v>
      </c>
      <c r="K746" t="s">
        <v>909</v>
      </c>
      <c r="L746" t="s">
        <v>1340</v>
      </c>
      <c r="M746" t="s">
        <v>1505</v>
      </c>
      <c r="Q746" t="s">
        <v>57</v>
      </c>
      <c r="Y746" t="s">
        <v>1509</v>
      </c>
      <c r="Z746">
        <v>8544</v>
      </c>
      <c r="AE746">
        <v>4350</v>
      </c>
      <c r="AF746" s="4">
        <v>0.44</v>
      </c>
      <c r="AG746">
        <f t="shared" si="75"/>
        <v>2436</v>
      </c>
      <c r="AH746" s="4">
        <v>0.18</v>
      </c>
      <c r="AI746">
        <f t="shared" si="70"/>
        <v>2874.48</v>
      </c>
      <c r="AJ746" s="4">
        <v>0.1</v>
      </c>
      <c r="AK746">
        <f t="shared" si="71"/>
        <v>287.45</v>
      </c>
      <c r="AL746">
        <f t="shared" si="72"/>
        <v>3161.93</v>
      </c>
      <c r="AM746">
        <f t="shared" si="73"/>
        <v>1188.07</v>
      </c>
      <c r="AN746" s="4">
        <f t="shared" si="74"/>
        <v>0.273119540229885</v>
      </c>
      <c r="AO746" t="s">
        <v>221</v>
      </c>
      <c r="AQ746" t="s">
        <v>217</v>
      </c>
      <c r="AT746" t="s">
        <v>1508</v>
      </c>
    </row>
    <row r="747" ht="15.75" customHeight="1" spans="1:46">
      <c r="A747" t="s">
        <v>1498</v>
      </c>
      <c r="B747" t="s">
        <v>202</v>
      </c>
      <c r="C747" t="s">
        <v>1499</v>
      </c>
      <c r="D747" t="s">
        <v>1500</v>
      </c>
      <c r="E747" t="s">
        <v>1501</v>
      </c>
      <c r="F747" t="s">
        <v>1502</v>
      </c>
      <c r="H747" t="s">
        <v>55</v>
      </c>
      <c r="I747" t="s">
        <v>1517</v>
      </c>
      <c r="J747" t="s">
        <v>124</v>
      </c>
      <c r="K747" t="s">
        <v>1510</v>
      </c>
      <c r="L747" t="s">
        <v>1340</v>
      </c>
      <c r="M747" t="s">
        <v>1505</v>
      </c>
      <c r="Q747" t="s">
        <v>57</v>
      </c>
      <c r="Y747" t="s">
        <v>1511</v>
      </c>
      <c r="Z747">
        <v>8544</v>
      </c>
      <c r="AE747">
        <v>4350</v>
      </c>
      <c r="AF747" s="4">
        <v>0.44</v>
      </c>
      <c r="AG747">
        <f t="shared" si="75"/>
        <v>2436</v>
      </c>
      <c r="AH747" s="4">
        <v>0.18</v>
      </c>
      <c r="AI747">
        <f t="shared" si="70"/>
        <v>2874.48</v>
      </c>
      <c r="AJ747" s="4">
        <v>0.1</v>
      </c>
      <c r="AK747">
        <f t="shared" si="71"/>
        <v>287.45</v>
      </c>
      <c r="AL747">
        <f t="shared" si="72"/>
        <v>3161.93</v>
      </c>
      <c r="AM747">
        <f t="shared" si="73"/>
        <v>1188.07</v>
      </c>
      <c r="AN747" s="4">
        <f t="shared" si="74"/>
        <v>0.273119540229885</v>
      </c>
      <c r="AO747" t="s">
        <v>221</v>
      </c>
      <c r="AQ747" t="s">
        <v>217</v>
      </c>
      <c r="AT747" t="s">
        <v>1508</v>
      </c>
    </row>
    <row r="748" ht="15.75" customHeight="1" spans="1:46">
      <c r="A748" t="s">
        <v>1498</v>
      </c>
      <c r="B748" t="s">
        <v>203</v>
      </c>
      <c r="C748" t="s">
        <v>1499</v>
      </c>
      <c r="D748" t="s">
        <v>1500</v>
      </c>
      <c r="E748" t="s">
        <v>1501</v>
      </c>
      <c r="F748" t="s">
        <v>1502</v>
      </c>
      <c r="H748" t="s">
        <v>55</v>
      </c>
      <c r="I748" t="s">
        <v>1517</v>
      </c>
      <c r="J748" t="s">
        <v>124</v>
      </c>
      <c r="K748" t="s">
        <v>1512</v>
      </c>
      <c r="L748" t="s">
        <v>1340</v>
      </c>
      <c r="M748" t="s">
        <v>1505</v>
      </c>
      <c r="Q748" t="s">
        <v>57</v>
      </c>
      <c r="Y748" t="s">
        <v>1513</v>
      </c>
      <c r="Z748">
        <v>8544</v>
      </c>
      <c r="AE748">
        <v>4350</v>
      </c>
      <c r="AF748" s="4">
        <v>0.44</v>
      </c>
      <c r="AG748">
        <f t="shared" si="75"/>
        <v>2436</v>
      </c>
      <c r="AH748" s="4">
        <v>0.18</v>
      </c>
      <c r="AI748">
        <f t="shared" si="70"/>
        <v>2874.48</v>
      </c>
      <c r="AJ748" s="4">
        <v>0.1</v>
      </c>
      <c r="AK748">
        <f t="shared" si="71"/>
        <v>287.45</v>
      </c>
      <c r="AL748">
        <f t="shared" si="72"/>
        <v>3161.93</v>
      </c>
      <c r="AM748">
        <f t="shared" si="73"/>
        <v>1188.07</v>
      </c>
      <c r="AN748" s="4">
        <f t="shared" si="74"/>
        <v>0.273119540229885</v>
      </c>
      <c r="AO748" t="s">
        <v>221</v>
      </c>
      <c r="AQ748" t="s">
        <v>217</v>
      </c>
      <c r="AT748" t="s">
        <v>1508</v>
      </c>
    </row>
    <row r="749" ht="15.75" customHeight="1" spans="1:46">
      <c r="A749" t="s">
        <v>1498</v>
      </c>
      <c r="B749" t="s">
        <v>204</v>
      </c>
      <c r="C749" t="s">
        <v>1499</v>
      </c>
      <c r="D749" t="s">
        <v>1500</v>
      </c>
      <c r="E749" t="s">
        <v>1501</v>
      </c>
      <c r="F749" t="s">
        <v>1502</v>
      </c>
      <c r="H749" t="s">
        <v>55</v>
      </c>
      <c r="I749" t="s">
        <v>1517</v>
      </c>
      <c r="J749" t="s">
        <v>124</v>
      </c>
      <c r="K749" t="s">
        <v>1514</v>
      </c>
      <c r="L749" t="s">
        <v>1340</v>
      </c>
      <c r="M749" t="s">
        <v>1505</v>
      </c>
      <c r="Q749" t="s">
        <v>57</v>
      </c>
      <c r="Y749" t="s">
        <v>1515</v>
      </c>
      <c r="Z749">
        <v>8544</v>
      </c>
      <c r="AE749">
        <v>4350</v>
      </c>
      <c r="AF749" s="4">
        <v>0.44</v>
      </c>
      <c r="AG749">
        <f t="shared" si="75"/>
        <v>2436</v>
      </c>
      <c r="AH749" s="4">
        <v>0.18</v>
      </c>
      <c r="AI749">
        <f t="shared" si="70"/>
        <v>2874.48</v>
      </c>
      <c r="AJ749" s="4">
        <v>0.1</v>
      </c>
      <c r="AK749">
        <f t="shared" si="71"/>
        <v>287.45</v>
      </c>
      <c r="AL749">
        <f t="shared" si="72"/>
        <v>3161.93</v>
      </c>
      <c r="AM749">
        <f t="shared" si="73"/>
        <v>1188.07</v>
      </c>
      <c r="AN749" s="4">
        <f t="shared" si="74"/>
        <v>0.273119540229885</v>
      </c>
      <c r="AO749" t="s">
        <v>221</v>
      </c>
      <c r="AQ749" t="s">
        <v>217</v>
      </c>
      <c r="AT749" t="s">
        <v>1508</v>
      </c>
    </row>
    <row r="750" ht="15.75" customHeight="1" spans="1:46">
      <c r="A750" t="s">
        <v>1498</v>
      </c>
      <c r="B750" t="s">
        <v>205</v>
      </c>
      <c r="C750" t="s">
        <v>1499</v>
      </c>
      <c r="D750" t="s">
        <v>1500</v>
      </c>
      <c r="E750" t="s">
        <v>1501</v>
      </c>
      <c r="F750" t="s">
        <v>1502</v>
      </c>
      <c r="H750" t="s">
        <v>55</v>
      </c>
      <c r="I750" t="s">
        <v>1518</v>
      </c>
      <c r="J750" t="s">
        <v>124</v>
      </c>
      <c r="K750" t="s">
        <v>1504</v>
      </c>
      <c r="L750" t="s">
        <v>1340</v>
      </c>
      <c r="M750" t="s">
        <v>1505</v>
      </c>
      <c r="Q750" t="s">
        <v>57</v>
      </c>
      <c r="Y750" t="s">
        <v>1507</v>
      </c>
      <c r="Z750">
        <v>8544</v>
      </c>
      <c r="AE750">
        <v>6825</v>
      </c>
      <c r="AF750" s="4">
        <v>0.44</v>
      </c>
      <c r="AG750">
        <f t="shared" si="75"/>
        <v>3822</v>
      </c>
      <c r="AH750" s="4">
        <v>0.18</v>
      </c>
      <c r="AI750">
        <f t="shared" si="70"/>
        <v>4509.96</v>
      </c>
      <c r="AJ750" s="4">
        <v>0.1</v>
      </c>
      <c r="AK750">
        <f t="shared" si="71"/>
        <v>451</v>
      </c>
      <c r="AL750">
        <f t="shared" si="72"/>
        <v>4960.96</v>
      </c>
      <c r="AM750">
        <f t="shared" si="73"/>
        <v>1864.04</v>
      </c>
      <c r="AN750" s="4">
        <f t="shared" si="74"/>
        <v>0.273119413919414</v>
      </c>
      <c r="AO750" t="s">
        <v>221</v>
      </c>
      <c r="AQ750" t="s">
        <v>217</v>
      </c>
      <c r="AT750" t="s">
        <v>1508</v>
      </c>
    </row>
    <row r="751" ht="15.75" customHeight="1" spans="1:46">
      <c r="A751" t="s">
        <v>1498</v>
      </c>
      <c r="B751" t="s">
        <v>206</v>
      </c>
      <c r="C751" t="s">
        <v>1499</v>
      </c>
      <c r="D751" t="s">
        <v>1500</v>
      </c>
      <c r="E751" t="s">
        <v>1501</v>
      </c>
      <c r="F751" t="s">
        <v>1502</v>
      </c>
      <c r="H751" t="s">
        <v>55</v>
      </c>
      <c r="I751" t="s">
        <v>1518</v>
      </c>
      <c r="J751" t="s">
        <v>124</v>
      </c>
      <c r="K751" t="s">
        <v>909</v>
      </c>
      <c r="L751" t="s">
        <v>1340</v>
      </c>
      <c r="M751" t="s">
        <v>1505</v>
      </c>
      <c r="Q751" t="s">
        <v>57</v>
      </c>
      <c r="Y751" t="s">
        <v>1509</v>
      </c>
      <c r="Z751">
        <v>8544</v>
      </c>
      <c r="AE751">
        <v>6825</v>
      </c>
      <c r="AF751" s="4">
        <v>0.44</v>
      </c>
      <c r="AG751">
        <f t="shared" si="75"/>
        <v>3822</v>
      </c>
      <c r="AH751" s="4">
        <v>0.18</v>
      </c>
      <c r="AI751">
        <f t="shared" si="70"/>
        <v>4509.96</v>
      </c>
      <c r="AJ751" s="4">
        <v>0.1</v>
      </c>
      <c r="AK751">
        <f t="shared" si="71"/>
        <v>451</v>
      </c>
      <c r="AL751">
        <f t="shared" si="72"/>
        <v>4960.96</v>
      </c>
      <c r="AM751">
        <f t="shared" si="73"/>
        <v>1864.04</v>
      </c>
      <c r="AN751" s="4">
        <f t="shared" si="74"/>
        <v>0.273119413919414</v>
      </c>
      <c r="AO751" t="s">
        <v>221</v>
      </c>
      <c r="AQ751" t="s">
        <v>217</v>
      </c>
      <c r="AT751" t="s">
        <v>1508</v>
      </c>
    </row>
    <row r="752" ht="15.75" customHeight="1" spans="1:46">
      <c r="A752" t="s">
        <v>1498</v>
      </c>
      <c r="B752" t="s">
        <v>207</v>
      </c>
      <c r="C752" t="s">
        <v>1499</v>
      </c>
      <c r="D752" t="s">
        <v>1500</v>
      </c>
      <c r="E752" t="s">
        <v>1501</v>
      </c>
      <c r="F752" t="s">
        <v>1502</v>
      </c>
      <c r="H752" t="s">
        <v>55</v>
      </c>
      <c r="I752" t="s">
        <v>1518</v>
      </c>
      <c r="J752" t="s">
        <v>124</v>
      </c>
      <c r="K752" t="s">
        <v>1510</v>
      </c>
      <c r="L752" t="s">
        <v>1340</v>
      </c>
      <c r="M752" t="s">
        <v>1505</v>
      </c>
      <c r="Q752" t="s">
        <v>57</v>
      </c>
      <c r="Y752" t="s">
        <v>1511</v>
      </c>
      <c r="Z752">
        <v>8544</v>
      </c>
      <c r="AE752">
        <v>6825</v>
      </c>
      <c r="AF752" s="4">
        <v>0.44</v>
      </c>
      <c r="AG752">
        <f t="shared" si="75"/>
        <v>3822</v>
      </c>
      <c r="AH752" s="4">
        <v>0.18</v>
      </c>
      <c r="AI752">
        <f t="shared" si="70"/>
        <v>4509.96</v>
      </c>
      <c r="AJ752" s="4">
        <v>0.1</v>
      </c>
      <c r="AK752">
        <f t="shared" si="71"/>
        <v>451</v>
      </c>
      <c r="AL752">
        <f t="shared" si="72"/>
        <v>4960.96</v>
      </c>
      <c r="AM752">
        <f t="shared" si="73"/>
        <v>1864.04</v>
      </c>
      <c r="AN752" s="4">
        <f t="shared" si="74"/>
        <v>0.273119413919414</v>
      </c>
      <c r="AO752" t="s">
        <v>221</v>
      </c>
      <c r="AQ752" t="s">
        <v>217</v>
      </c>
      <c r="AT752" t="s">
        <v>1508</v>
      </c>
    </row>
    <row r="753" ht="15.75" customHeight="1" spans="1:46">
      <c r="A753" t="s">
        <v>1498</v>
      </c>
      <c r="B753" t="s">
        <v>208</v>
      </c>
      <c r="C753" t="s">
        <v>1499</v>
      </c>
      <c r="D753" t="s">
        <v>1500</v>
      </c>
      <c r="E753" t="s">
        <v>1501</v>
      </c>
      <c r="F753" t="s">
        <v>1502</v>
      </c>
      <c r="H753" t="s">
        <v>55</v>
      </c>
      <c r="I753" t="s">
        <v>1518</v>
      </c>
      <c r="J753" t="s">
        <v>124</v>
      </c>
      <c r="K753" t="s">
        <v>1512</v>
      </c>
      <c r="L753" t="s">
        <v>1340</v>
      </c>
      <c r="M753" t="s">
        <v>1505</v>
      </c>
      <c r="Q753" t="s">
        <v>57</v>
      </c>
      <c r="Y753" t="s">
        <v>1513</v>
      </c>
      <c r="Z753">
        <v>8544</v>
      </c>
      <c r="AE753">
        <v>6825</v>
      </c>
      <c r="AF753" s="4">
        <v>0.44</v>
      </c>
      <c r="AG753">
        <f t="shared" si="75"/>
        <v>3822</v>
      </c>
      <c r="AH753" s="4">
        <v>0.18</v>
      </c>
      <c r="AI753">
        <f t="shared" si="70"/>
        <v>4509.96</v>
      </c>
      <c r="AJ753" s="4">
        <v>0.1</v>
      </c>
      <c r="AK753">
        <f t="shared" si="71"/>
        <v>451</v>
      </c>
      <c r="AL753">
        <f t="shared" si="72"/>
        <v>4960.96</v>
      </c>
      <c r="AM753">
        <f t="shared" si="73"/>
        <v>1864.04</v>
      </c>
      <c r="AN753" s="4">
        <f t="shared" si="74"/>
        <v>0.273119413919414</v>
      </c>
      <c r="AO753" t="s">
        <v>221</v>
      </c>
      <c r="AQ753" t="s">
        <v>217</v>
      </c>
      <c r="AT753" t="s">
        <v>1508</v>
      </c>
    </row>
    <row r="754" ht="15.75" customHeight="1" spans="1:46">
      <c r="A754" t="s">
        <v>1498</v>
      </c>
      <c r="B754" t="s">
        <v>209</v>
      </c>
      <c r="C754" t="s">
        <v>1499</v>
      </c>
      <c r="D754" t="s">
        <v>1500</v>
      </c>
      <c r="E754" t="s">
        <v>1501</v>
      </c>
      <c r="F754" t="s">
        <v>1502</v>
      </c>
      <c r="H754" t="s">
        <v>55</v>
      </c>
      <c r="I754" t="s">
        <v>1518</v>
      </c>
      <c r="J754" t="s">
        <v>124</v>
      </c>
      <c r="K754" t="s">
        <v>1514</v>
      </c>
      <c r="L754" t="s">
        <v>1340</v>
      </c>
      <c r="M754" t="s">
        <v>1505</v>
      </c>
      <c r="Q754" t="s">
        <v>57</v>
      </c>
      <c r="Y754" t="s">
        <v>1515</v>
      </c>
      <c r="Z754">
        <v>8544</v>
      </c>
      <c r="AE754">
        <v>6825</v>
      </c>
      <c r="AF754" s="4">
        <v>0.44</v>
      </c>
      <c r="AG754">
        <f t="shared" si="75"/>
        <v>3822</v>
      </c>
      <c r="AH754" s="4">
        <v>0.18</v>
      </c>
      <c r="AI754">
        <f t="shared" si="70"/>
        <v>4509.96</v>
      </c>
      <c r="AJ754" s="4">
        <v>0.1</v>
      </c>
      <c r="AK754">
        <f t="shared" si="71"/>
        <v>451</v>
      </c>
      <c r="AL754">
        <f t="shared" si="72"/>
        <v>4960.96</v>
      </c>
      <c r="AM754">
        <f t="shared" si="73"/>
        <v>1864.04</v>
      </c>
      <c r="AN754" s="4">
        <f t="shared" si="74"/>
        <v>0.273119413919414</v>
      </c>
      <c r="AO754" t="s">
        <v>221</v>
      </c>
      <c r="AQ754" t="s">
        <v>217</v>
      </c>
      <c r="AT754" t="s">
        <v>1508</v>
      </c>
    </row>
    <row r="755" ht="15.75" customHeight="1" spans="1:46">
      <c r="A755" t="s">
        <v>1498</v>
      </c>
      <c r="B755" t="s">
        <v>210</v>
      </c>
      <c r="C755" t="s">
        <v>1499</v>
      </c>
      <c r="D755" t="s">
        <v>1500</v>
      </c>
      <c r="E755" t="s">
        <v>1501</v>
      </c>
      <c r="F755" t="s">
        <v>1502</v>
      </c>
      <c r="H755" t="s">
        <v>55</v>
      </c>
      <c r="I755" t="s">
        <v>1519</v>
      </c>
      <c r="J755" t="s">
        <v>124</v>
      </c>
      <c r="K755" t="s">
        <v>1504</v>
      </c>
      <c r="L755" t="s">
        <v>1340</v>
      </c>
      <c r="M755" t="s">
        <v>1505</v>
      </c>
      <c r="Q755" t="s">
        <v>57</v>
      </c>
      <c r="Y755" t="s">
        <v>1507</v>
      </c>
      <c r="Z755">
        <v>8544</v>
      </c>
      <c r="AE755">
        <v>9960</v>
      </c>
      <c r="AF755" s="4">
        <v>0.44</v>
      </c>
      <c r="AG755">
        <f t="shared" si="75"/>
        <v>5577.6</v>
      </c>
      <c r="AH755" s="4">
        <v>0.18</v>
      </c>
      <c r="AI755">
        <f t="shared" si="70"/>
        <v>6581.57</v>
      </c>
      <c r="AJ755" s="4">
        <v>0.1</v>
      </c>
      <c r="AK755">
        <f t="shared" si="71"/>
        <v>658.16</v>
      </c>
      <c r="AL755">
        <f t="shared" si="72"/>
        <v>7239.73</v>
      </c>
      <c r="AM755">
        <f t="shared" si="73"/>
        <v>2720.27</v>
      </c>
      <c r="AN755" s="4">
        <f t="shared" si="74"/>
        <v>0.273119477911647</v>
      </c>
      <c r="AO755" t="s">
        <v>221</v>
      </c>
      <c r="AQ755" t="s">
        <v>217</v>
      </c>
      <c r="AT755" t="s">
        <v>1508</v>
      </c>
    </row>
    <row r="756" ht="15.75" customHeight="1" spans="1:46">
      <c r="A756" t="s">
        <v>1498</v>
      </c>
      <c r="B756" t="s">
        <v>211</v>
      </c>
      <c r="C756" t="s">
        <v>1499</v>
      </c>
      <c r="D756" t="s">
        <v>1500</v>
      </c>
      <c r="E756" t="s">
        <v>1501</v>
      </c>
      <c r="F756" t="s">
        <v>1502</v>
      </c>
      <c r="H756" t="s">
        <v>55</v>
      </c>
      <c r="I756" t="s">
        <v>1519</v>
      </c>
      <c r="J756" t="s">
        <v>124</v>
      </c>
      <c r="K756" t="s">
        <v>909</v>
      </c>
      <c r="L756" t="s">
        <v>1340</v>
      </c>
      <c r="M756" t="s">
        <v>1505</v>
      </c>
      <c r="Q756" t="s">
        <v>57</v>
      </c>
      <c r="Y756" t="s">
        <v>1509</v>
      </c>
      <c r="Z756">
        <v>8544</v>
      </c>
      <c r="AE756">
        <v>9960</v>
      </c>
      <c r="AF756" s="4">
        <v>0.44</v>
      </c>
      <c r="AG756">
        <f t="shared" si="75"/>
        <v>5577.6</v>
      </c>
      <c r="AH756" s="4">
        <v>0.18</v>
      </c>
      <c r="AI756">
        <f t="shared" si="70"/>
        <v>6581.57</v>
      </c>
      <c r="AJ756" s="4">
        <v>0.1</v>
      </c>
      <c r="AK756">
        <f t="shared" si="71"/>
        <v>658.16</v>
      </c>
      <c r="AL756">
        <f t="shared" si="72"/>
        <v>7239.73</v>
      </c>
      <c r="AM756">
        <f t="shared" si="73"/>
        <v>2720.27</v>
      </c>
      <c r="AN756" s="4">
        <f t="shared" si="74"/>
        <v>0.273119477911647</v>
      </c>
      <c r="AO756" t="s">
        <v>221</v>
      </c>
      <c r="AQ756" t="s">
        <v>217</v>
      </c>
      <c r="AT756" t="s">
        <v>1508</v>
      </c>
    </row>
    <row r="757" ht="15.75" customHeight="1" spans="1:46">
      <c r="A757" t="s">
        <v>1498</v>
      </c>
      <c r="B757" t="s">
        <v>212</v>
      </c>
      <c r="C757" t="s">
        <v>1499</v>
      </c>
      <c r="D757" t="s">
        <v>1500</v>
      </c>
      <c r="E757" t="s">
        <v>1501</v>
      </c>
      <c r="F757" t="s">
        <v>1502</v>
      </c>
      <c r="H757" t="s">
        <v>55</v>
      </c>
      <c r="I757" t="s">
        <v>1519</v>
      </c>
      <c r="J757" t="s">
        <v>124</v>
      </c>
      <c r="K757" t="s">
        <v>1510</v>
      </c>
      <c r="L757" t="s">
        <v>1340</v>
      </c>
      <c r="M757" t="s">
        <v>1505</v>
      </c>
      <c r="Q757" t="s">
        <v>57</v>
      </c>
      <c r="Y757" t="s">
        <v>1511</v>
      </c>
      <c r="Z757">
        <v>8544</v>
      </c>
      <c r="AE757">
        <v>9960</v>
      </c>
      <c r="AF757" s="4">
        <v>0.44</v>
      </c>
      <c r="AG757">
        <f t="shared" si="75"/>
        <v>5577.6</v>
      </c>
      <c r="AH757" s="4">
        <v>0.18</v>
      </c>
      <c r="AI757">
        <f t="shared" si="70"/>
        <v>6581.57</v>
      </c>
      <c r="AJ757" s="4">
        <v>0.1</v>
      </c>
      <c r="AK757">
        <f t="shared" si="71"/>
        <v>658.16</v>
      </c>
      <c r="AL757">
        <f t="shared" si="72"/>
        <v>7239.73</v>
      </c>
      <c r="AM757">
        <f t="shared" si="73"/>
        <v>2720.27</v>
      </c>
      <c r="AN757" s="4">
        <f t="shared" si="74"/>
        <v>0.273119477911647</v>
      </c>
      <c r="AO757" t="s">
        <v>221</v>
      </c>
      <c r="AQ757" t="s">
        <v>217</v>
      </c>
      <c r="AT757" t="s">
        <v>1508</v>
      </c>
    </row>
    <row r="758" ht="15.75" customHeight="1" spans="1:46">
      <c r="A758" t="s">
        <v>1498</v>
      </c>
      <c r="B758" t="s">
        <v>213</v>
      </c>
      <c r="C758" t="s">
        <v>1499</v>
      </c>
      <c r="D758" t="s">
        <v>1500</v>
      </c>
      <c r="E758" t="s">
        <v>1501</v>
      </c>
      <c r="F758" t="s">
        <v>1502</v>
      </c>
      <c r="H758" t="s">
        <v>55</v>
      </c>
      <c r="I758" t="s">
        <v>1519</v>
      </c>
      <c r="J758" t="s">
        <v>124</v>
      </c>
      <c r="K758" t="s">
        <v>1512</v>
      </c>
      <c r="L758" t="s">
        <v>1340</v>
      </c>
      <c r="M758" t="s">
        <v>1505</v>
      </c>
      <c r="Q758" t="s">
        <v>57</v>
      </c>
      <c r="Y758" t="s">
        <v>1513</v>
      </c>
      <c r="Z758">
        <v>8544</v>
      </c>
      <c r="AE758">
        <v>9960</v>
      </c>
      <c r="AF758" s="4">
        <v>0.44</v>
      </c>
      <c r="AG758">
        <f t="shared" si="75"/>
        <v>5577.6</v>
      </c>
      <c r="AH758" s="4">
        <v>0.18</v>
      </c>
      <c r="AI758">
        <f t="shared" si="70"/>
        <v>6581.57</v>
      </c>
      <c r="AJ758" s="4">
        <v>0.1</v>
      </c>
      <c r="AK758">
        <f t="shared" si="71"/>
        <v>658.16</v>
      </c>
      <c r="AL758">
        <f t="shared" si="72"/>
        <v>7239.73</v>
      </c>
      <c r="AM758">
        <f t="shared" si="73"/>
        <v>2720.27</v>
      </c>
      <c r="AN758" s="4">
        <f t="shared" si="74"/>
        <v>0.273119477911647</v>
      </c>
      <c r="AO758" t="s">
        <v>221</v>
      </c>
      <c r="AQ758" t="s">
        <v>217</v>
      </c>
      <c r="AT758" t="s">
        <v>1508</v>
      </c>
    </row>
    <row r="759" ht="15.75" customHeight="1" spans="1:46">
      <c r="A759" t="s">
        <v>1498</v>
      </c>
      <c r="B759" t="s">
        <v>1520</v>
      </c>
      <c r="C759" t="s">
        <v>1499</v>
      </c>
      <c r="D759" t="s">
        <v>1500</v>
      </c>
      <c r="E759" t="s">
        <v>1501</v>
      </c>
      <c r="F759" t="s">
        <v>1502</v>
      </c>
      <c r="H759" t="s">
        <v>55</v>
      </c>
      <c r="I759" t="s">
        <v>1519</v>
      </c>
      <c r="J759" t="s">
        <v>124</v>
      </c>
      <c r="K759" t="s">
        <v>1514</v>
      </c>
      <c r="L759" t="s">
        <v>1340</v>
      </c>
      <c r="M759" t="s">
        <v>1505</v>
      </c>
      <c r="Q759" t="s">
        <v>57</v>
      </c>
      <c r="Y759" t="s">
        <v>1515</v>
      </c>
      <c r="Z759">
        <v>8544</v>
      </c>
      <c r="AE759">
        <v>9960</v>
      </c>
      <c r="AF759" s="4">
        <v>0.44</v>
      </c>
      <c r="AG759">
        <f t="shared" si="75"/>
        <v>5577.6</v>
      </c>
      <c r="AH759" s="4">
        <v>0.18</v>
      </c>
      <c r="AI759">
        <f t="shared" si="70"/>
        <v>6581.57</v>
      </c>
      <c r="AJ759" s="4">
        <v>0.1</v>
      </c>
      <c r="AK759">
        <f t="shared" si="71"/>
        <v>658.16</v>
      </c>
      <c r="AL759">
        <f t="shared" si="72"/>
        <v>7239.73</v>
      </c>
      <c r="AM759">
        <f t="shared" si="73"/>
        <v>2720.27</v>
      </c>
      <c r="AN759" s="4">
        <f t="shared" si="74"/>
        <v>0.273119477911647</v>
      </c>
      <c r="AO759" t="s">
        <v>221</v>
      </c>
      <c r="AQ759" t="s">
        <v>217</v>
      </c>
      <c r="AT759" t="s">
        <v>1508</v>
      </c>
    </row>
    <row r="760" ht="15.75" customHeight="1" spans="1:46">
      <c r="A760" t="s">
        <v>1498</v>
      </c>
      <c r="B760" t="s">
        <v>1521</v>
      </c>
      <c r="C760" t="s">
        <v>1499</v>
      </c>
      <c r="D760" t="s">
        <v>1500</v>
      </c>
      <c r="E760" t="s">
        <v>1501</v>
      </c>
      <c r="F760" t="s">
        <v>1502</v>
      </c>
      <c r="H760" t="s">
        <v>55</v>
      </c>
      <c r="I760" t="s">
        <v>1522</v>
      </c>
      <c r="J760" t="s">
        <v>124</v>
      </c>
      <c r="K760" t="s">
        <v>1504</v>
      </c>
      <c r="L760" t="s">
        <v>1340</v>
      </c>
      <c r="M760" t="s">
        <v>1505</v>
      </c>
      <c r="Q760" t="s">
        <v>57</v>
      </c>
      <c r="Y760" t="s">
        <v>1507</v>
      </c>
      <c r="Z760">
        <v>8544</v>
      </c>
      <c r="AE760">
        <v>14950</v>
      </c>
      <c r="AF760" s="4">
        <v>0.44</v>
      </c>
      <c r="AG760">
        <f t="shared" si="75"/>
        <v>8372</v>
      </c>
      <c r="AH760" s="4">
        <v>0.18</v>
      </c>
      <c r="AI760">
        <f t="shared" si="70"/>
        <v>9878.96</v>
      </c>
      <c r="AJ760" s="4">
        <v>0.1</v>
      </c>
      <c r="AK760">
        <f t="shared" si="71"/>
        <v>987.9</v>
      </c>
      <c r="AL760">
        <f t="shared" si="72"/>
        <v>10866.86</v>
      </c>
      <c r="AM760">
        <f t="shared" si="73"/>
        <v>4083.14</v>
      </c>
      <c r="AN760" s="4">
        <f t="shared" si="74"/>
        <v>0.273119732441472</v>
      </c>
      <c r="AO760" t="s">
        <v>221</v>
      </c>
      <c r="AQ760" t="s">
        <v>217</v>
      </c>
      <c r="AT760" t="s">
        <v>1508</v>
      </c>
    </row>
    <row r="761" ht="15.75" customHeight="1" spans="1:46">
      <c r="A761" t="s">
        <v>1498</v>
      </c>
      <c r="B761" t="s">
        <v>1523</v>
      </c>
      <c r="C761" t="s">
        <v>1499</v>
      </c>
      <c r="D761" t="s">
        <v>1500</v>
      </c>
      <c r="E761" t="s">
        <v>1501</v>
      </c>
      <c r="F761" t="s">
        <v>1502</v>
      </c>
      <c r="H761" t="s">
        <v>55</v>
      </c>
      <c r="I761" t="s">
        <v>1522</v>
      </c>
      <c r="J761" t="s">
        <v>124</v>
      </c>
      <c r="K761" t="s">
        <v>909</v>
      </c>
      <c r="L761" t="s">
        <v>1340</v>
      </c>
      <c r="M761" t="s">
        <v>1505</v>
      </c>
      <c r="Q761" t="s">
        <v>57</v>
      </c>
      <c r="Y761" t="s">
        <v>1509</v>
      </c>
      <c r="Z761">
        <v>8544</v>
      </c>
      <c r="AE761">
        <v>14950</v>
      </c>
      <c r="AF761" s="4">
        <v>0.44</v>
      </c>
      <c r="AG761">
        <f t="shared" si="75"/>
        <v>8372</v>
      </c>
      <c r="AH761" s="4">
        <v>0.18</v>
      </c>
      <c r="AI761">
        <f t="shared" si="70"/>
        <v>9878.96</v>
      </c>
      <c r="AJ761" s="4">
        <v>0.1</v>
      </c>
      <c r="AK761">
        <f t="shared" si="71"/>
        <v>987.9</v>
      </c>
      <c r="AL761">
        <f t="shared" si="72"/>
        <v>10866.86</v>
      </c>
      <c r="AM761">
        <f t="shared" si="73"/>
        <v>4083.14</v>
      </c>
      <c r="AN761" s="4">
        <f t="shared" si="74"/>
        <v>0.273119732441472</v>
      </c>
      <c r="AO761" t="s">
        <v>221</v>
      </c>
      <c r="AQ761" t="s">
        <v>217</v>
      </c>
      <c r="AT761" t="s">
        <v>1508</v>
      </c>
    </row>
    <row r="762" ht="15.75" customHeight="1" spans="1:46">
      <c r="A762" t="s">
        <v>1498</v>
      </c>
      <c r="B762" t="s">
        <v>1524</v>
      </c>
      <c r="C762" t="s">
        <v>1499</v>
      </c>
      <c r="D762" t="s">
        <v>1500</v>
      </c>
      <c r="E762" t="s">
        <v>1501</v>
      </c>
      <c r="F762" t="s">
        <v>1502</v>
      </c>
      <c r="H762" t="s">
        <v>55</v>
      </c>
      <c r="I762" t="s">
        <v>1522</v>
      </c>
      <c r="J762" t="s">
        <v>124</v>
      </c>
      <c r="K762" t="s">
        <v>1510</v>
      </c>
      <c r="L762" t="s">
        <v>1340</v>
      </c>
      <c r="M762" t="s">
        <v>1505</v>
      </c>
      <c r="Q762" t="s">
        <v>57</v>
      </c>
      <c r="Y762" t="s">
        <v>1511</v>
      </c>
      <c r="Z762">
        <v>8544</v>
      </c>
      <c r="AE762">
        <v>14950</v>
      </c>
      <c r="AF762" s="4">
        <v>0.44</v>
      </c>
      <c r="AG762">
        <f t="shared" si="75"/>
        <v>8372</v>
      </c>
      <c r="AH762" s="4">
        <v>0.18</v>
      </c>
      <c r="AI762">
        <f t="shared" si="70"/>
        <v>9878.96</v>
      </c>
      <c r="AJ762" s="4">
        <v>0.1</v>
      </c>
      <c r="AK762">
        <f t="shared" si="71"/>
        <v>987.9</v>
      </c>
      <c r="AL762">
        <f t="shared" si="72"/>
        <v>10866.86</v>
      </c>
      <c r="AM762">
        <f t="shared" si="73"/>
        <v>4083.14</v>
      </c>
      <c r="AN762" s="4">
        <f t="shared" si="74"/>
        <v>0.273119732441472</v>
      </c>
      <c r="AO762" t="s">
        <v>221</v>
      </c>
      <c r="AQ762" t="s">
        <v>217</v>
      </c>
      <c r="AT762" t="s">
        <v>1508</v>
      </c>
    </row>
    <row r="763" ht="15.75" customHeight="1" spans="1:46">
      <c r="A763" t="s">
        <v>1498</v>
      </c>
      <c r="B763" t="s">
        <v>1525</v>
      </c>
      <c r="C763" t="s">
        <v>1499</v>
      </c>
      <c r="D763" t="s">
        <v>1500</v>
      </c>
      <c r="E763" t="s">
        <v>1501</v>
      </c>
      <c r="F763" t="s">
        <v>1502</v>
      </c>
      <c r="H763" t="s">
        <v>55</v>
      </c>
      <c r="I763" t="s">
        <v>1522</v>
      </c>
      <c r="J763" t="s">
        <v>124</v>
      </c>
      <c r="K763" t="s">
        <v>1512</v>
      </c>
      <c r="L763" t="s">
        <v>1340</v>
      </c>
      <c r="M763" t="s">
        <v>1505</v>
      </c>
      <c r="Q763" t="s">
        <v>57</v>
      </c>
      <c r="Y763" t="s">
        <v>1513</v>
      </c>
      <c r="Z763">
        <v>8544</v>
      </c>
      <c r="AE763">
        <v>14950</v>
      </c>
      <c r="AF763" s="4">
        <v>0.44</v>
      </c>
      <c r="AG763">
        <f t="shared" si="75"/>
        <v>8372</v>
      </c>
      <c r="AH763" s="4">
        <v>0.18</v>
      </c>
      <c r="AI763">
        <f t="shared" si="70"/>
        <v>9878.96</v>
      </c>
      <c r="AJ763" s="4">
        <v>0.1</v>
      </c>
      <c r="AK763">
        <f t="shared" si="71"/>
        <v>987.9</v>
      </c>
      <c r="AL763">
        <f t="shared" si="72"/>
        <v>10866.86</v>
      </c>
      <c r="AM763">
        <f t="shared" si="73"/>
        <v>4083.14</v>
      </c>
      <c r="AN763" s="4">
        <f t="shared" si="74"/>
        <v>0.273119732441472</v>
      </c>
      <c r="AO763" t="s">
        <v>221</v>
      </c>
      <c r="AQ763" t="s">
        <v>217</v>
      </c>
      <c r="AT763" t="s">
        <v>1508</v>
      </c>
    </row>
    <row r="764" ht="15.75" customHeight="1" spans="1:46">
      <c r="A764" t="s">
        <v>1498</v>
      </c>
      <c r="B764" t="s">
        <v>1526</v>
      </c>
      <c r="C764" t="s">
        <v>1499</v>
      </c>
      <c r="D764" t="s">
        <v>1500</v>
      </c>
      <c r="E764" t="s">
        <v>1501</v>
      </c>
      <c r="F764" t="s">
        <v>1502</v>
      </c>
      <c r="H764" t="s">
        <v>55</v>
      </c>
      <c r="I764" t="s">
        <v>1522</v>
      </c>
      <c r="J764" t="s">
        <v>124</v>
      </c>
      <c r="K764" t="s">
        <v>1514</v>
      </c>
      <c r="L764" t="s">
        <v>1340</v>
      </c>
      <c r="M764" t="s">
        <v>1505</v>
      </c>
      <c r="Q764" t="s">
        <v>57</v>
      </c>
      <c r="Y764" t="s">
        <v>1515</v>
      </c>
      <c r="Z764">
        <v>8544</v>
      </c>
      <c r="AE764">
        <v>14950</v>
      </c>
      <c r="AF764" s="4">
        <v>0.44</v>
      </c>
      <c r="AG764">
        <f t="shared" si="75"/>
        <v>8372</v>
      </c>
      <c r="AH764" s="4">
        <v>0.18</v>
      </c>
      <c r="AI764">
        <f t="shared" si="70"/>
        <v>9878.96</v>
      </c>
      <c r="AJ764" s="4">
        <v>0.1</v>
      </c>
      <c r="AK764">
        <f t="shared" si="71"/>
        <v>987.9</v>
      </c>
      <c r="AL764">
        <f t="shared" si="72"/>
        <v>10866.86</v>
      </c>
      <c r="AM764">
        <f t="shared" si="73"/>
        <v>4083.14</v>
      </c>
      <c r="AN764" s="4">
        <f t="shared" si="74"/>
        <v>0.273119732441472</v>
      </c>
      <c r="AO764" t="s">
        <v>221</v>
      </c>
      <c r="AQ764" t="s">
        <v>217</v>
      </c>
      <c r="AT764" t="s">
        <v>1508</v>
      </c>
    </row>
    <row r="765" ht="15.75" customHeight="1" spans="1:46">
      <c r="A765" t="s">
        <v>1527</v>
      </c>
      <c r="B765" t="s">
        <v>46</v>
      </c>
      <c r="C765" t="s">
        <v>1499</v>
      </c>
      <c r="D765" t="s">
        <v>1500</v>
      </c>
      <c r="E765" t="s">
        <v>1501</v>
      </c>
      <c r="F765" t="s">
        <v>1528</v>
      </c>
      <c r="H765" t="s">
        <v>55</v>
      </c>
      <c r="I765" t="s">
        <v>1503</v>
      </c>
      <c r="J765" t="s">
        <v>124</v>
      </c>
      <c r="K765" t="s">
        <v>1504</v>
      </c>
      <c r="L765" t="s">
        <v>1340</v>
      </c>
      <c r="M765" t="s">
        <v>1505</v>
      </c>
      <c r="Q765" t="s">
        <v>57</v>
      </c>
      <c r="R765" t="s">
        <v>1529</v>
      </c>
      <c r="Y765" t="s">
        <v>1530</v>
      </c>
      <c r="Z765">
        <v>8544</v>
      </c>
      <c r="AE765">
        <v>2080</v>
      </c>
      <c r="AF765" s="4">
        <v>0.44</v>
      </c>
      <c r="AG765">
        <f t="shared" si="75"/>
        <v>1164.8</v>
      </c>
      <c r="AH765" s="4">
        <v>0.18</v>
      </c>
      <c r="AI765">
        <f t="shared" si="70"/>
        <v>1374.46</v>
      </c>
      <c r="AJ765" s="4">
        <v>0.1</v>
      </c>
      <c r="AK765">
        <f t="shared" si="71"/>
        <v>137.45</v>
      </c>
      <c r="AL765">
        <f t="shared" si="72"/>
        <v>1511.91</v>
      </c>
      <c r="AM765">
        <f t="shared" si="73"/>
        <v>568.09</v>
      </c>
      <c r="AN765" s="4">
        <f t="shared" si="74"/>
        <v>0.273120192307692</v>
      </c>
      <c r="AO765" t="s">
        <v>221</v>
      </c>
      <c r="AQ765" t="s">
        <v>217</v>
      </c>
      <c r="AT765" t="s">
        <v>1508</v>
      </c>
    </row>
    <row r="766" ht="15.75" customHeight="1" spans="1:46">
      <c r="A766" t="s">
        <v>1527</v>
      </c>
      <c r="B766" t="s">
        <v>67</v>
      </c>
      <c r="C766" t="s">
        <v>1499</v>
      </c>
      <c r="D766" t="s">
        <v>1500</v>
      </c>
      <c r="E766" t="s">
        <v>1501</v>
      </c>
      <c r="F766" t="s">
        <v>1528</v>
      </c>
      <c r="H766" t="s">
        <v>55</v>
      </c>
      <c r="I766" t="s">
        <v>1503</v>
      </c>
      <c r="J766" t="s">
        <v>124</v>
      </c>
      <c r="K766" t="s">
        <v>909</v>
      </c>
      <c r="L766" t="s">
        <v>1340</v>
      </c>
      <c r="M766" t="s">
        <v>1505</v>
      </c>
      <c r="Q766" t="s">
        <v>57</v>
      </c>
      <c r="Y766" t="s">
        <v>1531</v>
      </c>
      <c r="Z766">
        <v>8544</v>
      </c>
      <c r="AE766">
        <v>2080</v>
      </c>
      <c r="AF766" s="4">
        <v>0.44</v>
      </c>
      <c r="AG766">
        <f t="shared" si="75"/>
        <v>1164.8</v>
      </c>
      <c r="AH766" s="4">
        <v>0.18</v>
      </c>
      <c r="AI766">
        <f t="shared" si="70"/>
        <v>1374.46</v>
      </c>
      <c r="AJ766" s="4">
        <v>0.1</v>
      </c>
      <c r="AK766">
        <f t="shared" si="71"/>
        <v>137.45</v>
      </c>
      <c r="AL766">
        <f t="shared" si="72"/>
        <v>1511.91</v>
      </c>
      <c r="AM766">
        <f t="shared" si="73"/>
        <v>568.09</v>
      </c>
      <c r="AN766" s="4">
        <f t="shared" si="74"/>
        <v>0.273120192307692</v>
      </c>
      <c r="AO766" t="s">
        <v>221</v>
      </c>
      <c r="AQ766" t="s">
        <v>217</v>
      </c>
      <c r="AT766" t="s">
        <v>1508</v>
      </c>
    </row>
    <row r="767" ht="15.75" customHeight="1" spans="1:46">
      <c r="A767" t="s">
        <v>1527</v>
      </c>
      <c r="B767" t="s">
        <v>71</v>
      </c>
      <c r="C767" t="s">
        <v>1499</v>
      </c>
      <c r="D767" t="s">
        <v>1500</v>
      </c>
      <c r="E767" t="s">
        <v>1501</v>
      </c>
      <c r="F767" t="s">
        <v>1528</v>
      </c>
      <c r="H767" t="s">
        <v>55</v>
      </c>
      <c r="I767" t="s">
        <v>1503</v>
      </c>
      <c r="J767" t="s">
        <v>124</v>
      </c>
      <c r="K767" t="s">
        <v>1510</v>
      </c>
      <c r="L767" t="s">
        <v>1340</v>
      </c>
      <c r="M767" t="s">
        <v>1505</v>
      </c>
      <c r="Q767" t="s">
        <v>57</v>
      </c>
      <c r="Y767" t="s">
        <v>1532</v>
      </c>
      <c r="Z767">
        <v>8544</v>
      </c>
      <c r="AE767">
        <v>2080</v>
      </c>
      <c r="AF767" s="4">
        <v>0.44</v>
      </c>
      <c r="AG767">
        <f t="shared" si="75"/>
        <v>1164.8</v>
      </c>
      <c r="AH767" s="4">
        <v>0.18</v>
      </c>
      <c r="AI767">
        <f t="shared" si="70"/>
        <v>1374.46</v>
      </c>
      <c r="AJ767" s="4">
        <v>0.1</v>
      </c>
      <c r="AK767">
        <f t="shared" si="71"/>
        <v>137.45</v>
      </c>
      <c r="AL767">
        <f t="shared" si="72"/>
        <v>1511.91</v>
      </c>
      <c r="AM767">
        <f t="shared" si="73"/>
        <v>568.09</v>
      </c>
      <c r="AN767" s="4">
        <f t="shared" si="74"/>
        <v>0.273120192307692</v>
      </c>
      <c r="AO767" t="s">
        <v>221</v>
      </c>
      <c r="AQ767" t="s">
        <v>217</v>
      </c>
      <c r="AT767" t="s">
        <v>1508</v>
      </c>
    </row>
    <row r="768" ht="15.75" customHeight="1" spans="1:46">
      <c r="A768" t="s">
        <v>1527</v>
      </c>
      <c r="B768" t="s">
        <v>75</v>
      </c>
      <c r="C768" t="s">
        <v>1499</v>
      </c>
      <c r="D768" t="s">
        <v>1500</v>
      </c>
      <c r="E768" t="s">
        <v>1501</v>
      </c>
      <c r="F768" t="s">
        <v>1528</v>
      </c>
      <c r="H768" t="s">
        <v>55</v>
      </c>
      <c r="I768" t="s">
        <v>1503</v>
      </c>
      <c r="J768" t="s">
        <v>124</v>
      </c>
      <c r="K768" t="s">
        <v>1512</v>
      </c>
      <c r="L768" t="s">
        <v>1340</v>
      </c>
      <c r="M768" t="s">
        <v>1505</v>
      </c>
      <c r="Q768" t="s">
        <v>57</v>
      </c>
      <c r="Y768" t="s">
        <v>1533</v>
      </c>
      <c r="Z768">
        <v>8544</v>
      </c>
      <c r="AE768">
        <v>2080</v>
      </c>
      <c r="AF768" s="4">
        <v>0.44</v>
      </c>
      <c r="AG768">
        <f t="shared" si="75"/>
        <v>1164.8</v>
      </c>
      <c r="AH768" s="4">
        <v>0.18</v>
      </c>
      <c r="AI768">
        <f t="shared" si="70"/>
        <v>1374.46</v>
      </c>
      <c r="AJ768" s="4">
        <v>0.1</v>
      </c>
      <c r="AK768">
        <f t="shared" si="71"/>
        <v>137.45</v>
      </c>
      <c r="AL768">
        <f t="shared" si="72"/>
        <v>1511.91</v>
      </c>
      <c r="AM768">
        <f t="shared" si="73"/>
        <v>568.09</v>
      </c>
      <c r="AN768" s="4">
        <f t="shared" si="74"/>
        <v>0.273120192307692</v>
      </c>
      <c r="AO768" t="s">
        <v>221</v>
      </c>
      <c r="AQ768" t="s">
        <v>217</v>
      </c>
      <c r="AT768" t="s">
        <v>1508</v>
      </c>
    </row>
    <row r="769" ht="15.75" customHeight="1" spans="1:46">
      <c r="A769" t="s">
        <v>1527</v>
      </c>
      <c r="B769" t="s">
        <v>79</v>
      </c>
      <c r="C769" t="s">
        <v>1499</v>
      </c>
      <c r="D769" t="s">
        <v>1500</v>
      </c>
      <c r="E769" t="s">
        <v>1501</v>
      </c>
      <c r="F769" t="s">
        <v>1528</v>
      </c>
      <c r="H769" t="s">
        <v>55</v>
      </c>
      <c r="I769" t="s">
        <v>1503</v>
      </c>
      <c r="J769" t="s">
        <v>124</v>
      </c>
      <c r="K769" t="s">
        <v>1514</v>
      </c>
      <c r="L769" t="s">
        <v>1340</v>
      </c>
      <c r="M769" t="s">
        <v>1505</v>
      </c>
      <c r="Q769" t="s">
        <v>57</v>
      </c>
      <c r="Y769" t="s">
        <v>1534</v>
      </c>
      <c r="Z769">
        <v>8544</v>
      </c>
      <c r="AE769">
        <v>2080</v>
      </c>
      <c r="AF769" s="4">
        <v>0.44</v>
      </c>
      <c r="AG769">
        <f t="shared" si="75"/>
        <v>1164.8</v>
      </c>
      <c r="AH769" s="4">
        <v>0.18</v>
      </c>
      <c r="AI769">
        <f t="shared" si="70"/>
        <v>1374.46</v>
      </c>
      <c r="AJ769" s="4">
        <v>0.1</v>
      </c>
      <c r="AK769">
        <f t="shared" si="71"/>
        <v>137.45</v>
      </c>
      <c r="AL769">
        <f t="shared" si="72"/>
        <v>1511.91</v>
      </c>
      <c r="AM769">
        <f t="shared" si="73"/>
        <v>568.09</v>
      </c>
      <c r="AN769" s="4">
        <f t="shared" si="74"/>
        <v>0.273120192307692</v>
      </c>
      <c r="AO769" t="s">
        <v>221</v>
      </c>
      <c r="AQ769" t="s">
        <v>217</v>
      </c>
      <c r="AT769" t="s">
        <v>1508</v>
      </c>
    </row>
    <row r="770" ht="15.75" customHeight="1" spans="1:46">
      <c r="A770" t="s">
        <v>1527</v>
      </c>
      <c r="B770" t="s">
        <v>83</v>
      </c>
      <c r="C770" t="s">
        <v>1499</v>
      </c>
      <c r="D770" t="s">
        <v>1500</v>
      </c>
      <c r="E770" t="s">
        <v>1501</v>
      </c>
      <c r="F770" t="s">
        <v>1528</v>
      </c>
      <c r="H770" t="s">
        <v>55</v>
      </c>
      <c r="I770" t="s">
        <v>1516</v>
      </c>
      <c r="J770" t="s">
        <v>124</v>
      </c>
      <c r="K770" t="s">
        <v>1504</v>
      </c>
      <c r="L770" t="s">
        <v>1340</v>
      </c>
      <c r="M770" t="s">
        <v>1505</v>
      </c>
      <c r="Q770" t="s">
        <v>57</v>
      </c>
      <c r="Y770" t="s">
        <v>1530</v>
      </c>
      <c r="Z770">
        <v>8544</v>
      </c>
      <c r="AE770">
        <v>2790</v>
      </c>
      <c r="AF770" s="4">
        <v>0.44</v>
      </c>
      <c r="AG770">
        <f t="shared" si="75"/>
        <v>1562.4</v>
      </c>
      <c r="AH770" s="4">
        <v>0.18</v>
      </c>
      <c r="AI770">
        <f t="shared" ref="AI770:AI833" si="76">ROUND(AG770+(AG770*AH770),2)</f>
        <v>1843.63</v>
      </c>
      <c r="AJ770" s="4">
        <v>0.1</v>
      </c>
      <c r="AK770">
        <f t="shared" ref="AK770:AK833" si="77">ROUND(AI770*AJ770,2)</f>
        <v>184.36</v>
      </c>
      <c r="AL770">
        <f t="shared" ref="AL770:AL833" si="78">AI770+AK770</f>
        <v>2027.99</v>
      </c>
      <c r="AM770">
        <f t="shared" ref="AM770:AM833" si="79">AE770-AL770</f>
        <v>762.01</v>
      </c>
      <c r="AN770" s="4">
        <f t="shared" ref="AN770:AN833" si="80">AM770/AE770</f>
        <v>0.273121863799283</v>
      </c>
      <c r="AO770" t="s">
        <v>221</v>
      </c>
      <c r="AQ770" t="s">
        <v>217</v>
      </c>
      <c r="AT770" t="s">
        <v>1508</v>
      </c>
    </row>
    <row r="771" ht="15.75" customHeight="1" spans="1:46">
      <c r="A771" t="s">
        <v>1527</v>
      </c>
      <c r="B771" t="s">
        <v>131</v>
      </c>
      <c r="C771" t="s">
        <v>1499</v>
      </c>
      <c r="D771" t="s">
        <v>1500</v>
      </c>
      <c r="E771" t="s">
        <v>1501</v>
      </c>
      <c r="F771" t="s">
        <v>1528</v>
      </c>
      <c r="H771" t="s">
        <v>55</v>
      </c>
      <c r="I771" t="s">
        <v>1516</v>
      </c>
      <c r="J771" t="s">
        <v>124</v>
      </c>
      <c r="K771" t="s">
        <v>909</v>
      </c>
      <c r="L771" t="s">
        <v>1340</v>
      </c>
      <c r="M771" t="s">
        <v>1505</v>
      </c>
      <c r="Q771" t="s">
        <v>57</v>
      </c>
      <c r="Y771" t="s">
        <v>1531</v>
      </c>
      <c r="Z771">
        <v>8544</v>
      </c>
      <c r="AE771">
        <v>2790</v>
      </c>
      <c r="AF771" s="4">
        <v>0.44</v>
      </c>
      <c r="AG771">
        <f t="shared" si="75"/>
        <v>1562.4</v>
      </c>
      <c r="AH771" s="4">
        <v>0.18</v>
      </c>
      <c r="AI771">
        <f t="shared" si="76"/>
        <v>1843.63</v>
      </c>
      <c r="AJ771" s="4">
        <v>0.1</v>
      </c>
      <c r="AK771">
        <f t="shared" si="77"/>
        <v>184.36</v>
      </c>
      <c r="AL771">
        <f t="shared" si="78"/>
        <v>2027.99</v>
      </c>
      <c r="AM771">
        <f t="shared" si="79"/>
        <v>762.01</v>
      </c>
      <c r="AN771" s="4">
        <f t="shared" si="80"/>
        <v>0.273121863799283</v>
      </c>
      <c r="AO771" t="s">
        <v>221</v>
      </c>
      <c r="AQ771" t="s">
        <v>217</v>
      </c>
      <c r="AT771" t="s">
        <v>1508</v>
      </c>
    </row>
    <row r="772" ht="15.75" customHeight="1" spans="1:46">
      <c r="A772" t="s">
        <v>1527</v>
      </c>
      <c r="B772" t="s">
        <v>133</v>
      </c>
      <c r="C772" t="s">
        <v>1499</v>
      </c>
      <c r="D772" t="s">
        <v>1500</v>
      </c>
      <c r="E772" t="s">
        <v>1501</v>
      </c>
      <c r="F772" t="s">
        <v>1528</v>
      </c>
      <c r="H772" t="s">
        <v>55</v>
      </c>
      <c r="I772" t="s">
        <v>1516</v>
      </c>
      <c r="J772" t="s">
        <v>124</v>
      </c>
      <c r="K772" t="s">
        <v>1510</v>
      </c>
      <c r="L772" t="s">
        <v>1340</v>
      </c>
      <c r="M772" t="s">
        <v>1505</v>
      </c>
      <c r="Q772" t="s">
        <v>57</v>
      </c>
      <c r="Y772" t="s">
        <v>1532</v>
      </c>
      <c r="Z772">
        <v>8544</v>
      </c>
      <c r="AE772">
        <v>2790</v>
      </c>
      <c r="AF772" s="4">
        <v>0.44</v>
      </c>
      <c r="AG772">
        <f t="shared" ref="AG772:AG835" si="81">ROUND(AE772-(AE772*AF772),2)</f>
        <v>1562.4</v>
      </c>
      <c r="AH772" s="4">
        <v>0.18</v>
      </c>
      <c r="AI772">
        <f t="shared" si="76"/>
        <v>1843.63</v>
      </c>
      <c r="AJ772" s="4">
        <v>0.1</v>
      </c>
      <c r="AK772">
        <f t="shared" si="77"/>
        <v>184.36</v>
      </c>
      <c r="AL772">
        <f t="shared" si="78"/>
        <v>2027.99</v>
      </c>
      <c r="AM772">
        <f t="shared" si="79"/>
        <v>762.01</v>
      </c>
      <c r="AN772" s="4">
        <f t="shared" si="80"/>
        <v>0.273121863799283</v>
      </c>
      <c r="AO772" t="s">
        <v>221</v>
      </c>
      <c r="AQ772" t="s">
        <v>217</v>
      </c>
      <c r="AT772" t="s">
        <v>1508</v>
      </c>
    </row>
    <row r="773" ht="15.75" customHeight="1" spans="1:46">
      <c r="A773" t="s">
        <v>1527</v>
      </c>
      <c r="B773" t="s">
        <v>135</v>
      </c>
      <c r="C773" t="s">
        <v>1499</v>
      </c>
      <c r="D773" t="s">
        <v>1500</v>
      </c>
      <c r="E773" t="s">
        <v>1501</v>
      </c>
      <c r="F773" t="s">
        <v>1528</v>
      </c>
      <c r="H773" t="s">
        <v>55</v>
      </c>
      <c r="I773" t="s">
        <v>1516</v>
      </c>
      <c r="J773" t="s">
        <v>124</v>
      </c>
      <c r="K773" t="s">
        <v>1512</v>
      </c>
      <c r="L773" t="s">
        <v>1340</v>
      </c>
      <c r="M773" t="s">
        <v>1505</v>
      </c>
      <c r="Q773" t="s">
        <v>57</v>
      </c>
      <c r="Y773" t="s">
        <v>1533</v>
      </c>
      <c r="Z773">
        <v>8544</v>
      </c>
      <c r="AE773">
        <v>2790</v>
      </c>
      <c r="AF773" s="4">
        <v>0.44</v>
      </c>
      <c r="AG773">
        <f t="shared" si="81"/>
        <v>1562.4</v>
      </c>
      <c r="AH773" s="4">
        <v>0.18</v>
      </c>
      <c r="AI773">
        <f t="shared" si="76"/>
        <v>1843.63</v>
      </c>
      <c r="AJ773" s="4">
        <v>0.1</v>
      </c>
      <c r="AK773">
        <f t="shared" si="77"/>
        <v>184.36</v>
      </c>
      <c r="AL773">
        <f t="shared" si="78"/>
        <v>2027.99</v>
      </c>
      <c r="AM773">
        <f t="shared" si="79"/>
        <v>762.01</v>
      </c>
      <c r="AN773" s="4">
        <f t="shared" si="80"/>
        <v>0.273121863799283</v>
      </c>
      <c r="AO773" t="s">
        <v>221</v>
      </c>
      <c r="AQ773" t="s">
        <v>217</v>
      </c>
      <c r="AT773" t="s">
        <v>1508</v>
      </c>
    </row>
    <row r="774" ht="15.75" customHeight="1" spans="1:46">
      <c r="A774" t="s">
        <v>1527</v>
      </c>
      <c r="B774" t="s">
        <v>137</v>
      </c>
      <c r="C774" t="s">
        <v>1499</v>
      </c>
      <c r="D774" t="s">
        <v>1500</v>
      </c>
      <c r="E774" t="s">
        <v>1501</v>
      </c>
      <c r="F774" t="s">
        <v>1528</v>
      </c>
      <c r="H774" t="s">
        <v>55</v>
      </c>
      <c r="I774" t="s">
        <v>1516</v>
      </c>
      <c r="J774" t="s">
        <v>124</v>
      </c>
      <c r="K774" t="s">
        <v>1514</v>
      </c>
      <c r="L774" t="s">
        <v>1340</v>
      </c>
      <c r="M774" t="s">
        <v>1505</v>
      </c>
      <c r="Q774" t="s">
        <v>57</v>
      </c>
      <c r="Y774" t="s">
        <v>1534</v>
      </c>
      <c r="Z774">
        <v>8544</v>
      </c>
      <c r="AE774">
        <v>2790</v>
      </c>
      <c r="AF774" s="4">
        <v>0.44</v>
      </c>
      <c r="AG774">
        <f t="shared" si="81"/>
        <v>1562.4</v>
      </c>
      <c r="AH774" s="4">
        <v>0.18</v>
      </c>
      <c r="AI774">
        <f t="shared" si="76"/>
        <v>1843.63</v>
      </c>
      <c r="AJ774" s="4">
        <v>0.1</v>
      </c>
      <c r="AK774">
        <f t="shared" si="77"/>
        <v>184.36</v>
      </c>
      <c r="AL774">
        <f t="shared" si="78"/>
        <v>2027.99</v>
      </c>
      <c r="AM774">
        <f t="shared" si="79"/>
        <v>762.01</v>
      </c>
      <c r="AN774" s="4">
        <f t="shared" si="80"/>
        <v>0.273121863799283</v>
      </c>
      <c r="AO774" t="s">
        <v>221</v>
      </c>
      <c r="AQ774" t="s">
        <v>217</v>
      </c>
      <c r="AT774" t="s">
        <v>1508</v>
      </c>
    </row>
    <row r="775" ht="15.75" customHeight="1" spans="1:46">
      <c r="A775" t="s">
        <v>1527</v>
      </c>
      <c r="B775" t="s">
        <v>138</v>
      </c>
      <c r="C775" t="s">
        <v>1499</v>
      </c>
      <c r="D775" t="s">
        <v>1500</v>
      </c>
      <c r="E775" t="s">
        <v>1501</v>
      </c>
      <c r="F775" t="s">
        <v>1528</v>
      </c>
      <c r="H775" t="s">
        <v>55</v>
      </c>
      <c r="I775" t="s">
        <v>1517</v>
      </c>
      <c r="J775" t="s">
        <v>124</v>
      </c>
      <c r="K775" t="s">
        <v>1504</v>
      </c>
      <c r="L775" t="s">
        <v>1340</v>
      </c>
      <c r="M775" t="s">
        <v>1505</v>
      </c>
      <c r="Q775" t="s">
        <v>57</v>
      </c>
      <c r="Y775" t="s">
        <v>1530</v>
      </c>
      <c r="Z775">
        <v>8544</v>
      </c>
      <c r="AE775">
        <v>4080</v>
      </c>
      <c r="AF775" s="4">
        <v>0.44</v>
      </c>
      <c r="AG775">
        <f t="shared" si="81"/>
        <v>2284.8</v>
      </c>
      <c r="AH775" s="4">
        <v>0.18</v>
      </c>
      <c r="AI775">
        <f t="shared" si="76"/>
        <v>2696.06</v>
      </c>
      <c r="AJ775" s="4">
        <v>0.1</v>
      </c>
      <c r="AK775">
        <f t="shared" si="77"/>
        <v>269.61</v>
      </c>
      <c r="AL775">
        <f t="shared" si="78"/>
        <v>2965.67</v>
      </c>
      <c r="AM775">
        <f t="shared" si="79"/>
        <v>1114.33</v>
      </c>
      <c r="AN775" s="4">
        <f t="shared" si="80"/>
        <v>0.273120098039216</v>
      </c>
      <c r="AO775" t="s">
        <v>221</v>
      </c>
      <c r="AQ775" t="s">
        <v>217</v>
      </c>
      <c r="AT775" t="s">
        <v>1508</v>
      </c>
    </row>
    <row r="776" ht="15.75" customHeight="1" spans="1:46">
      <c r="A776" t="s">
        <v>1527</v>
      </c>
      <c r="B776" t="s">
        <v>140</v>
      </c>
      <c r="C776" t="s">
        <v>1499</v>
      </c>
      <c r="D776" t="s">
        <v>1500</v>
      </c>
      <c r="E776" t="s">
        <v>1501</v>
      </c>
      <c r="F776" t="s">
        <v>1528</v>
      </c>
      <c r="H776" t="s">
        <v>55</v>
      </c>
      <c r="I776" t="s">
        <v>1517</v>
      </c>
      <c r="J776" t="s">
        <v>124</v>
      </c>
      <c r="K776" t="s">
        <v>909</v>
      </c>
      <c r="L776" t="s">
        <v>1340</v>
      </c>
      <c r="M776" t="s">
        <v>1505</v>
      </c>
      <c r="Q776" t="s">
        <v>57</v>
      </c>
      <c r="Y776" t="s">
        <v>1531</v>
      </c>
      <c r="Z776">
        <v>8544</v>
      </c>
      <c r="AE776">
        <v>4080</v>
      </c>
      <c r="AF776" s="4">
        <v>0.44</v>
      </c>
      <c r="AG776">
        <f t="shared" si="81"/>
        <v>2284.8</v>
      </c>
      <c r="AH776" s="4">
        <v>0.18</v>
      </c>
      <c r="AI776">
        <f t="shared" si="76"/>
        <v>2696.06</v>
      </c>
      <c r="AJ776" s="4">
        <v>0.1</v>
      </c>
      <c r="AK776">
        <f t="shared" si="77"/>
        <v>269.61</v>
      </c>
      <c r="AL776">
        <f t="shared" si="78"/>
        <v>2965.67</v>
      </c>
      <c r="AM776">
        <f t="shared" si="79"/>
        <v>1114.33</v>
      </c>
      <c r="AN776" s="4">
        <f t="shared" si="80"/>
        <v>0.273120098039216</v>
      </c>
      <c r="AO776" t="s">
        <v>221</v>
      </c>
      <c r="AQ776" t="s">
        <v>217</v>
      </c>
      <c r="AT776" t="s">
        <v>1508</v>
      </c>
    </row>
    <row r="777" ht="15.75" customHeight="1" spans="1:46">
      <c r="A777" t="s">
        <v>1527</v>
      </c>
      <c r="B777" t="s">
        <v>202</v>
      </c>
      <c r="C777" t="s">
        <v>1499</v>
      </c>
      <c r="D777" t="s">
        <v>1500</v>
      </c>
      <c r="E777" t="s">
        <v>1501</v>
      </c>
      <c r="F777" t="s">
        <v>1528</v>
      </c>
      <c r="H777" t="s">
        <v>55</v>
      </c>
      <c r="I777" t="s">
        <v>1517</v>
      </c>
      <c r="J777" t="s">
        <v>124</v>
      </c>
      <c r="K777" t="s">
        <v>1510</v>
      </c>
      <c r="L777" t="s">
        <v>1340</v>
      </c>
      <c r="M777" t="s">
        <v>1505</v>
      </c>
      <c r="Q777" t="s">
        <v>57</v>
      </c>
      <c r="Y777" t="s">
        <v>1532</v>
      </c>
      <c r="Z777">
        <v>8544</v>
      </c>
      <c r="AE777">
        <v>4080</v>
      </c>
      <c r="AF777" s="4">
        <v>0.44</v>
      </c>
      <c r="AG777">
        <f t="shared" si="81"/>
        <v>2284.8</v>
      </c>
      <c r="AH777" s="4">
        <v>0.18</v>
      </c>
      <c r="AI777">
        <f t="shared" si="76"/>
        <v>2696.06</v>
      </c>
      <c r="AJ777" s="4">
        <v>0.1</v>
      </c>
      <c r="AK777">
        <f t="shared" si="77"/>
        <v>269.61</v>
      </c>
      <c r="AL777">
        <f t="shared" si="78"/>
        <v>2965.67</v>
      </c>
      <c r="AM777">
        <f t="shared" si="79"/>
        <v>1114.33</v>
      </c>
      <c r="AN777" s="4">
        <f t="shared" si="80"/>
        <v>0.273120098039216</v>
      </c>
      <c r="AO777" t="s">
        <v>221</v>
      </c>
      <c r="AQ777" t="s">
        <v>217</v>
      </c>
      <c r="AT777" t="s">
        <v>1508</v>
      </c>
    </row>
    <row r="778" ht="15.75" customHeight="1" spans="1:46">
      <c r="A778" t="s">
        <v>1527</v>
      </c>
      <c r="B778" t="s">
        <v>203</v>
      </c>
      <c r="C778" t="s">
        <v>1499</v>
      </c>
      <c r="D778" t="s">
        <v>1500</v>
      </c>
      <c r="E778" t="s">
        <v>1501</v>
      </c>
      <c r="F778" t="s">
        <v>1528</v>
      </c>
      <c r="H778" t="s">
        <v>55</v>
      </c>
      <c r="I778" t="s">
        <v>1517</v>
      </c>
      <c r="J778" t="s">
        <v>124</v>
      </c>
      <c r="K778" t="s">
        <v>1512</v>
      </c>
      <c r="L778" t="s">
        <v>1340</v>
      </c>
      <c r="M778" t="s">
        <v>1505</v>
      </c>
      <c r="Q778" t="s">
        <v>57</v>
      </c>
      <c r="Y778" t="s">
        <v>1533</v>
      </c>
      <c r="Z778">
        <v>8544</v>
      </c>
      <c r="AE778">
        <v>4080</v>
      </c>
      <c r="AF778" s="4">
        <v>0.44</v>
      </c>
      <c r="AG778">
        <f t="shared" si="81"/>
        <v>2284.8</v>
      </c>
      <c r="AH778" s="4">
        <v>0.18</v>
      </c>
      <c r="AI778">
        <f t="shared" si="76"/>
        <v>2696.06</v>
      </c>
      <c r="AJ778" s="4">
        <v>0.1</v>
      </c>
      <c r="AK778">
        <f t="shared" si="77"/>
        <v>269.61</v>
      </c>
      <c r="AL778">
        <f t="shared" si="78"/>
        <v>2965.67</v>
      </c>
      <c r="AM778">
        <f t="shared" si="79"/>
        <v>1114.33</v>
      </c>
      <c r="AN778" s="4">
        <f t="shared" si="80"/>
        <v>0.273120098039216</v>
      </c>
      <c r="AO778" t="s">
        <v>221</v>
      </c>
      <c r="AQ778" t="s">
        <v>217</v>
      </c>
      <c r="AT778" t="s">
        <v>1508</v>
      </c>
    </row>
    <row r="779" ht="15.75" customHeight="1" spans="1:46">
      <c r="A779" t="s">
        <v>1527</v>
      </c>
      <c r="B779" t="s">
        <v>204</v>
      </c>
      <c r="C779" t="s">
        <v>1499</v>
      </c>
      <c r="D779" t="s">
        <v>1500</v>
      </c>
      <c r="E779" t="s">
        <v>1501</v>
      </c>
      <c r="F779" t="s">
        <v>1528</v>
      </c>
      <c r="H779" t="s">
        <v>55</v>
      </c>
      <c r="I779" t="s">
        <v>1517</v>
      </c>
      <c r="J779" t="s">
        <v>124</v>
      </c>
      <c r="K779" t="s">
        <v>1514</v>
      </c>
      <c r="L779" t="s">
        <v>1340</v>
      </c>
      <c r="M779" t="s">
        <v>1505</v>
      </c>
      <c r="Q779" t="s">
        <v>57</v>
      </c>
      <c r="Y779" t="s">
        <v>1534</v>
      </c>
      <c r="Z779">
        <v>8544</v>
      </c>
      <c r="AE779">
        <v>4080</v>
      </c>
      <c r="AF779" s="4">
        <v>0.44</v>
      </c>
      <c r="AG779">
        <f t="shared" si="81"/>
        <v>2284.8</v>
      </c>
      <c r="AH779" s="4">
        <v>0.18</v>
      </c>
      <c r="AI779">
        <f t="shared" si="76"/>
        <v>2696.06</v>
      </c>
      <c r="AJ779" s="4">
        <v>0.1</v>
      </c>
      <c r="AK779">
        <f t="shared" si="77"/>
        <v>269.61</v>
      </c>
      <c r="AL779">
        <f t="shared" si="78"/>
        <v>2965.67</v>
      </c>
      <c r="AM779">
        <f t="shared" si="79"/>
        <v>1114.33</v>
      </c>
      <c r="AN779" s="4">
        <f t="shared" si="80"/>
        <v>0.273120098039216</v>
      </c>
      <c r="AO779" t="s">
        <v>221</v>
      </c>
      <c r="AQ779" t="s">
        <v>217</v>
      </c>
      <c r="AT779" t="s">
        <v>1508</v>
      </c>
    </row>
    <row r="780" ht="15.75" customHeight="1" spans="1:46">
      <c r="A780" t="s">
        <v>1527</v>
      </c>
      <c r="B780" t="s">
        <v>205</v>
      </c>
      <c r="C780" t="s">
        <v>1499</v>
      </c>
      <c r="D780" t="s">
        <v>1500</v>
      </c>
      <c r="E780" t="s">
        <v>1501</v>
      </c>
      <c r="F780" t="s">
        <v>1528</v>
      </c>
      <c r="H780" t="s">
        <v>55</v>
      </c>
      <c r="I780" t="s">
        <v>1518</v>
      </c>
      <c r="J780" t="s">
        <v>124</v>
      </c>
      <c r="K780" t="s">
        <v>1504</v>
      </c>
      <c r="L780" t="s">
        <v>1340</v>
      </c>
      <c r="M780" t="s">
        <v>1505</v>
      </c>
      <c r="Q780" t="s">
        <v>57</v>
      </c>
      <c r="Y780" t="s">
        <v>1530</v>
      </c>
      <c r="Z780">
        <v>8544</v>
      </c>
      <c r="AE780">
        <v>6455</v>
      </c>
      <c r="AF780" s="4">
        <v>0.44</v>
      </c>
      <c r="AG780">
        <f t="shared" si="81"/>
        <v>3614.8</v>
      </c>
      <c r="AH780" s="4">
        <v>0.18</v>
      </c>
      <c r="AI780">
        <f t="shared" si="76"/>
        <v>4265.46</v>
      </c>
      <c r="AJ780" s="4">
        <v>0.1</v>
      </c>
      <c r="AK780">
        <f t="shared" si="77"/>
        <v>426.55</v>
      </c>
      <c r="AL780">
        <f t="shared" si="78"/>
        <v>4692.01</v>
      </c>
      <c r="AM780">
        <f t="shared" si="79"/>
        <v>1762.99</v>
      </c>
      <c r="AN780" s="4">
        <f t="shared" si="80"/>
        <v>0.273120061967467</v>
      </c>
      <c r="AO780" t="s">
        <v>221</v>
      </c>
      <c r="AQ780" t="s">
        <v>217</v>
      </c>
      <c r="AT780" t="s">
        <v>1508</v>
      </c>
    </row>
    <row r="781" ht="15.75" customHeight="1" spans="1:46">
      <c r="A781" t="s">
        <v>1527</v>
      </c>
      <c r="B781" t="s">
        <v>206</v>
      </c>
      <c r="C781" t="s">
        <v>1499</v>
      </c>
      <c r="D781" t="s">
        <v>1500</v>
      </c>
      <c r="E781" t="s">
        <v>1501</v>
      </c>
      <c r="F781" t="s">
        <v>1528</v>
      </c>
      <c r="H781" t="s">
        <v>55</v>
      </c>
      <c r="I781" t="s">
        <v>1518</v>
      </c>
      <c r="J781" t="s">
        <v>124</v>
      </c>
      <c r="K781" t="s">
        <v>909</v>
      </c>
      <c r="L781" t="s">
        <v>1340</v>
      </c>
      <c r="M781" t="s">
        <v>1505</v>
      </c>
      <c r="Q781" t="s">
        <v>57</v>
      </c>
      <c r="Y781" t="s">
        <v>1531</v>
      </c>
      <c r="Z781">
        <v>8544</v>
      </c>
      <c r="AE781">
        <v>6455</v>
      </c>
      <c r="AF781" s="4">
        <v>0.44</v>
      </c>
      <c r="AG781">
        <f t="shared" si="81"/>
        <v>3614.8</v>
      </c>
      <c r="AH781" s="4">
        <v>0.18</v>
      </c>
      <c r="AI781">
        <f t="shared" si="76"/>
        <v>4265.46</v>
      </c>
      <c r="AJ781" s="4">
        <v>0.1</v>
      </c>
      <c r="AK781">
        <f t="shared" si="77"/>
        <v>426.55</v>
      </c>
      <c r="AL781">
        <f t="shared" si="78"/>
        <v>4692.01</v>
      </c>
      <c r="AM781">
        <f t="shared" si="79"/>
        <v>1762.99</v>
      </c>
      <c r="AN781" s="4">
        <f t="shared" si="80"/>
        <v>0.273120061967467</v>
      </c>
      <c r="AO781" t="s">
        <v>221</v>
      </c>
      <c r="AQ781" t="s">
        <v>217</v>
      </c>
      <c r="AT781" t="s">
        <v>1508</v>
      </c>
    </row>
    <row r="782" ht="15.75" customHeight="1" spans="1:46">
      <c r="A782" t="s">
        <v>1527</v>
      </c>
      <c r="B782" t="s">
        <v>207</v>
      </c>
      <c r="C782" t="s">
        <v>1499</v>
      </c>
      <c r="D782" t="s">
        <v>1500</v>
      </c>
      <c r="E782" t="s">
        <v>1501</v>
      </c>
      <c r="F782" t="s">
        <v>1528</v>
      </c>
      <c r="H782" t="s">
        <v>55</v>
      </c>
      <c r="I782" t="s">
        <v>1518</v>
      </c>
      <c r="J782" t="s">
        <v>124</v>
      </c>
      <c r="K782" t="s">
        <v>1510</v>
      </c>
      <c r="L782" t="s">
        <v>1340</v>
      </c>
      <c r="M782" t="s">
        <v>1505</v>
      </c>
      <c r="Q782" t="s">
        <v>57</v>
      </c>
      <c r="Y782" t="s">
        <v>1532</v>
      </c>
      <c r="Z782">
        <v>8544</v>
      </c>
      <c r="AE782">
        <v>6455</v>
      </c>
      <c r="AF782" s="4">
        <v>0.44</v>
      </c>
      <c r="AG782">
        <f t="shared" si="81"/>
        <v>3614.8</v>
      </c>
      <c r="AH782" s="4">
        <v>0.18</v>
      </c>
      <c r="AI782">
        <f t="shared" si="76"/>
        <v>4265.46</v>
      </c>
      <c r="AJ782" s="4">
        <v>0.1</v>
      </c>
      <c r="AK782">
        <f t="shared" si="77"/>
        <v>426.55</v>
      </c>
      <c r="AL782">
        <f t="shared" si="78"/>
        <v>4692.01</v>
      </c>
      <c r="AM782">
        <f t="shared" si="79"/>
        <v>1762.99</v>
      </c>
      <c r="AN782" s="4">
        <f t="shared" si="80"/>
        <v>0.273120061967467</v>
      </c>
      <c r="AO782" t="s">
        <v>221</v>
      </c>
      <c r="AQ782" t="s">
        <v>217</v>
      </c>
      <c r="AT782" t="s">
        <v>1508</v>
      </c>
    </row>
    <row r="783" ht="15.75" customHeight="1" spans="1:46">
      <c r="A783" t="s">
        <v>1527</v>
      </c>
      <c r="B783" t="s">
        <v>208</v>
      </c>
      <c r="C783" t="s">
        <v>1499</v>
      </c>
      <c r="D783" t="s">
        <v>1500</v>
      </c>
      <c r="E783" t="s">
        <v>1501</v>
      </c>
      <c r="F783" t="s">
        <v>1528</v>
      </c>
      <c r="H783" t="s">
        <v>55</v>
      </c>
      <c r="I783" t="s">
        <v>1518</v>
      </c>
      <c r="J783" t="s">
        <v>124</v>
      </c>
      <c r="K783" t="s">
        <v>1512</v>
      </c>
      <c r="L783" t="s">
        <v>1340</v>
      </c>
      <c r="M783" t="s">
        <v>1505</v>
      </c>
      <c r="Q783" t="s">
        <v>57</v>
      </c>
      <c r="Y783" t="s">
        <v>1533</v>
      </c>
      <c r="Z783">
        <v>8544</v>
      </c>
      <c r="AE783">
        <v>6455</v>
      </c>
      <c r="AF783" s="4">
        <v>0.44</v>
      </c>
      <c r="AG783">
        <f t="shared" si="81"/>
        <v>3614.8</v>
      </c>
      <c r="AH783" s="4">
        <v>0.18</v>
      </c>
      <c r="AI783">
        <f t="shared" si="76"/>
        <v>4265.46</v>
      </c>
      <c r="AJ783" s="4">
        <v>0.1</v>
      </c>
      <c r="AK783">
        <f t="shared" si="77"/>
        <v>426.55</v>
      </c>
      <c r="AL783">
        <f t="shared" si="78"/>
        <v>4692.01</v>
      </c>
      <c r="AM783">
        <f t="shared" si="79"/>
        <v>1762.99</v>
      </c>
      <c r="AN783" s="4">
        <f t="shared" si="80"/>
        <v>0.273120061967467</v>
      </c>
      <c r="AO783" t="s">
        <v>221</v>
      </c>
      <c r="AQ783" t="s">
        <v>217</v>
      </c>
      <c r="AT783" t="s">
        <v>1508</v>
      </c>
    </row>
    <row r="784" ht="15.75" customHeight="1" spans="1:46">
      <c r="A784" t="s">
        <v>1527</v>
      </c>
      <c r="B784" t="s">
        <v>209</v>
      </c>
      <c r="C784" t="s">
        <v>1499</v>
      </c>
      <c r="D784" t="s">
        <v>1500</v>
      </c>
      <c r="E784" t="s">
        <v>1501</v>
      </c>
      <c r="F784" t="s">
        <v>1528</v>
      </c>
      <c r="H784" t="s">
        <v>55</v>
      </c>
      <c r="I784" t="s">
        <v>1518</v>
      </c>
      <c r="J784" t="s">
        <v>124</v>
      </c>
      <c r="K784" t="s">
        <v>1514</v>
      </c>
      <c r="L784" t="s">
        <v>1340</v>
      </c>
      <c r="M784" t="s">
        <v>1505</v>
      </c>
      <c r="Q784" t="s">
        <v>57</v>
      </c>
      <c r="Y784" t="s">
        <v>1534</v>
      </c>
      <c r="Z784">
        <v>8544</v>
      </c>
      <c r="AE784">
        <v>6455</v>
      </c>
      <c r="AF784" s="4">
        <v>0.44</v>
      </c>
      <c r="AG784">
        <f t="shared" si="81"/>
        <v>3614.8</v>
      </c>
      <c r="AH784" s="4">
        <v>0.18</v>
      </c>
      <c r="AI784">
        <f t="shared" si="76"/>
        <v>4265.46</v>
      </c>
      <c r="AJ784" s="4">
        <v>0.1</v>
      </c>
      <c r="AK784">
        <f t="shared" si="77"/>
        <v>426.55</v>
      </c>
      <c r="AL784">
        <f t="shared" si="78"/>
        <v>4692.01</v>
      </c>
      <c r="AM784">
        <f t="shared" si="79"/>
        <v>1762.99</v>
      </c>
      <c r="AN784" s="4">
        <f t="shared" si="80"/>
        <v>0.273120061967467</v>
      </c>
      <c r="AO784" t="s">
        <v>221</v>
      </c>
      <c r="AQ784" t="s">
        <v>217</v>
      </c>
      <c r="AT784" t="s">
        <v>1508</v>
      </c>
    </row>
    <row r="785" ht="15.75" customHeight="1" spans="1:46">
      <c r="A785" t="s">
        <v>1527</v>
      </c>
      <c r="B785" t="s">
        <v>210</v>
      </c>
      <c r="C785" t="s">
        <v>1499</v>
      </c>
      <c r="D785" t="s">
        <v>1500</v>
      </c>
      <c r="E785" t="s">
        <v>1501</v>
      </c>
      <c r="F785" t="s">
        <v>1528</v>
      </c>
      <c r="H785" t="s">
        <v>55</v>
      </c>
      <c r="I785" t="s">
        <v>1519</v>
      </c>
      <c r="J785" t="s">
        <v>124</v>
      </c>
      <c r="K785" t="s">
        <v>1504</v>
      </c>
      <c r="L785" t="s">
        <v>1340</v>
      </c>
      <c r="M785" t="s">
        <v>1505</v>
      </c>
      <c r="Q785" t="s">
        <v>57</v>
      </c>
      <c r="Y785" t="s">
        <v>1530</v>
      </c>
      <c r="Z785">
        <v>8544</v>
      </c>
      <c r="AE785">
        <v>9445</v>
      </c>
      <c r="AF785" s="4">
        <v>0.44</v>
      </c>
      <c r="AG785">
        <f t="shared" si="81"/>
        <v>5289.2</v>
      </c>
      <c r="AH785" s="4">
        <v>0.18</v>
      </c>
      <c r="AI785">
        <f t="shared" si="76"/>
        <v>6241.26</v>
      </c>
      <c r="AJ785" s="4">
        <v>0.1</v>
      </c>
      <c r="AK785">
        <f t="shared" si="77"/>
        <v>624.13</v>
      </c>
      <c r="AL785">
        <f t="shared" si="78"/>
        <v>6865.39</v>
      </c>
      <c r="AM785">
        <f t="shared" si="79"/>
        <v>2579.61</v>
      </c>
      <c r="AN785" s="4">
        <f t="shared" si="80"/>
        <v>0.27311911064055</v>
      </c>
      <c r="AO785" t="s">
        <v>221</v>
      </c>
      <c r="AQ785" t="s">
        <v>217</v>
      </c>
      <c r="AT785" t="s">
        <v>1508</v>
      </c>
    </row>
    <row r="786" ht="15.75" customHeight="1" spans="1:46">
      <c r="A786" t="s">
        <v>1527</v>
      </c>
      <c r="B786" t="s">
        <v>211</v>
      </c>
      <c r="C786" t="s">
        <v>1499</v>
      </c>
      <c r="D786" t="s">
        <v>1500</v>
      </c>
      <c r="E786" t="s">
        <v>1501</v>
      </c>
      <c r="F786" t="s">
        <v>1528</v>
      </c>
      <c r="H786" t="s">
        <v>55</v>
      </c>
      <c r="I786" t="s">
        <v>1519</v>
      </c>
      <c r="J786" t="s">
        <v>124</v>
      </c>
      <c r="K786" t="s">
        <v>909</v>
      </c>
      <c r="L786" t="s">
        <v>1340</v>
      </c>
      <c r="M786" t="s">
        <v>1505</v>
      </c>
      <c r="Q786" t="s">
        <v>57</v>
      </c>
      <c r="Y786" t="s">
        <v>1531</v>
      </c>
      <c r="Z786">
        <v>8544</v>
      </c>
      <c r="AE786">
        <v>9445</v>
      </c>
      <c r="AF786" s="4">
        <v>0.44</v>
      </c>
      <c r="AG786">
        <f t="shared" si="81"/>
        <v>5289.2</v>
      </c>
      <c r="AH786" s="4">
        <v>0.18</v>
      </c>
      <c r="AI786">
        <f t="shared" si="76"/>
        <v>6241.26</v>
      </c>
      <c r="AJ786" s="4">
        <v>0.1</v>
      </c>
      <c r="AK786">
        <f t="shared" si="77"/>
        <v>624.13</v>
      </c>
      <c r="AL786">
        <f t="shared" si="78"/>
        <v>6865.39</v>
      </c>
      <c r="AM786">
        <f t="shared" si="79"/>
        <v>2579.61</v>
      </c>
      <c r="AN786" s="4">
        <f t="shared" si="80"/>
        <v>0.27311911064055</v>
      </c>
      <c r="AO786" t="s">
        <v>221</v>
      </c>
      <c r="AQ786" t="s">
        <v>217</v>
      </c>
      <c r="AT786" t="s">
        <v>1508</v>
      </c>
    </row>
    <row r="787" ht="15.75" customHeight="1" spans="1:46">
      <c r="A787" t="s">
        <v>1527</v>
      </c>
      <c r="B787" t="s">
        <v>212</v>
      </c>
      <c r="C787" t="s">
        <v>1499</v>
      </c>
      <c r="D787" t="s">
        <v>1500</v>
      </c>
      <c r="E787" t="s">
        <v>1501</v>
      </c>
      <c r="F787" t="s">
        <v>1528</v>
      </c>
      <c r="H787" t="s">
        <v>55</v>
      </c>
      <c r="I787" t="s">
        <v>1519</v>
      </c>
      <c r="J787" t="s">
        <v>124</v>
      </c>
      <c r="K787" t="s">
        <v>1510</v>
      </c>
      <c r="L787" t="s">
        <v>1340</v>
      </c>
      <c r="M787" t="s">
        <v>1505</v>
      </c>
      <c r="Q787" t="s">
        <v>57</v>
      </c>
      <c r="Y787" t="s">
        <v>1532</v>
      </c>
      <c r="Z787">
        <v>8544</v>
      </c>
      <c r="AE787">
        <v>9445</v>
      </c>
      <c r="AF787" s="4">
        <v>0.44</v>
      </c>
      <c r="AG787">
        <f t="shared" si="81"/>
        <v>5289.2</v>
      </c>
      <c r="AH787" s="4">
        <v>0.18</v>
      </c>
      <c r="AI787">
        <f t="shared" si="76"/>
        <v>6241.26</v>
      </c>
      <c r="AJ787" s="4">
        <v>0.1</v>
      </c>
      <c r="AK787">
        <f t="shared" si="77"/>
        <v>624.13</v>
      </c>
      <c r="AL787">
        <f t="shared" si="78"/>
        <v>6865.39</v>
      </c>
      <c r="AM787">
        <f t="shared" si="79"/>
        <v>2579.61</v>
      </c>
      <c r="AN787" s="4">
        <f t="shared" si="80"/>
        <v>0.27311911064055</v>
      </c>
      <c r="AO787" t="s">
        <v>221</v>
      </c>
      <c r="AQ787" t="s">
        <v>217</v>
      </c>
      <c r="AT787" t="s">
        <v>1508</v>
      </c>
    </row>
    <row r="788" ht="15.75" customHeight="1" spans="1:46">
      <c r="A788" t="s">
        <v>1527</v>
      </c>
      <c r="B788" t="s">
        <v>213</v>
      </c>
      <c r="C788" t="s">
        <v>1499</v>
      </c>
      <c r="D788" t="s">
        <v>1500</v>
      </c>
      <c r="E788" t="s">
        <v>1501</v>
      </c>
      <c r="F788" t="s">
        <v>1528</v>
      </c>
      <c r="H788" t="s">
        <v>55</v>
      </c>
      <c r="I788" t="s">
        <v>1519</v>
      </c>
      <c r="J788" t="s">
        <v>124</v>
      </c>
      <c r="K788" t="s">
        <v>1512</v>
      </c>
      <c r="L788" t="s">
        <v>1340</v>
      </c>
      <c r="M788" t="s">
        <v>1505</v>
      </c>
      <c r="Q788" t="s">
        <v>57</v>
      </c>
      <c r="Y788" t="s">
        <v>1533</v>
      </c>
      <c r="Z788">
        <v>8544</v>
      </c>
      <c r="AE788">
        <v>9445</v>
      </c>
      <c r="AF788" s="4">
        <v>0.44</v>
      </c>
      <c r="AG788">
        <f t="shared" si="81"/>
        <v>5289.2</v>
      </c>
      <c r="AH788" s="4">
        <v>0.18</v>
      </c>
      <c r="AI788">
        <f t="shared" si="76"/>
        <v>6241.26</v>
      </c>
      <c r="AJ788" s="4">
        <v>0.1</v>
      </c>
      <c r="AK788">
        <f t="shared" si="77"/>
        <v>624.13</v>
      </c>
      <c r="AL788">
        <f t="shared" si="78"/>
        <v>6865.39</v>
      </c>
      <c r="AM788">
        <f t="shared" si="79"/>
        <v>2579.61</v>
      </c>
      <c r="AN788" s="4">
        <f t="shared" si="80"/>
        <v>0.27311911064055</v>
      </c>
      <c r="AO788" t="s">
        <v>221</v>
      </c>
      <c r="AQ788" t="s">
        <v>217</v>
      </c>
      <c r="AT788" t="s">
        <v>1508</v>
      </c>
    </row>
    <row r="789" ht="15.75" customHeight="1" spans="1:46">
      <c r="A789" t="s">
        <v>1527</v>
      </c>
      <c r="B789" t="s">
        <v>1520</v>
      </c>
      <c r="C789" t="s">
        <v>1499</v>
      </c>
      <c r="D789" t="s">
        <v>1500</v>
      </c>
      <c r="E789" t="s">
        <v>1501</v>
      </c>
      <c r="F789" t="s">
        <v>1528</v>
      </c>
      <c r="H789" t="s">
        <v>55</v>
      </c>
      <c r="I789" t="s">
        <v>1519</v>
      </c>
      <c r="J789" t="s">
        <v>124</v>
      </c>
      <c r="K789" t="s">
        <v>1514</v>
      </c>
      <c r="L789" t="s">
        <v>1340</v>
      </c>
      <c r="M789" t="s">
        <v>1505</v>
      </c>
      <c r="Q789" t="s">
        <v>57</v>
      </c>
      <c r="Y789" t="s">
        <v>1534</v>
      </c>
      <c r="Z789">
        <v>8544</v>
      </c>
      <c r="AE789">
        <v>9445</v>
      </c>
      <c r="AF789" s="4">
        <v>0.44</v>
      </c>
      <c r="AG789">
        <f t="shared" si="81"/>
        <v>5289.2</v>
      </c>
      <c r="AH789" s="4">
        <v>0.18</v>
      </c>
      <c r="AI789">
        <f t="shared" si="76"/>
        <v>6241.26</v>
      </c>
      <c r="AJ789" s="4">
        <v>0.1</v>
      </c>
      <c r="AK789">
        <f t="shared" si="77"/>
        <v>624.13</v>
      </c>
      <c r="AL789">
        <f t="shared" si="78"/>
        <v>6865.39</v>
      </c>
      <c r="AM789">
        <f t="shared" si="79"/>
        <v>2579.61</v>
      </c>
      <c r="AN789" s="4">
        <f t="shared" si="80"/>
        <v>0.27311911064055</v>
      </c>
      <c r="AO789" t="s">
        <v>221</v>
      </c>
      <c r="AQ789" t="s">
        <v>217</v>
      </c>
      <c r="AT789" t="s">
        <v>1508</v>
      </c>
    </row>
    <row r="790" ht="15.75" customHeight="1" spans="1:46">
      <c r="A790" t="s">
        <v>1527</v>
      </c>
      <c r="B790" t="s">
        <v>1521</v>
      </c>
      <c r="C790" t="s">
        <v>1499</v>
      </c>
      <c r="D790" t="s">
        <v>1500</v>
      </c>
      <c r="E790" t="s">
        <v>1501</v>
      </c>
      <c r="F790" t="s">
        <v>1528</v>
      </c>
      <c r="H790" t="s">
        <v>55</v>
      </c>
      <c r="I790" t="s">
        <v>1522</v>
      </c>
      <c r="J790" t="s">
        <v>124</v>
      </c>
      <c r="K790" t="s">
        <v>1504</v>
      </c>
      <c r="L790" t="s">
        <v>1340</v>
      </c>
      <c r="M790" t="s">
        <v>1505</v>
      </c>
      <c r="Q790" t="s">
        <v>57</v>
      </c>
      <c r="Y790" t="s">
        <v>1530</v>
      </c>
      <c r="Z790">
        <v>8544</v>
      </c>
      <c r="AE790">
        <v>14115</v>
      </c>
      <c r="AF790" s="4">
        <v>0.44</v>
      </c>
      <c r="AG790">
        <f t="shared" si="81"/>
        <v>7904.4</v>
      </c>
      <c r="AH790" s="4">
        <v>0.18</v>
      </c>
      <c r="AI790">
        <f t="shared" si="76"/>
        <v>9327.19</v>
      </c>
      <c r="AJ790" s="4">
        <v>0.1</v>
      </c>
      <c r="AK790">
        <f t="shared" si="77"/>
        <v>932.72</v>
      </c>
      <c r="AL790">
        <f t="shared" si="78"/>
        <v>10259.91</v>
      </c>
      <c r="AM790">
        <f t="shared" si="79"/>
        <v>3855.09</v>
      </c>
      <c r="AN790" s="4">
        <f t="shared" si="80"/>
        <v>0.27312008501594</v>
      </c>
      <c r="AO790" t="s">
        <v>221</v>
      </c>
      <c r="AQ790" t="s">
        <v>217</v>
      </c>
      <c r="AT790" t="s">
        <v>1508</v>
      </c>
    </row>
    <row r="791" ht="15.75" customHeight="1" spans="1:46">
      <c r="A791" t="s">
        <v>1527</v>
      </c>
      <c r="B791" t="s">
        <v>1523</v>
      </c>
      <c r="C791" t="s">
        <v>1499</v>
      </c>
      <c r="D791" t="s">
        <v>1500</v>
      </c>
      <c r="E791" t="s">
        <v>1501</v>
      </c>
      <c r="F791" t="s">
        <v>1528</v>
      </c>
      <c r="H791" t="s">
        <v>55</v>
      </c>
      <c r="I791" t="s">
        <v>1522</v>
      </c>
      <c r="J791" t="s">
        <v>124</v>
      </c>
      <c r="K791" t="s">
        <v>909</v>
      </c>
      <c r="L791" t="s">
        <v>1340</v>
      </c>
      <c r="M791" t="s">
        <v>1505</v>
      </c>
      <c r="Q791" t="s">
        <v>57</v>
      </c>
      <c r="Y791" t="s">
        <v>1531</v>
      </c>
      <c r="Z791">
        <v>8544</v>
      </c>
      <c r="AE791">
        <v>14115</v>
      </c>
      <c r="AF791" s="4">
        <v>0.44</v>
      </c>
      <c r="AG791">
        <f t="shared" si="81"/>
        <v>7904.4</v>
      </c>
      <c r="AH791" s="4">
        <v>0.18</v>
      </c>
      <c r="AI791">
        <f t="shared" si="76"/>
        <v>9327.19</v>
      </c>
      <c r="AJ791" s="4">
        <v>0.1</v>
      </c>
      <c r="AK791">
        <f t="shared" si="77"/>
        <v>932.72</v>
      </c>
      <c r="AL791">
        <f t="shared" si="78"/>
        <v>10259.91</v>
      </c>
      <c r="AM791">
        <f t="shared" si="79"/>
        <v>3855.09</v>
      </c>
      <c r="AN791" s="4">
        <f t="shared" si="80"/>
        <v>0.27312008501594</v>
      </c>
      <c r="AO791" t="s">
        <v>221</v>
      </c>
      <c r="AQ791" t="s">
        <v>217</v>
      </c>
      <c r="AT791" t="s">
        <v>1508</v>
      </c>
    </row>
    <row r="792" ht="15.75" customHeight="1" spans="1:46">
      <c r="A792" t="s">
        <v>1527</v>
      </c>
      <c r="B792" t="s">
        <v>1524</v>
      </c>
      <c r="C792" t="s">
        <v>1499</v>
      </c>
      <c r="D792" t="s">
        <v>1500</v>
      </c>
      <c r="E792" t="s">
        <v>1501</v>
      </c>
      <c r="F792" t="s">
        <v>1528</v>
      </c>
      <c r="H792" t="s">
        <v>55</v>
      </c>
      <c r="I792" t="s">
        <v>1522</v>
      </c>
      <c r="J792" t="s">
        <v>124</v>
      </c>
      <c r="K792" t="s">
        <v>1510</v>
      </c>
      <c r="L792" t="s">
        <v>1340</v>
      </c>
      <c r="M792" t="s">
        <v>1505</v>
      </c>
      <c r="Q792" t="s">
        <v>57</v>
      </c>
      <c r="Y792" t="s">
        <v>1532</v>
      </c>
      <c r="Z792">
        <v>8544</v>
      </c>
      <c r="AE792">
        <v>14115</v>
      </c>
      <c r="AF792" s="4">
        <v>0.44</v>
      </c>
      <c r="AG792">
        <f t="shared" si="81"/>
        <v>7904.4</v>
      </c>
      <c r="AH792" s="4">
        <v>0.18</v>
      </c>
      <c r="AI792">
        <f t="shared" si="76"/>
        <v>9327.19</v>
      </c>
      <c r="AJ792" s="4">
        <v>0.1</v>
      </c>
      <c r="AK792">
        <f t="shared" si="77"/>
        <v>932.72</v>
      </c>
      <c r="AL792">
        <f t="shared" si="78"/>
        <v>10259.91</v>
      </c>
      <c r="AM792">
        <f t="shared" si="79"/>
        <v>3855.09</v>
      </c>
      <c r="AN792" s="4">
        <f t="shared" si="80"/>
        <v>0.27312008501594</v>
      </c>
      <c r="AO792" t="s">
        <v>221</v>
      </c>
      <c r="AQ792" t="s">
        <v>217</v>
      </c>
      <c r="AT792" t="s">
        <v>1508</v>
      </c>
    </row>
    <row r="793" ht="15.75" customHeight="1" spans="1:46">
      <c r="A793" t="s">
        <v>1527</v>
      </c>
      <c r="B793" t="s">
        <v>1525</v>
      </c>
      <c r="C793" t="s">
        <v>1499</v>
      </c>
      <c r="D793" t="s">
        <v>1500</v>
      </c>
      <c r="E793" t="s">
        <v>1501</v>
      </c>
      <c r="F793" t="s">
        <v>1528</v>
      </c>
      <c r="H793" t="s">
        <v>55</v>
      </c>
      <c r="I793" t="s">
        <v>1522</v>
      </c>
      <c r="J793" t="s">
        <v>124</v>
      </c>
      <c r="K793" t="s">
        <v>1512</v>
      </c>
      <c r="L793" t="s">
        <v>1340</v>
      </c>
      <c r="M793" t="s">
        <v>1505</v>
      </c>
      <c r="Q793" t="s">
        <v>57</v>
      </c>
      <c r="Y793" t="s">
        <v>1533</v>
      </c>
      <c r="Z793">
        <v>8544</v>
      </c>
      <c r="AE793">
        <v>14115</v>
      </c>
      <c r="AF793" s="4">
        <v>0.44</v>
      </c>
      <c r="AG793">
        <f t="shared" si="81"/>
        <v>7904.4</v>
      </c>
      <c r="AH793" s="4">
        <v>0.18</v>
      </c>
      <c r="AI793">
        <f t="shared" si="76"/>
        <v>9327.19</v>
      </c>
      <c r="AJ793" s="4">
        <v>0.1</v>
      </c>
      <c r="AK793">
        <f t="shared" si="77"/>
        <v>932.72</v>
      </c>
      <c r="AL793">
        <f t="shared" si="78"/>
        <v>10259.91</v>
      </c>
      <c r="AM793">
        <f t="shared" si="79"/>
        <v>3855.09</v>
      </c>
      <c r="AN793" s="4">
        <f t="shared" si="80"/>
        <v>0.27312008501594</v>
      </c>
      <c r="AO793" t="s">
        <v>221</v>
      </c>
      <c r="AQ793" t="s">
        <v>217</v>
      </c>
      <c r="AT793" t="s">
        <v>1508</v>
      </c>
    </row>
    <row r="794" ht="15.75" customHeight="1" spans="1:46">
      <c r="A794" t="s">
        <v>1527</v>
      </c>
      <c r="B794" t="s">
        <v>1526</v>
      </c>
      <c r="C794" t="s">
        <v>1499</v>
      </c>
      <c r="D794" t="s">
        <v>1500</v>
      </c>
      <c r="E794" t="s">
        <v>1501</v>
      </c>
      <c r="F794" t="s">
        <v>1528</v>
      </c>
      <c r="H794" t="s">
        <v>55</v>
      </c>
      <c r="I794" t="s">
        <v>1522</v>
      </c>
      <c r="J794" t="s">
        <v>124</v>
      </c>
      <c r="K794" t="s">
        <v>1514</v>
      </c>
      <c r="L794" t="s">
        <v>1340</v>
      </c>
      <c r="M794" t="s">
        <v>1505</v>
      </c>
      <c r="Q794" t="s">
        <v>57</v>
      </c>
      <c r="Y794" t="s">
        <v>1534</v>
      </c>
      <c r="Z794">
        <v>8544</v>
      </c>
      <c r="AE794">
        <v>14115</v>
      </c>
      <c r="AF794" s="4">
        <v>0.44</v>
      </c>
      <c r="AG794">
        <f t="shared" si="81"/>
        <v>7904.4</v>
      </c>
      <c r="AH794" s="4">
        <v>0.18</v>
      </c>
      <c r="AI794">
        <f t="shared" si="76"/>
        <v>9327.19</v>
      </c>
      <c r="AJ794" s="4">
        <v>0.1</v>
      </c>
      <c r="AK794">
        <f t="shared" si="77"/>
        <v>932.72</v>
      </c>
      <c r="AL794">
        <f t="shared" si="78"/>
        <v>10259.91</v>
      </c>
      <c r="AM794">
        <f t="shared" si="79"/>
        <v>3855.09</v>
      </c>
      <c r="AN794" s="4">
        <f t="shared" si="80"/>
        <v>0.27312008501594</v>
      </c>
      <c r="AO794" t="s">
        <v>221</v>
      </c>
      <c r="AQ794" t="s">
        <v>217</v>
      </c>
      <c r="AT794" t="s">
        <v>1508</v>
      </c>
    </row>
    <row r="795" ht="15.75" customHeight="1" spans="1:46">
      <c r="A795" t="s">
        <v>1527</v>
      </c>
      <c r="B795" t="s">
        <v>1535</v>
      </c>
      <c r="C795" t="s">
        <v>1499</v>
      </c>
      <c r="D795" t="s">
        <v>1500</v>
      </c>
      <c r="E795" t="s">
        <v>1501</v>
      </c>
      <c r="F795" t="s">
        <v>1528</v>
      </c>
      <c r="H795" t="s">
        <v>55</v>
      </c>
      <c r="I795" t="s">
        <v>1536</v>
      </c>
      <c r="J795" t="s">
        <v>124</v>
      </c>
      <c r="K795" t="s">
        <v>1504</v>
      </c>
      <c r="L795" t="s">
        <v>1340</v>
      </c>
      <c r="M795" t="s">
        <v>1505</v>
      </c>
      <c r="Q795" t="s">
        <v>57</v>
      </c>
      <c r="Y795" t="s">
        <v>1530</v>
      </c>
      <c r="Z795">
        <v>8544</v>
      </c>
      <c r="AE795">
        <v>24100</v>
      </c>
      <c r="AF795" s="4">
        <v>0.44</v>
      </c>
      <c r="AG795">
        <f t="shared" si="81"/>
        <v>13496</v>
      </c>
      <c r="AH795" s="4">
        <v>0.18</v>
      </c>
      <c r="AI795">
        <f t="shared" si="76"/>
        <v>15925.28</v>
      </c>
      <c r="AJ795" s="4">
        <v>0.1</v>
      </c>
      <c r="AK795">
        <f t="shared" si="77"/>
        <v>1592.53</v>
      </c>
      <c r="AL795">
        <f t="shared" si="78"/>
        <v>17517.81</v>
      </c>
      <c r="AM795">
        <f t="shared" si="79"/>
        <v>6582.19</v>
      </c>
      <c r="AN795" s="4">
        <f t="shared" si="80"/>
        <v>0.273119917012448</v>
      </c>
      <c r="AO795" t="s">
        <v>221</v>
      </c>
      <c r="AQ795" t="s">
        <v>217</v>
      </c>
      <c r="AT795" t="s">
        <v>1508</v>
      </c>
    </row>
    <row r="796" ht="15.75" customHeight="1" spans="1:46">
      <c r="A796" t="s">
        <v>1527</v>
      </c>
      <c r="B796" t="s">
        <v>1537</v>
      </c>
      <c r="C796" t="s">
        <v>1499</v>
      </c>
      <c r="D796" t="s">
        <v>1500</v>
      </c>
      <c r="E796" t="s">
        <v>1501</v>
      </c>
      <c r="F796" t="s">
        <v>1528</v>
      </c>
      <c r="H796" t="s">
        <v>55</v>
      </c>
      <c r="I796" t="s">
        <v>1536</v>
      </c>
      <c r="J796" t="s">
        <v>124</v>
      </c>
      <c r="K796" t="s">
        <v>909</v>
      </c>
      <c r="L796" t="s">
        <v>1340</v>
      </c>
      <c r="M796" t="s">
        <v>1505</v>
      </c>
      <c r="Q796" t="s">
        <v>57</v>
      </c>
      <c r="Y796" t="s">
        <v>1531</v>
      </c>
      <c r="Z796">
        <v>8544</v>
      </c>
      <c r="AE796">
        <v>24100</v>
      </c>
      <c r="AF796" s="4">
        <v>0.44</v>
      </c>
      <c r="AG796">
        <f t="shared" si="81"/>
        <v>13496</v>
      </c>
      <c r="AH796" s="4">
        <v>0.18</v>
      </c>
      <c r="AI796">
        <f t="shared" si="76"/>
        <v>15925.28</v>
      </c>
      <c r="AJ796" s="4">
        <v>0.1</v>
      </c>
      <c r="AK796">
        <f t="shared" si="77"/>
        <v>1592.53</v>
      </c>
      <c r="AL796">
        <f t="shared" si="78"/>
        <v>17517.81</v>
      </c>
      <c r="AM796">
        <f t="shared" si="79"/>
        <v>6582.19</v>
      </c>
      <c r="AN796" s="4">
        <f t="shared" si="80"/>
        <v>0.273119917012448</v>
      </c>
      <c r="AO796" t="s">
        <v>221</v>
      </c>
      <c r="AQ796" t="s">
        <v>217</v>
      </c>
      <c r="AT796" t="s">
        <v>1508</v>
      </c>
    </row>
    <row r="797" ht="15.75" customHeight="1" spans="1:46">
      <c r="A797" t="s">
        <v>1527</v>
      </c>
      <c r="B797" t="s">
        <v>1538</v>
      </c>
      <c r="C797" t="s">
        <v>1499</v>
      </c>
      <c r="D797" t="s">
        <v>1500</v>
      </c>
      <c r="E797" t="s">
        <v>1501</v>
      </c>
      <c r="F797" t="s">
        <v>1528</v>
      </c>
      <c r="H797" t="s">
        <v>55</v>
      </c>
      <c r="I797" t="s">
        <v>1536</v>
      </c>
      <c r="J797" t="s">
        <v>124</v>
      </c>
      <c r="K797" t="s">
        <v>1510</v>
      </c>
      <c r="L797" t="s">
        <v>1340</v>
      </c>
      <c r="M797" t="s">
        <v>1505</v>
      </c>
      <c r="Q797" t="s">
        <v>57</v>
      </c>
      <c r="Y797" t="s">
        <v>1532</v>
      </c>
      <c r="Z797">
        <v>8544</v>
      </c>
      <c r="AE797">
        <v>24100</v>
      </c>
      <c r="AF797" s="4">
        <v>0.44</v>
      </c>
      <c r="AG797">
        <f t="shared" si="81"/>
        <v>13496</v>
      </c>
      <c r="AH797" s="4">
        <v>0.18</v>
      </c>
      <c r="AI797">
        <f t="shared" si="76"/>
        <v>15925.28</v>
      </c>
      <c r="AJ797" s="4">
        <v>0.1</v>
      </c>
      <c r="AK797">
        <f t="shared" si="77"/>
        <v>1592.53</v>
      </c>
      <c r="AL797">
        <f t="shared" si="78"/>
        <v>17517.81</v>
      </c>
      <c r="AM797">
        <f t="shared" si="79"/>
        <v>6582.19</v>
      </c>
      <c r="AN797" s="4">
        <f t="shared" si="80"/>
        <v>0.273119917012448</v>
      </c>
      <c r="AO797" t="s">
        <v>221</v>
      </c>
      <c r="AQ797" t="s">
        <v>217</v>
      </c>
      <c r="AT797" t="s">
        <v>1508</v>
      </c>
    </row>
    <row r="798" ht="15.75" customHeight="1" spans="1:46">
      <c r="A798" t="s">
        <v>1527</v>
      </c>
      <c r="B798" t="s">
        <v>1539</v>
      </c>
      <c r="C798" t="s">
        <v>1499</v>
      </c>
      <c r="D798" t="s">
        <v>1500</v>
      </c>
      <c r="E798" t="s">
        <v>1501</v>
      </c>
      <c r="F798" t="s">
        <v>1528</v>
      </c>
      <c r="H798" t="s">
        <v>55</v>
      </c>
      <c r="I798" t="s">
        <v>1536</v>
      </c>
      <c r="J798" t="s">
        <v>124</v>
      </c>
      <c r="K798" t="s">
        <v>1512</v>
      </c>
      <c r="L798" t="s">
        <v>1340</v>
      </c>
      <c r="M798" t="s">
        <v>1505</v>
      </c>
      <c r="Q798" t="s">
        <v>57</v>
      </c>
      <c r="Y798" t="s">
        <v>1533</v>
      </c>
      <c r="Z798">
        <v>8544</v>
      </c>
      <c r="AE798">
        <v>24100</v>
      </c>
      <c r="AF798" s="4">
        <v>0.44</v>
      </c>
      <c r="AG798">
        <f t="shared" si="81"/>
        <v>13496</v>
      </c>
      <c r="AH798" s="4">
        <v>0.18</v>
      </c>
      <c r="AI798">
        <f t="shared" si="76"/>
        <v>15925.28</v>
      </c>
      <c r="AJ798" s="4">
        <v>0.1</v>
      </c>
      <c r="AK798">
        <f t="shared" si="77"/>
        <v>1592.53</v>
      </c>
      <c r="AL798">
        <f t="shared" si="78"/>
        <v>17517.81</v>
      </c>
      <c r="AM798">
        <f t="shared" si="79"/>
        <v>6582.19</v>
      </c>
      <c r="AN798" s="4">
        <f t="shared" si="80"/>
        <v>0.273119917012448</v>
      </c>
      <c r="AO798" t="s">
        <v>221</v>
      </c>
      <c r="AQ798" t="s">
        <v>217</v>
      </c>
      <c r="AT798" t="s">
        <v>1508</v>
      </c>
    </row>
    <row r="799" ht="15.75" customHeight="1" spans="1:46">
      <c r="A799" t="s">
        <v>1527</v>
      </c>
      <c r="B799" t="s">
        <v>1540</v>
      </c>
      <c r="C799" t="s">
        <v>1499</v>
      </c>
      <c r="D799" t="s">
        <v>1500</v>
      </c>
      <c r="E799" t="s">
        <v>1501</v>
      </c>
      <c r="F799" t="s">
        <v>1528</v>
      </c>
      <c r="H799" t="s">
        <v>55</v>
      </c>
      <c r="I799" t="s">
        <v>1536</v>
      </c>
      <c r="J799" t="s">
        <v>124</v>
      </c>
      <c r="K799" t="s">
        <v>1514</v>
      </c>
      <c r="L799" t="s">
        <v>1340</v>
      </c>
      <c r="M799" t="s">
        <v>1505</v>
      </c>
      <c r="Q799" t="s">
        <v>57</v>
      </c>
      <c r="Y799" t="s">
        <v>1534</v>
      </c>
      <c r="Z799">
        <v>8544</v>
      </c>
      <c r="AE799">
        <v>24100</v>
      </c>
      <c r="AF799" s="4">
        <v>0.44</v>
      </c>
      <c r="AG799">
        <f t="shared" si="81"/>
        <v>13496</v>
      </c>
      <c r="AH799" s="4">
        <v>0.18</v>
      </c>
      <c r="AI799">
        <f t="shared" si="76"/>
        <v>15925.28</v>
      </c>
      <c r="AJ799" s="4">
        <v>0.1</v>
      </c>
      <c r="AK799">
        <f t="shared" si="77"/>
        <v>1592.53</v>
      </c>
      <c r="AL799">
        <f t="shared" si="78"/>
        <v>17517.81</v>
      </c>
      <c r="AM799">
        <f t="shared" si="79"/>
        <v>6582.19</v>
      </c>
      <c r="AN799" s="4">
        <f t="shared" si="80"/>
        <v>0.273119917012448</v>
      </c>
      <c r="AO799" t="s">
        <v>221</v>
      </c>
      <c r="AQ799" t="s">
        <v>217</v>
      </c>
      <c r="AT799" t="s">
        <v>1508</v>
      </c>
    </row>
    <row r="800" ht="15.75" customHeight="1" spans="1:46">
      <c r="A800" t="s">
        <v>1527</v>
      </c>
      <c r="B800" t="s">
        <v>1541</v>
      </c>
      <c r="C800" t="s">
        <v>1499</v>
      </c>
      <c r="D800" t="s">
        <v>1500</v>
      </c>
      <c r="E800" t="s">
        <v>1501</v>
      </c>
      <c r="F800" t="s">
        <v>1528</v>
      </c>
      <c r="H800" t="s">
        <v>55</v>
      </c>
      <c r="I800" t="s">
        <v>1542</v>
      </c>
      <c r="J800" t="s">
        <v>124</v>
      </c>
      <c r="K800" t="s">
        <v>1504</v>
      </c>
      <c r="L800" t="s">
        <v>1340</v>
      </c>
      <c r="M800" t="s">
        <v>1505</v>
      </c>
      <c r="Q800" t="s">
        <v>57</v>
      </c>
      <c r="Y800" t="s">
        <v>1530</v>
      </c>
      <c r="Z800">
        <v>8544</v>
      </c>
      <c r="AE800">
        <v>38050</v>
      </c>
      <c r="AF800" s="4">
        <v>0.44</v>
      </c>
      <c r="AG800">
        <f t="shared" si="81"/>
        <v>21308</v>
      </c>
      <c r="AH800" s="4">
        <v>0.18</v>
      </c>
      <c r="AI800">
        <f t="shared" si="76"/>
        <v>25143.44</v>
      </c>
      <c r="AJ800" s="4">
        <v>0.1</v>
      </c>
      <c r="AK800">
        <f t="shared" si="77"/>
        <v>2514.34</v>
      </c>
      <c r="AL800">
        <f t="shared" si="78"/>
        <v>27657.78</v>
      </c>
      <c r="AM800">
        <f t="shared" si="79"/>
        <v>10392.22</v>
      </c>
      <c r="AN800" s="4">
        <f t="shared" si="80"/>
        <v>0.273120105124836</v>
      </c>
      <c r="AO800" t="s">
        <v>221</v>
      </c>
      <c r="AQ800" t="s">
        <v>217</v>
      </c>
      <c r="AT800" t="s">
        <v>1508</v>
      </c>
    </row>
    <row r="801" ht="15.75" customHeight="1" spans="1:46">
      <c r="A801" t="s">
        <v>1527</v>
      </c>
      <c r="B801" t="s">
        <v>1543</v>
      </c>
      <c r="C801" t="s">
        <v>1499</v>
      </c>
      <c r="D801" t="s">
        <v>1500</v>
      </c>
      <c r="E801" t="s">
        <v>1501</v>
      </c>
      <c r="F801" t="s">
        <v>1528</v>
      </c>
      <c r="H801" t="s">
        <v>55</v>
      </c>
      <c r="I801" t="s">
        <v>1542</v>
      </c>
      <c r="J801" t="s">
        <v>124</v>
      </c>
      <c r="K801" t="s">
        <v>909</v>
      </c>
      <c r="L801" t="s">
        <v>1340</v>
      </c>
      <c r="M801" t="s">
        <v>1505</v>
      </c>
      <c r="Q801" t="s">
        <v>57</v>
      </c>
      <c r="Y801" t="s">
        <v>1531</v>
      </c>
      <c r="Z801">
        <v>8544</v>
      </c>
      <c r="AE801">
        <v>38050</v>
      </c>
      <c r="AF801" s="4">
        <v>0.44</v>
      </c>
      <c r="AG801">
        <f t="shared" si="81"/>
        <v>21308</v>
      </c>
      <c r="AH801" s="4">
        <v>0.18</v>
      </c>
      <c r="AI801">
        <f t="shared" si="76"/>
        <v>25143.44</v>
      </c>
      <c r="AJ801" s="4">
        <v>0.1</v>
      </c>
      <c r="AK801">
        <f t="shared" si="77"/>
        <v>2514.34</v>
      </c>
      <c r="AL801">
        <f t="shared" si="78"/>
        <v>27657.78</v>
      </c>
      <c r="AM801">
        <f t="shared" si="79"/>
        <v>10392.22</v>
      </c>
      <c r="AN801" s="4">
        <f t="shared" si="80"/>
        <v>0.273120105124836</v>
      </c>
      <c r="AO801" t="s">
        <v>221</v>
      </c>
      <c r="AQ801" t="s">
        <v>217</v>
      </c>
      <c r="AT801" t="s">
        <v>1508</v>
      </c>
    </row>
    <row r="802" ht="15.75" customHeight="1" spans="1:46">
      <c r="A802" t="s">
        <v>1527</v>
      </c>
      <c r="B802" t="s">
        <v>1544</v>
      </c>
      <c r="C802" t="s">
        <v>1499</v>
      </c>
      <c r="D802" t="s">
        <v>1500</v>
      </c>
      <c r="E802" t="s">
        <v>1501</v>
      </c>
      <c r="F802" t="s">
        <v>1528</v>
      </c>
      <c r="H802" t="s">
        <v>55</v>
      </c>
      <c r="I802" t="s">
        <v>1542</v>
      </c>
      <c r="J802" t="s">
        <v>124</v>
      </c>
      <c r="K802" t="s">
        <v>1510</v>
      </c>
      <c r="L802" t="s">
        <v>1340</v>
      </c>
      <c r="M802" t="s">
        <v>1505</v>
      </c>
      <c r="Q802" t="s">
        <v>57</v>
      </c>
      <c r="Y802" t="s">
        <v>1532</v>
      </c>
      <c r="Z802">
        <v>8544</v>
      </c>
      <c r="AE802">
        <v>38050</v>
      </c>
      <c r="AF802" s="4">
        <v>0.44</v>
      </c>
      <c r="AG802">
        <f t="shared" si="81"/>
        <v>21308</v>
      </c>
      <c r="AH802" s="4">
        <v>0.18</v>
      </c>
      <c r="AI802">
        <f t="shared" si="76"/>
        <v>25143.44</v>
      </c>
      <c r="AJ802" s="4">
        <v>0.1</v>
      </c>
      <c r="AK802">
        <f t="shared" si="77"/>
        <v>2514.34</v>
      </c>
      <c r="AL802">
        <f t="shared" si="78"/>
        <v>27657.78</v>
      </c>
      <c r="AM802">
        <f t="shared" si="79"/>
        <v>10392.22</v>
      </c>
      <c r="AN802" s="4">
        <f t="shared" si="80"/>
        <v>0.273120105124836</v>
      </c>
      <c r="AO802" t="s">
        <v>221</v>
      </c>
      <c r="AQ802" t="s">
        <v>217</v>
      </c>
      <c r="AT802" t="s">
        <v>1508</v>
      </c>
    </row>
    <row r="803" ht="15.75" customHeight="1" spans="1:46">
      <c r="A803" t="s">
        <v>1527</v>
      </c>
      <c r="B803" t="s">
        <v>1545</v>
      </c>
      <c r="C803" t="s">
        <v>1499</v>
      </c>
      <c r="D803" t="s">
        <v>1500</v>
      </c>
      <c r="E803" t="s">
        <v>1501</v>
      </c>
      <c r="F803" t="s">
        <v>1528</v>
      </c>
      <c r="H803" t="s">
        <v>55</v>
      </c>
      <c r="I803" t="s">
        <v>1542</v>
      </c>
      <c r="J803" t="s">
        <v>124</v>
      </c>
      <c r="K803" t="s">
        <v>1512</v>
      </c>
      <c r="L803" t="s">
        <v>1340</v>
      </c>
      <c r="M803" t="s">
        <v>1505</v>
      </c>
      <c r="Q803" t="s">
        <v>57</v>
      </c>
      <c r="Y803" t="s">
        <v>1533</v>
      </c>
      <c r="Z803">
        <v>8544</v>
      </c>
      <c r="AE803">
        <v>38050</v>
      </c>
      <c r="AF803" s="4">
        <v>0.44</v>
      </c>
      <c r="AG803">
        <f t="shared" si="81"/>
        <v>21308</v>
      </c>
      <c r="AH803" s="4">
        <v>0.18</v>
      </c>
      <c r="AI803">
        <f t="shared" si="76"/>
        <v>25143.44</v>
      </c>
      <c r="AJ803" s="4">
        <v>0.1</v>
      </c>
      <c r="AK803">
        <f t="shared" si="77"/>
        <v>2514.34</v>
      </c>
      <c r="AL803">
        <f t="shared" si="78"/>
        <v>27657.78</v>
      </c>
      <c r="AM803">
        <f t="shared" si="79"/>
        <v>10392.22</v>
      </c>
      <c r="AN803" s="4">
        <f t="shared" si="80"/>
        <v>0.273120105124836</v>
      </c>
      <c r="AO803" t="s">
        <v>221</v>
      </c>
      <c r="AQ803" t="s">
        <v>217</v>
      </c>
      <c r="AT803" t="s">
        <v>1508</v>
      </c>
    </row>
    <row r="804" ht="15.75" customHeight="1" spans="1:46">
      <c r="A804" t="s">
        <v>1527</v>
      </c>
      <c r="B804" t="s">
        <v>1546</v>
      </c>
      <c r="C804" t="s">
        <v>1499</v>
      </c>
      <c r="D804" t="s">
        <v>1500</v>
      </c>
      <c r="E804" t="s">
        <v>1501</v>
      </c>
      <c r="F804" t="s">
        <v>1528</v>
      </c>
      <c r="H804" t="s">
        <v>55</v>
      </c>
      <c r="I804" t="s">
        <v>1542</v>
      </c>
      <c r="J804" t="s">
        <v>124</v>
      </c>
      <c r="K804" t="s">
        <v>1514</v>
      </c>
      <c r="L804" t="s">
        <v>1340</v>
      </c>
      <c r="M804" t="s">
        <v>1505</v>
      </c>
      <c r="Q804" t="s">
        <v>57</v>
      </c>
      <c r="Y804" t="s">
        <v>1534</v>
      </c>
      <c r="Z804">
        <v>8544</v>
      </c>
      <c r="AE804">
        <v>38050</v>
      </c>
      <c r="AF804" s="4">
        <v>0.44</v>
      </c>
      <c r="AG804">
        <f t="shared" si="81"/>
        <v>21308</v>
      </c>
      <c r="AH804" s="4">
        <v>0.18</v>
      </c>
      <c r="AI804">
        <f t="shared" si="76"/>
        <v>25143.44</v>
      </c>
      <c r="AJ804" s="4">
        <v>0.1</v>
      </c>
      <c r="AK804">
        <f t="shared" si="77"/>
        <v>2514.34</v>
      </c>
      <c r="AL804">
        <f t="shared" si="78"/>
        <v>27657.78</v>
      </c>
      <c r="AM804">
        <f t="shared" si="79"/>
        <v>10392.22</v>
      </c>
      <c r="AN804" s="4">
        <f t="shared" si="80"/>
        <v>0.273120105124836</v>
      </c>
      <c r="AO804" t="s">
        <v>221</v>
      </c>
      <c r="AQ804" t="s">
        <v>217</v>
      </c>
      <c r="AT804" t="s">
        <v>1508</v>
      </c>
    </row>
    <row r="805" ht="15.75" customHeight="1" spans="1:46">
      <c r="A805" t="s">
        <v>1547</v>
      </c>
      <c r="B805" t="s">
        <v>46</v>
      </c>
      <c r="C805" t="s">
        <v>1499</v>
      </c>
      <c r="D805" t="s">
        <v>1500</v>
      </c>
      <c r="E805" t="s">
        <v>1501</v>
      </c>
      <c r="F805" t="s">
        <v>1548</v>
      </c>
      <c r="H805" t="s">
        <v>55</v>
      </c>
      <c r="I805" t="s">
        <v>1503</v>
      </c>
      <c r="J805" t="s">
        <v>124</v>
      </c>
      <c r="K805" t="s">
        <v>1504</v>
      </c>
      <c r="L805" t="s">
        <v>1340</v>
      </c>
      <c r="M805" t="s">
        <v>1505</v>
      </c>
      <c r="Q805" t="s">
        <v>57</v>
      </c>
      <c r="Y805" t="s">
        <v>1549</v>
      </c>
      <c r="Z805">
        <v>8544</v>
      </c>
      <c r="AE805">
        <v>2060</v>
      </c>
      <c r="AF805" s="4">
        <v>0.44</v>
      </c>
      <c r="AG805">
        <f t="shared" si="81"/>
        <v>1153.6</v>
      </c>
      <c r="AH805" s="4">
        <v>0.18</v>
      </c>
      <c r="AI805">
        <f t="shared" si="76"/>
        <v>1361.25</v>
      </c>
      <c r="AJ805" s="4">
        <v>0.1</v>
      </c>
      <c r="AK805">
        <f t="shared" si="77"/>
        <v>136.13</v>
      </c>
      <c r="AL805">
        <f t="shared" si="78"/>
        <v>1497.38</v>
      </c>
      <c r="AM805">
        <f t="shared" si="79"/>
        <v>562.62</v>
      </c>
      <c r="AN805" s="4">
        <f t="shared" si="80"/>
        <v>0.273116504854369</v>
      </c>
      <c r="AO805" t="s">
        <v>221</v>
      </c>
      <c r="AQ805" t="s">
        <v>217</v>
      </c>
      <c r="AT805" t="s">
        <v>1508</v>
      </c>
    </row>
    <row r="806" ht="15.75" customHeight="1" spans="1:46">
      <c r="A806" t="s">
        <v>1547</v>
      </c>
      <c r="B806" t="s">
        <v>67</v>
      </c>
      <c r="C806" t="s">
        <v>1499</v>
      </c>
      <c r="D806" t="s">
        <v>1500</v>
      </c>
      <c r="E806" t="s">
        <v>1501</v>
      </c>
      <c r="F806" t="s">
        <v>1548</v>
      </c>
      <c r="H806" t="s">
        <v>55</v>
      </c>
      <c r="I806" t="s">
        <v>1503</v>
      </c>
      <c r="J806" t="s">
        <v>124</v>
      </c>
      <c r="K806" t="s">
        <v>909</v>
      </c>
      <c r="L806" t="s">
        <v>1340</v>
      </c>
      <c r="M806" t="s">
        <v>1505</v>
      </c>
      <c r="Q806" t="s">
        <v>57</v>
      </c>
      <c r="Y806" t="s">
        <v>1549</v>
      </c>
      <c r="Z806">
        <v>8544</v>
      </c>
      <c r="AE806">
        <v>2060</v>
      </c>
      <c r="AF806" s="4">
        <v>0.44</v>
      </c>
      <c r="AG806">
        <f t="shared" si="81"/>
        <v>1153.6</v>
      </c>
      <c r="AH806" s="4">
        <v>0.18</v>
      </c>
      <c r="AI806">
        <f t="shared" si="76"/>
        <v>1361.25</v>
      </c>
      <c r="AJ806" s="4">
        <v>0.1</v>
      </c>
      <c r="AK806">
        <f t="shared" si="77"/>
        <v>136.13</v>
      </c>
      <c r="AL806">
        <f t="shared" si="78"/>
        <v>1497.38</v>
      </c>
      <c r="AM806">
        <f t="shared" si="79"/>
        <v>562.62</v>
      </c>
      <c r="AN806" s="4">
        <f t="shared" si="80"/>
        <v>0.273116504854369</v>
      </c>
      <c r="AO806" t="s">
        <v>221</v>
      </c>
      <c r="AQ806" t="s">
        <v>217</v>
      </c>
      <c r="AT806" t="s">
        <v>1508</v>
      </c>
    </row>
    <row r="807" ht="15.75" customHeight="1" spans="1:46">
      <c r="A807" t="s">
        <v>1547</v>
      </c>
      <c r="B807" t="s">
        <v>71</v>
      </c>
      <c r="C807" t="s">
        <v>1499</v>
      </c>
      <c r="D807" t="s">
        <v>1500</v>
      </c>
      <c r="E807" t="s">
        <v>1501</v>
      </c>
      <c r="F807" t="s">
        <v>1548</v>
      </c>
      <c r="H807" t="s">
        <v>55</v>
      </c>
      <c r="I807" t="s">
        <v>1503</v>
      </c>
      <c r="J807" t="s">
        <v>124</v>
      </c>
      <c r="K807" t="s">
        <v>1510</v>
      </c>
      <c r="L807" t="s">
        <v>1340</v>
      </c>
      <c r="M807" t="s">
        <v>1505</v>
      </c>
      <c r="Q807" t="s">
        <v>57</v>
      </c>
      <c r="Y807" t="s">
        <v>1549</v>
      </c>
      <c r="Z807">
        <v>8544</v>
      </c>
      <c r="AE807">
        <v>2060</v>
      </c>
      <c r="AF807" s="4">
        <v>0.44</v>
      </c>
      <c r="AG807">
        <f t="shared" si="81"/>
        <v>1153.6</v>
      </c>
      <c r="AH807" s="4">
        <v>0.18</v>
      </c>
      <c r="AI807">
        <f t="shared" si="76"/>
        <v>1361.25</v>
      </c>
      <c r="AJ807" s="4">
        <v>0.1</v>
      </c>
      <c r="AK807">
        <f t="shared" si="77"/>
        <v>136.13</v>
      </c>
      <c r="AL807">
        <f t="shared" si="78"/>
        <v>1497.38</v>
      </c>
      <c r="AM807">
        <f t="shared" si="79"/>
        <v>562.62</v>
      </c>
      <c r="AN807" s="4">
        <f t="shared" si="80"/>
        <v>0.273116504854369</v>
      </c>
      <c r="AO807" t="s">
        <v>221</v>
      </c>
      <c r="AQ807" t="s">
        <v>217</v>
      </c>
      <c r="AT807" t="s">
        <v>1508</v>
      </c>
    </row>
    <row r="808" ht="15.75" customHeight="1" spans="1:46">
      <c r="A808" t="s">
        <v>1547</v>
      </c>
      <c r="B808" t="s">
        <v>75</v>
      </c>
      <c r="C808" t="s">
        <v>1499</v>
      </c>
      <c r="D808" t="s">
        <v>1500</v>
      </c>
      <c r="E808" t="s">
        <v>1501</v>
      </c>
      <c r="F808" t="s">
        <v>1548</v>
      </c>
      <c r="H808" t="s">
        <v>55</v>
      </c>
      <c r="I808" t="s">
        <v>1503</v>
      </c>
      <c r="J808" t="s">
        <v>124</v>
      </c>
      <c r="K808" t="s">
        <v>1512</v>
      </c>
      <c r="L808" t="s">
        <v>1340</v>
      </c>
      <c r="M808" t="s">
        <v>1505</v>
      </c>
      <c r="Q808" t="s">
        <v>57</v>
      </c>
      <c r="Y808" t="s">
        <v>1549</v>
      </c>
      <c r="Z808">
        <v>8544</v>
      </c>
      <c r="AE808">
        <v>2060</v>
      </c>
      <c r="AF808" s="4">
        <v>0.44</v>
      </c>
      <c r="AG808">
        <f t="shared" si="81"/>
        <v>1153.6</v>
      </c>
      <c r="AH808" s="4">
        <v>0.18</v>
      </c>
      <c r="AI808">
        <f t="shared" si="76"/>
        <v>1361.25</v>
      </c>
      <c r="AJ808" s="4">
        <v>0.1</v>
      </c>
      <c r="AK808">
        <f t="shared" si="77"/>
        <v>136.13</v>
      </c>
      <c r="AL808">
        <f t="shared" si="78"/>
        <v>1497.38</v>
      </c>
      <c r="AM808">
        <f t="shared" si="79"/>
        <v>562.62</v>
      </c>
      <c r="AN808" s="4">
        <f t="shared" si="80"/>
        <v>0.273116504854369</v>
      </c>
      <c r="AO808" t="s">
        <v>221</v>
      </c>
      <c r="AQ808" t="s">
        <v>217</v>
      </c>
      <c r="AT808" t="s">
        <v>1508</v>
      </c>
    </row>
    <row r="809" ht="15.75" customHeight="1" spans="1:46">
      <c r="A809" t="s">
        <v>1547</v>
      </c>
      <c r="B809" t="s">
        <v>79</v>
      </c>
      <c r="C809" t="s">
        <v>1499</v>
      </c>
      <c r="D809" t="s">
        <v>1500</v>
      </c>
      <c r="E809" t="s">
        <v>1501</v>
      </c>
      <c r="F809" t="s">
        <v>1548</v>
      </c>
      <c r="H809" t="s">
        <v>55</v>
      </c>
      <c r="I809" t="s">
        <v>1503</v>
      </c>
      <c r="J809" t="s">
        <v>124</v>
      </c>
      <c r="K809" t="s">
        <v>1514</v>
      </c>
      <c r="L809" t="s">
        <v>1340</v>
      </c>
      <c r="M809" t="s">
        <v>1505</v>
      </c>
      <c r="Q809" t="s">
        <v>57</v>
      </c>
      <c r="Y809" t="s">
        <v>1549</v>
      </c>
      <c r="Z809">
        <v>8544</v>
      </c>
      <c r="AE809">
        <v>2060</v>
      </c>
      <c r="AF809" s="4">
        <v>0.44</v>
      </c>
      <c r="AG809">
        <f t="shared" si="81"/>
        <v>1153.6</v>
      </c>
      <c r="AH809" s="4">
        <v>0.18</v>
      </c>
      <c r="AI809">
        <f t="shared" si="76"/>
        <v>1361.25</v>
      </c>
      <c r="AJ809" s="4">
        <v>0.1</v>
      </c>
      <c r="AK809">
        <f t="shared" si="77"/>
        <v>136.13</v>
      </c>
      <c r="AL809">
        <f t="shared" si="78"/>
        <v>1497.38</v>
      </c>
      <c r="AM809">
        <f t="shared" si="79"/>
        <v>562.62</v>
      </c>
      <c r="AN809" s="4">
        <f t="shared" si="80"/>
        <v>0.273116504854369</v>
      </c>
      <c r="AO809" t="s">
        <v>221</v>
      </c>
      <c r="AQ809" t="s">
        <v>217</v>
      </c>
      <c r="AT809" t="s">
        <v>1508</v>
      </c>
    </row>
    <row r="810" ht="15.75" customHeight="1" spans="1:46">
      <c r="A810" t="s">
        <v>1547</v>
      </c>
      <c r="B810" t="s">
        <v>83</v>
      </c>
      <c r="C810" t="s">
        <v>1499</v>
      </c>
      <c r="D810" t="s">
        <v>1500</v>
      </c>
      <c r="E810" t="s">
        <v>1501</v>
      </c>
      <c r="F810" t="s">
        <v>1548</v>
      </c>
      <c r="H810" t="s">
        <v>55</v>
      </c>
      <c r="I810" t="s">
        <v>1516</v>
      </c>
      <c r="J810" t="s">
        <v>124</v>
      </c>
      <c r="K810" t="s">
        <v>1504</v>
      </c>
      <c r="L810" t="s">
        <v>1340</v>
      </c>
      <c r="M810" t="s">
        <v>1505</v>
      </c>
      <c r="Q810" t="s">
        <v>57</v>
      </c>
      <c r="Y810" t="s">
        <v>1549</v>
      </c>
      <c r="Z810">
        <v>8544</v>
      </c>
      <c r="AE810">
        <v>2640</v>
      </c>
      <c r="AF810" s="4">
        <v>0.44</v>
      </c>
      <c r="AG810">
        <f t="shared" si="81"/>
        <v>1478.4</v>
      </c>
      <c r="AH810" s="4">
        <v>0.18</v>
      </c>
      <c r="AI810">
        <f t="shared" si="76"/>
        <v>1744.51</v>
      </c>
      <c r="AJ810" s="4">
        <v>0.1</v>
      </c>
      <c r="AK810">
        <f t="shared" si="77"/>
        <v>174.45</v>
      </c>
      <c r="AL810">
        <f t="shared" si="78"/>
        <v>1918.96</v>
      </c>
      <c r="AM810">
        <f t="shared" si="79"/>
        <v>721.04</v>
      </c>
      <c r="AN810" s="4">
        <f t="shared" si="80"/>
        <v>0.273121212121212</v>
      </c>
      <c r="AO810" t="s">
        <v>221</v>
      </c>
      <c r="AQ810" t="s">
        <v>217</v>
      </c>
      <c r="AT810" t="s">
        <v>1508</v>
      </c>
    </row>
    <row r="811" ht="15.75" customHeight="1" spans="1:46">
      <c r="A811" t="s">
        <v>1547</v>
      </c>
      <c r="B811" t="s">
        <v>131</v>
      </c>
      <c r="C811" t="s">
        <v>1499</v>
      </c>
      <c r="D811" t="s">
        <v>1500</v>
      </c>
      <c r="E811" t="s">
        <v>1501</v>
      </c>
      <c r="F811" t="s">
        <v>1548</v>
      </c>
      <c r="H811" t="s">
        <v>55</v>
      </c>
      <c r="I811" t="s">
        <v>1516</v>
      </c>
      <c r="J811" t="s">
        <v>124</v>
      </c>
      <c r="K811" t="s">
        <v>909</v>
      </c>
      <c r="L811" t="s">
        <v>1340</v>
      </c>
      <c r="M811" t="s">
        <v>1505</v>
      </c>
      <c r="Q811" t="s">
        <v>57</v>
      </c>
      <c r="Y811" t="s">
        <v>1549</v>
      </c>
      <c r="Z811">
        <v>8544</v>
      </c>
      <c r="AE811">
        <v>2640</v>
      </c>
      <c r="AF811" s="4">
        <v>0.44</v>
      </c>
      <c r="AG811">
        <f t="shared" si="81"/>
        <v>1478.4</v>
      </c>
      <c r="AH811" s="4">
        <v>0.18</v>
      </c>
      <c r="AI811">
        <f t="shared" si="76"/>
        <v>1744.51</v>
      </c>
      <c r="AJ811" s="4">
        <v>0.1</v>
      </c>
      <c r="AK811">
        <f t="shared" si="77"/>
        <v>174.45</v>
      </c>
      <c r="AL811">
        <f t="shared" si="78"/>
        <v>1918.96</v>
      </c>
      <c r="AM811">
        <f t="shared" si="79"/>
        <v>721.04</v>
      </c>
      <c r="AN811" s="4">
        <f t="shared" si="80"/>
        <v>0.273121212121212</v>
      </c>
      <c r="AO811" t="s">
        <v>221</v>
      </c>
      <c r="AQ811" t="s">
        <v>217</v>
      </c>
      <c r="AT811" t="s">
        <v>1508</v>
      </c>
    </row>
    <row r="812" ht="15.75" customHeight="1" spans="1:46">
      <c r="A812" t="s">
        <v>1547</v>
      </c>
      <c r="B812" t="s">
        <v>133</v>
      </c>
      <c r="C812" t="s">
        <v>1499</v>
      </c>
      <c r="D812" t="s">
        <v>1500</v>
      </c>
      <c r="E812" t="s">
        <v>1501</v>
      </c>
      <c r="F812" t="s">
        <v>1548</v>
      </c>
      <c r="H812" t="s">
        <v>55</v>
      </c>
      <c r="I812" t="s">
        <v>1516</v>
      </c>
      <c r="J812" t="s">
        <v>124</v>
      </c>
      <c r="K812" t="s">
        <v>1510</v>
      </c>
      <c r="L812" t="s">
        <v>1340</v>
      </c>
      <c r="M812" t="s">
        <v>1505</v>
      </c>
      <c r="Q812" t="s">
        <v>57</v>
      </c>
      <c r="Y812" t="s">
        <v>1549</v>
      </c>
      <c r="Z812">
        <v>8544</v>
      </c>
      <c r="AE812">
        <v>2640</v>
      </c>
      <c r="AF812" s="4">
        <v>0.44</v>
      </c>
      <c r="AG812">
        <f t="shared" si="81"/>
        <v>1478.4</v>
      </c>
      <c r="AH812" s="4">
        <v>0.18</v>
      </c>
      <c r="AI812">
        <f t="shared" si="76"/>
        <v>1744.51</v>
      </c>
      <c r="AJ812" s="4">
        <v>0.1</v>
      </c>
      <c r="AK812">
        <f t="shared" si="77"/>
        <v>174.45</v>
      </c>
      <c r="AL812">
        <f t="shared" si="78"/>
        <v>1918.96</v>
      </c>
      <c r="AM812">
        <f t="shared" si="79"/>
        <v>721.04</v>
      </c>
      <c r="AN812" s="4">
        <f t="shared" si="80"/>
        <v>0.273121212121212</v>
      </c>
      <c r="AO812" t="s">
        <v>221</v>
      </c>
      <c r="AQ812" t="s">
        <v>217</v>
      </c>
      <c r="AT812" t="s">
        <v>1508</v>
      </c>
    </row>
    <row r="813" ht="15.75" customHeight="1" spans="1:46">
      <c r="A813" t="s">
        <v>1547</v>
      </c>
      <c r="B813" t="s">
        <v>135</v>
      </c>
      <c r="C813" t="s">
        <v>1499</v>
      </c>
      <c r="D813" t="s">
        <v>1500</v>
      </c>
      <c r="E813" t="s">
        <v>1501</v>
      </c>
      <c r="F813" t="s">
        <v>1548</v>
      </c>
      <c r="H813" t="s">
        <v>55</v>
      </c>
      <c r="I813" t="s">
        <v>1516</v>
      </c>
      <c r="J813" t="s">
        <v>124</v>
      </c>
      <c r="K813" t="s">
        <v>1512</v>
      </c>
      <c r="L813" t="s">
        <v>1340</v>
      </c>
      <c r="M813" t="s">
        <v>1505</v>
      </c>
      <c r="Q813" t="s">
        <v>57</v>
      </c>
      <c r="Y813" t="s">
        <v>1549</v>
      </c>
      <c r="Z813">
        <v>8544</v>
      </c>
      <c r="AE813">
        <v>2640</v>
      </c>
      <c r="AF813" s="4">
        <v>0.44</v>
      </c>
      <c r="AG813">
        <f t="shared" si="81"/>
        <v>1478.4</v>
      </c>
      <c r="AH813" s="4">
        <v>0.18</v>
      </c>
      <c r="AI813">
        <f t="shared" si="76"/>
        <v>1744.51</v>
      </c>
      <c r="AJ813" s="4">
        <v>0.1</v>
      </c>
      <c r="AK813">
        <f t="shared" si="77"/>
        <v>174.45</v>
      </c>
      <c r="AL813">
        <f t="shared" si="78"/>
        <v>1918.96</v>
      </c>
      <c r="AM813">
        <f t="shared" si="79"/>
        <v>721.04</v>
      </c>
      <c r="AN813" s="4">
        <f t="shared" si="80"/>
        <v>0.273121212121212</v>
      </c>
      <c r="AO813" t="s">
        <v>221</v>
      </c>
      <c r="AQ813" t="s">
        <v>217</v>
      </c>
      <c r="AT813" t="s">
        <v>1508</v>
      </c>
    </row>
    <row r="814" ht="15.75" customHeight="1" spans="1:46">
      <c r="A814" t="s">
        <v>1547</v>
      </c>
      <c r="B814" t="s">
        <v>137</v>
      </c>
      <c r="C814" t="s">
        <v>1499</v>
      </c>
      <c r="D814" t="s">
        <v>1500</v>
      </c>
      <c r="E814" t="s">
        <v>1501</v>
      </c>
      <c r="F814" t="s">
        <v>1548</v>
      </c>
      <c r="H814" t="s">
        <v>55</v>
      </c>
      <c r="I814" t="s">
        <v>1516</v>
      </c>
      <c r="J814" t="s">
        <v>124</v>
      </c>
      <c r="K814" t="s">
        <v>1514</v>
      </c>
      <c r="L814" t="s">
        <v>1340</v>
      </c>
      <c r="M814" t="s">
        <v>1505</v>
      </c>
      <c r="Q814" t="s">
        <v>57</v>
      </c>
      <c r="Y814" t="s">
        <v>1549</v>
      </c>
      <c r="Z814">
        <v>8544</v>
      </c>
      <c r="AE814">
        <v>2640</v>
      </c>
      <c r="AF814" s="4">
        <v>0.44</v>
      </c>
      <c r="AG814">
        <f t="shared" si="81"/>
        <v>1478.4</v>
      </c>
      <c r="AH814" s="4">
        <v>0.18</v>
      </c>
      <c r="AI814">
        <f t="shared" si="76"/>
        <v>1744.51</v>
      </c>
      <c r="AJ814" s="4">
        <v>0.1</v>
      </c>
      <c r="AK814">
        <f t="shared" si="77"/>
        <v>174.45</v>
      </c>
      <c r="AL814">
        <f t="shared" si="78"/>
        <v>1918.96</v>
      </c>
      <c r="AM814">
        <f t="shared" si="79"/>
        <v>721.04</v>
      </c>
      <c r="AN814" s="4">
        <f t="shared" si="80"/>
        <v>0.273121212121212</v>
      </c>
      <c r="AO814" t="s">
        <v>221</v>
      </c>
      <c r="AQ814" t="s">
        <v>217</v>
      </c>
      <c r="AT814" t="s">
        <v>1508</v>
      </c>
    </row>
    <row r="815" ht="15.75" customHeight="1" spans="1:46">
      <c r="A815" t="s">
        <v>1547</v>
      </c>
      <c r="B815" t="s">
        <v>138</v>
      </c>
      <c r="C815" t="s">
        <v>1499</v>
      </c>
      <c r="D815" t="s">
        <v>1500</v>
      </c>
      <c r="E815" t="s">
        <v>1501</v>
      </c>
      <c r="F815" t="s">
        <v>1548</v>
      </c>
      <c r="H815" t="s">
        <v>55</v>
      </c>
      <c r="I815" t="s">
        <v>1517</v>
      </c>
      <c r="J815" t="s">
        <v>124</v>
      </c>
      <c r="K815" t="s">
        <v>1504</v>
      </c>
      <c r="L815" t="s">
        <v>1340</v>
      </c>
      <c r="M815" t="s">
        <v>1505</v>
      </c>
      <c r="Q815" t="s">
        <v>57</v>
      </c>
      <c r="Y815" t="s">
        <v>1549</v>
      </c>
      <c r="Z815">
        <v>8544</v>
      </c>
      <c r="AE815">
        <v>3840</v>
      </c>
      <c r="AF815" s="4">
        <v>0.44</v>
      </c>
      <c r="AG815">
        <f t="shared" si="81"/>
        <v>2150.4</v>
      </c>
      <c r="AH815" s="4">
        <v>0.18</v>
      </c>
      <c r="AI815">
        <f t="shared" si="76"/>
        <v>2537.47</v>
      </c>
      <c r="AJ815" s="4">
        <v>0.1</v>
      </c>
      <c r="AK815">
        <f t="shared" si="77"/>
        <v>253.75</v>
      </c>
      <c r="AL815">
        <f t="shared" si="78"/>
        <v>2791.22</v>
      </c>
      <c r="AM815">
        <f t="shared" si="79"/>
        <v>1048.78</v>
      </c>
      <c r="AN815" s="4">
        <f t="shared" si="80"/>
        <v>0.273119791666667</v>
      </c>
      <c r="AO815" t="s">
        <v>221</v>
      </c>
      <c r="AQ815" t="s">
        <v>217</v>
      </c>
      <c r="AT815" t="s">
        <v>1508</v>
      </c>
    </row>
    <row r="816" ht="15.75" customHeight="1" spans="1:46">
      <c r="A816" t="s">
        <v>1547</v>
      </c>
      <c r="B816" t="s">
        <v>140</v>
      </c>
      <c r="C816" t="s">
        <v>1499</v>
      </c>
      <c r="D816" t="s">
        <v>1500</v>
      </c>
      <c r="E816" t="s">
        <v>1501</v>
      </c>
      <c r="F816" t="s">
        <v>1548</v>
      </c>
      <c r="H816" t="s">
        <v>55</v>
      </c>
      <c r="I816" t="s">
        <v>1517</v>
      </c>
      <c r="J816" t="s">
        <v>124</v>
      </c>
      <c r="K816" t="s">
        <v>909</v>
      </c>
      <c r="L816" t="s">
        <v>1340</v>
      </c>
      <c r="M816" t="s">
        <v>1505</v>
      </c>
      <c r="Q816" t="s">
        <v>57</v>
      </c>
      <c r="Y816" t="s">
        <v>1549</v>
      </c>
      <c r="Z816">
        <v>8544</v>
      </c>
      <c r="AE816">
        <v>3840</v>
      </c>
      <c r="AF816" s="4">
        <v>0.44</v>
      </c>
      <c r="AG816">
        <f t="shared" si="81"/>
        <v>2150.4</v>
      </c>
      <c r="AH816" s="4">
        <v>0.18</v>
      </c>
      <c r="AI816">
        <f t="shared" si="76"/>
        <v>2537.47</v>
      </c>
      <c r="AJ816" s="4">
        <v>0.1</v>
      </c>
      <c r="AK816">
        <f t="shared" si="77"/>
        <v>253.75</v>
      </c>
      <c r="AL816">
        <f t="shared" si="78"/>
        <v>2791.22</v>
      </c>
      <c r="AM816">
        <f t="shared" si="79"/>
        <v>1048.78</v>
      </c>
      <c r="AN816" s="4">
        <f t="shared" si="80"/>
        <v>0.273119791666667</v>
      </c>
      <c r="AO816" t="s">
        <v>221</v>
      </c>
      <c r="AQ816" t="s">
        <v>217</v>
      </c>
      <c r="AT816" t="s">
        <v>1508</v>
      </c>
    </row>
    <row r="817" ht="15.75" customHeight="1" spans="1:46">
      <c r="A817" t="s">
        <v>1547</v>
      </c>
      <c r="B817" t="s">
        <v>202</v>
      </c>
      <c r="C817" t="s">
        <v>1499</v>
      </c>
      <c r="D817" t="s">
        <v>1500</v>
      </c>
      <c r="E817" t="s">
        <v>1501</v>
      </c>
      <c r="F817" t="s">
        <v>1548</v>
      </c>
      <c r="H817" t="s">
        <v>55</v>
      </c>
      <c r="I817" t="s">
        <v>1517</v>
      </c>
      <c r="J817" t="s">
        <v>124</v>
      </c>
      <c r="K817" t="s">
        <v>1510</v>
      </c>
      <c r="L817" t="s">
        <v>1340</v>
      </c>
      <c r="M817" t="s">
        <v>1505</v>
      </c>
      <c r="Q817" t="s">
        <v>57</v>
      </c>
      <c r="Y817" t="s">
        <v>1549</v>
      </c>
      <c r="Z817">
        <v>8544</v>
      </c>
      <c r="AE817">
        <v>3840</v>
      </c>
      <c r="AF817" s="4">
        <v>0.44</v>
      </c>
      <c r="AG817">
        <f t="shared" si="81"/>
        <v>2150.4</v>
      </c>
      <c r="AH817" s="4">
        <v>0.18</v>
      </c>
      <c r="AI817">
        <f t="shared" si="76"/>
        <v>2537.47</v>
      </c>
      <c r="AJ817" s="4">
        <v>0.1</v>
      </c>
      <c r="AK817">
        <f t="shared" si="77"/>
        <v>253.75</v>
      </c>
      <c r="AL817">
        <f t="shared" si="78"/>
        <v>2791.22</v>
      </c>
      <c r="AM817">
        <f t="shared" si="79"/>
        <v>1048.78</v>
      </c>
      <c r="AN817" s="4">
        <f t="shared" si="80"/>
        <v>0.273119791666667</v>
      </c>
      <c r="AO817" t="s">
        <v>221</v>
      </c>
      <c r="AQ817" t="s">
        <v>217</v>
      </c>
      <c r="AT817" t="s">
        <v>1508</v>
      </c>
    </row>
    <row r="818" ht="15.75" customHeight="1" spans="1:46">
      <c r="A818" t="s">
        <v>1547</v>
      </c>
      <c r="B818" t="s">
        <v>203</v>
      </c>
      <c r="C818" t="s">
        <v>1499</v>
      </c>
      <c r="D818" t="s">
        <v>1500</v>
      </c>
      <c r="E818" t="s">
        <v>1501</v>
      </c>
      <c r="F818" t="s">
        <v>1548</v>
      </c>
      <c r="H818" t="s">
        <v>55</v>
      </c>
      <c r="I818" t="s">
        <v>1517</v>
      </c>
      <c r="J818" t="s">
        <v>124</v>
      </c>
      <c r="K818" t="s">
        <v>1512</v>
      </c>
      <c r="L818" t="s">
        <v>1340</v>
      </c>
      <c r="M818" t="s">
        <v>1505</v>
      </c>
      <c r="Q818" t="s">
        <v>57</v>
      </c>
      <c r="Y818" t="s">
        <v>1549</v>
      </c>
      <c r="Z818">
        <v>8544</v>
      </c>
      <c r="AE818">
        <v>3840</v>
      </c>
      <c r="AF818" s="4">
        <v>0.44</v>
      </c>
      <c r="AG818">
        <f t="shared" si="81"/>
        <v>2150.4</v>
      </c>
      <c r="AH818" s="4">
        <v>0.18</v>
      </c>
      <c r="AI818">
        <f t="shared" si="76"/>
        <v>2537.47</v>
      </c>
      <c r="AJ818" s="4">
        <v>0.1</v>
      </c>
      <c r="AK818">
        <f t="shared" si="77"/>
        <v>253.75</v>
      </c>
      <c r="AL818">
        <f t="shared" si="78"/>
        <v>2791.22</v>
      </c>
      <c r="AM818">
        <f t="shared" si="79"/>
        <v>1048.78</v>
      </c>
      <c r="AN818" s="4">
        <f t="shared" si="80"/>
        <v>0.273119791666667</v>
      </c>
      <c r="AO818" t="s">
        <v>221</v>
      </c>
      <c r="AQ818" t="s">
        <v>217</v>
      </c>
      <c r="AT818" t="s">
        <v>1508</v>
      </c>
    </row>
    <row r="819" ht="15.75" customHeight="1" spans="1:46">
      <c r="A819" t="s">
        <v>1547</v>
      </c>
      <c r="B819" t="s">
        <v>204</v>
      </c>
      <c r="C819" t="s">
        <v>1499</v>
      </c>
      <c r="D819" t="s">
        <v>1500</v>
      </c>
      <c r="E819" t="s">
        <v>1501</v>
      </c>
      <c r="F819" t="s">
        <v>1548</v>
      </c>
      <c r="H819" t="s">
        <v>55</v>
      </c>
      <c r="I819" t="s">
        <v>1517</v>
      </c>
      <c r="J819" t="s">
        <v>124</v>
      </c>
      <c r="K819" t="s">
        <v>1514</v>
      </c>
      <c r="L819" t="s">
        <v>1340</v>
      </c>
      <c r="M819" t="s">
        <v>1505</v>
      </c>
      <c r="Q819" t="s">
        <v>57</v>
      </c>
      <c r="Y819" t="s">
        <v>1549</v>
      </c>
      <c r="Z819">
        <v>8544</v>
      </c>
      <c r="AE819">
        <v>3840</v>
      </c>
      <c r="AF819" s="4">
        <v>0.44</v>
      </c>
      <c r="AG819">
        <f t="shared" si="81"/>
        <v>2150.4</v>
      </c>
      <c r="AH819" s="4">
        <v>0.18</v>
      </c>
      <c r="AI819">
        <f t="shared" si="76"/>
        <v>2537.47</v>
      </c>
      <c r="AJ819" s="4">
        <v>0.1</v>
      </c>
      <c r="AK819">
        <f t="shared" si="77"/>
        <v>253.75</v>
      </c>
      <c r="AL819">
        <f t="shared" si="78"/>
        <v>2791.22</v>
      </c>
      <c r="AM819">
        <f t="shared" si="79"/>
        <v>1048.78</v>
      </c>
      <c r="AN819" s="4">
        <f t="shared" si="80"/>
        <v>0.273119791666667</v>
      </c>
      <c r="AO819" t="s">
        <v>221</v>
      </c>
      <c r="AQ819" t="s">
        <v>217</v>
      </c>
      <c r="AT819" t="s">
        <v>1508</v>
      </c>
    </row>
    <row r="820" ht="15.75" customHeight="1" spans="1:46">
      <c r="A820" t="s">
        <v>1547</v>
      </c>
      <c r="B820" t="s">
        <v>205</v>
      </c>
      <c r="C820" t="s">
        <v>1499</v>
      </c>
      <c r="D820" t="s">
        <v>1500</v>
      </c>
      <c r="E820" t="s">
        <v>1501</v>
      </c>
      <c r="F820" t="s">
        <v>1548</v>
      </c>
      <c r="H820" t="s">
        <v>55</v>
      </c>
      <c r="I820" t="s">
        <v>1518</v>
      </c>
      <c r="J820" t="s">
        <v>124</v>
      </c>
      <c r="K820" t="s">
        <v>1504</v>
      </c>
      <c r="L820" t="s">
        <v>1340</v>
      </c>
      <c r="M820" t="s">
        <v>1505</v>
      </c>
      <c r="Q820" t="s">
        <v>57</v>
      </c>
      <c r="Y820" t="s">
        <v>1549</v>
      </c>
      <c r="Z820">
        <v>8544</v>
      </c>
      <c r="AE820">
        <v>6120</v>
      </c>
      <c r="AF820" s="4">
        <v>0.44</v>
      </c>
      <c r="AG820">
        <f t="shared" si="81"/>
        <v>3427.2</v>
      </c>
      <c r="AH820" s="4">
        <v>0.18</v>
      </c>
      <c r="AI820">
        <f t="shared" si="76"/>
        <v>4044.1</v>
      </c>
      <c r="AJ820" s="4">
        <v>0.1</v>
      </c>
      <c r="AK820">
        <f t="shared" si="77"/>
        <v>404.41</v>
      </c>
      <c r="AL820">
        <f t="shared" si="78"/>
        <v>4448.51</v>
      </c>
      <c r="AM820">
        <f t="shared" si="79"/>
        <v>1671.49</v>
      </c>
      <c r="AN820" s="4">
        <f t="shared" si="80"/>
        <v>0.273119281045752</v>
      </c>
      <c r="AO820" t="s">
        <v>221</v>
      </c>
      <c r="AQ820" t="s">
        <v>217</v>
      </c>
      <c r="AT820" t="s">
        <v>1508</v>
      </c>
    </row>
    <row r="821" ht="15.75" customHeight="1" spans="1:46">
      <c r="A821" t="s">
        <v>1547</v>
      </c>
      <c r="B821" t="s">
        <v>206</v>
      </c>
      <c r="C821" t="s">
        <v>1499</v>
      </c>
      <c r="D821" t="s">
        <v>1500</v>
      </c>
      <c r="E821" t="s">
        <v>1501</v>
      </c>
      <c r="F821" t="s">
        <v>1548</v>
      </c>
      <c r="H821" t="s">
        <v>55</v>
      </c>
      <c r="I821" t="s">
        <v>1518</v>
      </c>
      <c r="J821" t="s">
        <v>124</v>
      </c>
      <c r="K821" t="s">
        <v>909</v>
      </c>
      <c r="L821" t="s">
        <v>1340</v>
      </c>
      <c r="M821" t="s">
        <v>1505</v>
      </c>
      <c r="Q821" t="s">
        <v>57</v>
      </c>
      <c r="Y821" t="s">
        <v>1549</v>
      </c>
      <c r="Z821">
        <v>8544</v>
      </c>
      <c r="AE821">
        <v>6120</v>
      </c>
      <c r="AF821" s="4">
        <v>0.44</v>
      </c>
      <c r="AG821">
        <f t="shared" si="81"/>
        <v>3427.2</v>
      </c>
      <c r="AH821" s="4">
        <v>0.18</v>
      </c>
      <c r="AI821">
        <f t="shared" si="76"/>
        <v>4044.1</v>
      </c>
      <c r="AJ821" s="4">
        <v>0.1</v>
      </c>
      <c r="AK821">
        <f t="shared" si="77"/>
        <v>404.41</v>
      </c>
      <c r="AL821">
        <f t="shared" si="78"/>
        <v>4448.51</v>
      </c>
      <c r="AM821">
        <f t="shared" si="79"/>
        <v>1671.49</v>
      </c>
      <c r="AN821" s="4">
        <f t="shared" si="80"/>
        <v>0.273119281045752</v>
      </c>
      <c r="AO821" t="s">
        <v>221</v>
      </c>
      <c r="AQ821" t="s">
        <v>217</v>
      </c>
      <c r="AT821" t="s">
        <v>1508</v>
      </c>
    </row>
    <row r="822" ht="15.75" customHeight="1" spans="1:46">
      <c r="A822" t="s">
        <v>1547</v>
      </c>
      <c r="B822" t="s">
        <v>207</v>
      </c>
      <c r="C822" t="s">
        <v>1499</v>
      </c>
      <c r="D822" t="s">
        <v>1500</v>
      </c>
      <c r="E822" t="s">
        <v>1501</v>
      </c>
      <c r="F822" t="s">
        <v>1548</v>
      </c>
      <c r="H822" t="s">
        <v>55</v>
      </c>
      <c r="I822" t="s">
        <v>1518</v>
      </c>
      <c r="J822" t="s">
        <v>124</v>
      </c>
      <c r="K822" t="s">
        <v>1510</v>
      </c>
      <c r="L822" t="s">
        <v>1340</v>
      </c>
      <c r="M822" t="s">
        <v>1505</v>
      </c>
      <c r="Q822" t="s">
        <v>57</v>
      </c>
      <c r="Y822" t="s">
        <v>1549</v>
      </c>
      <c r="Z822">
        <v>8544</v>
      </c>
      <c r="AE822">
        <v>6120</v>
      </c>
      <c r="AF822" s="4">
        <v>0.44</v>
      </c>
      <c r="AG822">
        <f t="shared" si="81"/>
        <v>3427.2</v>
      </c>
      <c r="AH822" s="4">
        <v>0.18</v>
      </c>
      <c r="AI822">
        <f t="shared" si="76"/>
        <v>4044.1</v>
      </c>
      <c r="AJ822" s="4">
        <v>0.1</v>
      </c>
      <c r="AK822">
        <f t="shared" si="77"/>
        <v>404.41</v>
      </c>
      <c r="AL822">
        <f t="shared" si="78"/>
        <v>4448.51</v>
      </c>
      <c r="AM822">
        <f t="shared" si="79"/>
        <v>1671.49</v>
      </c>
      <c r="AN822" s="4">
        <f t="shared" si="80"/>
        <v>0.273119281045752</v>
      </c>
      <c r="AO822" t="s">
        <v>221</v>
      </c>
      <c r="AQ822" t="s">
        <v>217</v>
      </c>
      <c r="AT822" t="s">
        <v>1508</v>
      </c>
    </row>
    <row r="823" ht="15.75" customHeight="1" spans="1:46">
      <c r="A823" t="s">
        <v>1547</v>
      </c>
      <c r="B823" t="s">
        <v>208</v>
      </c>
      <c r="C823" t="s">
        <v>1499</v>
      </c>
      <c r="D823" t="s">
        <v>1500</v>
      </c>
      <c r="E823" t="s">
        <v>1501</v>
      </c>
      <c r="F823" t="s">
        <v>1548</v>
      </c>
      <c r="H823" t="s">
        <v>55</v>
      </c>
      <c r="I823" t="s">
        <v>1518</v>
      </c>
      <c r="J823" t="s">
        <v>124</v>
      </c>
      <c r="K823" t="s">
        <v>1512</v>
      </c>
      <c r="L823" t="s">
        <v>1340</v>
      </c>
      <c r="M823" t="s">
        <v>1505</v>
      </c>
      <c r="Q823" t="s">
        <v>57</v>
      </c>
      <c r="Y823" t="s">
        <v>1549</v>
      </c>
      <c r="Z823">
        <v>8544</v>
      </c>
      <c r="AE823">
        <v>6120</v>
      </c>
      <c r="AF823" s="4">
        <v>0.44</v>
      </c>
      <c r="AG823">
        <f t="shared" si="81"/>
        <v>3427.2</v>
      </c>
      <c r="AH823" s="4">
        <v>0.18</v>
      </c>
      <c r="AI823">
        <f t="shared" si="76"/>
        <v>4044.1</v>
      </c>
      <c r="AJ823" s="4">
        <v>0.1</v>
      </c>
      <c r="AK823">
        <f t="shared" si="77"/>
        <v>404.41</v>
      </c>
      <c r="AL823">
        <f t="shared" si="78"/>
        <v>4448.51</v>
      </c>
      <c r="AM823">
        <f t="shared" si="79"/>
        <v>1671.49</v>
      </c>
      <c r="AN823" s="4">
        <f t="shared" si="80"/>
        <v>0.273119281045752</v>
      </c>
      <c r="AO823" t="s">
        <v>221</v>
      </c>
      <c r="AQ823" t="s">
        <v>217</v>
      </c>
      <c r="AT823" t="s">
        <v>1508</v>
      </c>
    </row>
    <row r="824" ht="15.75" customHeight="1" spans="1:46">
      <c r="A824" t="s">
        <v>1547</v>
      </c>
      <c r="B824" t="s">
        <v>209</v>
      </c>
      <c r="C824" t="s">
        <v>1499</v>
      </c>
      <c r="D824" t="s">
        <v>1500</v>
      </c>
      <c r="E824" t="s">
        <v>1501</v>
      </c>
      <c r="F824" t="s">
        <v>1548</v>
      </c>
      <c r="H824" t="s">
        <v>55</v>
      </c>
      <c r="I824" t="s">
        <v>1518</v>
      </c>
      <c r="J824" t="s">
        <v>124</v>
      </c>
      <c r="K824" t="s">
        <v>1514</v>
      </c>
      <c r="L824" t="s">
        <v>1340</v>
      </c>
      <c r="M824" t="s">
        <v>1505</v>
      </c>
      <c r="Q824" t="s">
        <v>57</v>
      </c>
      <c r="Y824" t="s">
        <v>1549</v>
      </c>
      <c r="Z824">
        <v>8544</v>
      </c>
      <c r="AE824">
        <v>6120</v>
      </c>
      <c r="AF824" s="4">
        <v>0.44</v>
      </c>
      <c r="AG824">
        <f t="shared" si="81"/>
        <v>3427.2</v>
      </c>
      <c r="AH824" s="4">
        <v>0.18</v>
      </c>
      <c r="AI824">
        <f t="shared" si="76"/>
        <v>4044.1</v>
      </c>
      <c r="AJ824" s="4">
        <v>0.1</v>
      </c>
      <c r="AK824">
        <f t="shared" si="77"/>
        <v>404.41</v>
      </c>
      <c r="AL824">
        <f t="shared" si="78"/>
        <v>4448.51</v>
      </c>
      <c r="AM824">
        <f t="shared" si="79"/>
        <v>1671.49</v>
      </c>
      <c r="AN824" s="4">
        <f t="shared" si="80"/>
        <v>0.273119281045752</v>
      </c>
      <c r="AO824" t="s">
        <v>221</v>
      </c>
      <c r="AQ824" t="s">
        <v>217</v>
      </c>
      <c r="AT824" t="s">
        <v>1508</v>
      </c>
    </row>
    <row r="825" ht="15.75" customHeight="1" spans="1:46">
      <c r="A825" t="s">
        <v>1547</v>
      </c>
      <c r="B825" t="s">
        <v>210</v>
      </c>
      <c r="C825" t="s">
        <v>1499</v>
      </c>
      <c r="D825" t="s">
        <v>1500</v>
      </c>
      <c r="E825" t="s">
        <v>1501</v>
      </c>
      <c r="F825" t="s">
        <v>1548</v>
      </c>
      <c r="H825" t="s">
        <v>55</v>
      </c>
      <c r="I825" t="s">
        <v>1519</v>
      </c>
      <c r="J825" t="s">
        <v>124</v>
      </c>
      <c r="K825" t="s">
        <v>1504</v>
      </c>
      <c r="L825" t="s">
        <v>1340</v>
      </c>
      <c r="M825" t="s">
        <v>1505</v>
      </c>
      <c r="Q825" t="s">
        <v>57</v>
      </c>
      <c r="Y825" t="s">
        <v>1549</v>
      </c>
      <c r="Z825">
        <v>8544</v>
      </c>
      <c r="AE825">
        <v>9385</v>
      </c>
      <c r="AF825" s="4">
        <v>0.44</v>
      </c>
      <c r="AG825">
        <f t="shared" si="81"/>
        <v>5255.6</v>
      </c>
      <c r="AH825" s="4">
        <v>0.18</v>
      </c>
      <c r="AI825">
        <f t="shared" si="76"/>
        <v>6201.61</v>
      </c>
      <c r="AJ825" s="4">
        <v>0.1</v>
      </c>
      <c r="AK825">
        <f t="shared" si="77"/>
        <v>620.16</v>
      </c>
      <c r="AL825">
        <f t="shared" si="78"/>
        <v>6821.77</v>
      </c>
      <c r="AM825">
        <f t="shared" si="79"/>
        <v>2563.23</v>
      </c>
      <c r="AN825" s="4">
        <f t="shared" si="80"/>
        <v>0.273119872136388</v>
      </c>
      <c r="AO825" t="s">
        <v>221</v>
      </c>
      <c r="AQ825" t="s">
        <v>217</v>
      </c>
      <c r="AT825" t="s">
        <v>1508</v>
      </c>
    </row>
    <row r="826" ht="15.75" customHeight="1" spans="1:46">
      <c r="A826" t="s">
        <v>1547</v>
      </c>
      <c r="B826" t="s">
        <v>211</v>
      </c>
      <c r="C826" t="s">
        <v>1499</v>
      </c>
      <c r="D826" t="s">
        <v>1500</v>
      </c>
      <c r="E826" t="s">
        <v>1501</v>
      </c>
      <c r="F826" t="s">
        <v>1548</v>
      </c>
      <c r="H826" t="s">
        <v>55</v>
      </c>
      <c r="I826" t="s">
        <v>1519</v>
      </c>
      <c r="J826" t="s">
        <v>124</v>
      </c>
      <c r="K826" t="s">
        <v>909</v>
      </c>
      <c r="L826" t="s">
        <v>1340</v>
      </c>
      <c r="M826" t="s">
        <v>1505</v>
      </c>
      <c r="Q826" t="s">
        <v>57</v>
      </c>
      <c r="Y826" t="s">
        <v>1549</v>
      </c>
      <c r="Z826">
        <v>8544</v>
      </c>
      <c r="AE826">
        <v>9385</v>
      </c>
      <c r="AF826" s="4">
        <v>0.44</v>
      </c>
      <c r="AG826">
        <f t="shared" si="81"/>
        <v>5255.6</v>
      </c>
      <c r="AH826" s="4">
        <v>0.18</v>
      </c>
      <c r="AI826">
        <f t="shared" si="76"/>
        <v>6201.61</v>
      </c>
      <c r="AJ826" s="4">
        <v>0.1</v>
      </c>
      <c r="AK826">
        <f t="shared" si="77"/>
        <v>620.16</v>
      </c>
      <c r="AL826">
        <f t="shared" si="78"/>
        <v>6821.77</v>
      </c>
      <c r="AM826">
        <f t="shared" si="79"/>
        <v>2563.23</v>
      </c>
      <c r="AN826" s="4">
        <f t="shared" si="80"/>
        <v>0.273119872136388</v>
      </c>
      <c r="AO826" t="s">
        <v>221</v>
      </c>
      <c r="AQ826" t="s">
        <v>217</v>
      </c>
      <c r="AT826" t="s">
        <v>1508</v>
      </c>
    </row>
    <row r="827" ht="15.75" customHeight="1" spans="1:46">
      <c r="A827" t="s">
        <v>1547</v>
      </c>
      <c r="B827" t="s">
        <v>212</v>
      </c>
      <c r="C827" t="s">
        <v>1499</v>
      </c>
      <c r="D827" t="s">
        <v>1500</v>
      </c>
      <c r="E827" t="s">
        <v>1501</v>
      </c>
      <c r="F827" t="s">
        <v>1548</v>
      </c>
      <c r="H827" t="s">
        <v>55</v>
      </c>
      <c r="I827" t="s">
        <v>1519</v>
      </c>
      <c r="J827" t="s">
        <v>124</v>
      </c>
      <c r="K827" t="s">
        <v>1510</v>
      </c>
      <c r="L827" t="s">
        <v>1340</v>
      </c>
      <c r="M827" t="s">
        <v>1505</v>
      </c>
      <c r="Q827" t="s">
        <v>57</v>
      </c>
      <c r="Y827" t="s">
        <v>1549</v>
      </c>
      <c r="Z827">
        <v>8544</v>
      </c>
      <c r="AE827">
        <v>9385</v>
      </c>
      <c r="AF827" s="4">
        <v>0.44</v>
      </c>
      <c r="AG827">
        <f t="shared" si="81"/>
        <v>5255.6</v>
      </c>
      <c r="AH827" s="4">
        <v>0.18</v>
      </c>
      <c r="AI827">
        <f t="shared" si="76"/>
        <v>6201.61</v>
      </c>
      <c r="AJ827" s="4">
        <v>0.1</v>
      </c>
      <c r="AK827">
        <f t="shared" si="77"/>
        <v>620.16</v>
      </c>
      <c r="AL827">
        <f t="shared" si="78"/>
        <v>6821.77</v>
      </c>
      <c r="AM827">
        <f t="shared" si="79"/>
        <v>2563.23</v>
      </c>
      <c r="AN827" s="4">
        <f t="shared" si="80"/>
        <v>0.273119872136388</v>
      </c>
      <c r="AO827" t="s">
        <v>221</v>
      </c>
      <c r="AQ827" t="s">
        <v>217</v>
      </c>
      <c r="AT827" t="s">
        <v>1508</v>
      </c>
    </row>
    <row r="828" ht="15.75" customHeight="1" spans="1:46">
      <c r="A828" t="s">
        <v>1547</v>
      </c>
      <c r="B828" t="s">
        <v>213</v>
      </c>
      <c r="C828" t="s">
        <v>1499</v>
      </c>
      <c r="D828" t="s">
        <v>1500</v>
      </c>
      <c r="E828" t="s">
        <v>1501</v>
      </c>
      <c r="F828" t="s">
        <v>1548</v>
      </c>
      <c r="H828" t="s">
        <v>55</v>
      </c>
      <c r="I828" t="s">
        <v>1519</v>
      </c>
      <c r="J828" t="s">
        <v>124</v>
      </c>
      <c r="K828" t="s">
        <v>1512</v>
      </c>
      <c r="L828" t="s">
        <v>1340</v>
      </c>
      <c r="M828" t="s">
        <v>1505</v>
      </c>
      <c r="Q828" t="s">
        <v>57</v>
      </c>
      <c r="Y828" t="s">
        <v>1549</v>
      </c>
      <c r="Z828">
        <v>8544</v>
      </c>
      <c r="AE828">
        <v>9385</v>
      </c>
      <c r="AF828" s="4">
        <v>0.44</v>
      </c>
      <c r="AG828">
        <f t="shared" si="81"/>
        <v>5255.6</v>
      </c>
      <c r="AH828" s="4">
        <v>0.18</v>
      </c>
      <c r="AI828">
        <f t="shared" si="76"/>
        <v>6201.61</v>
      </c>
      <c r="AJ828" s="4">
        <v>0.1</v>
      </c>
      <c r="AK828">
        <f t="shared" si="77"/>
        <v>620.16</v>
      </c>
      <c r="AL828">
        <f t="shared" si="78"/>
        <v>6821.77</v>
      </c>
      <c r="AM828">
        <f t="shared" si="79"/>
        <v>2563.23</v>
      </c>
      <c r="AN828" s="4">
        <f t="shared" si="80"/>
        <v>0.273119872136388</v>
      </c>
      <c r="AO828" t="s">
        <v>221</v>
      </c>
      <c r="AQ828" t="s">
        <v>217</v>
      </c>
      <c r="AT828" t="s">
        <v>1508</v>
      </c>
    </row>
    <row r="829" ht="15.75" customHeight="1" spans="1:46">
      <c r="A829" t="s">
        <v>1547</v>
      </c>
      <c r="B829" t="s">
        <v>1520</v>
      </c>
      <c r="C829" t="s">
        <v>1499</v>
      </c>
      <c r="D829" t="s">
        <v>1500</v>
      </c>
      <c r="E829" t="s">
        <v>1501</v>
      </c>
      <c r="F829" t="s">
        <v>1548</v>
      </c>
      <c r="H829" t="s">
        <v>55</v>
      </c>
      <c r="I829" t="s">
        <v>1519</v>
      </c>
      <c r="J829" t="s">
        <v>124</v>
      </c>
      <c r="K829" t="s">
        <v>1514</v>
      </c>
      <c r="L829" t="s">
        <v>1340</v>
      </c>
      <c r="M829" t="s">
        <v>1505</v>
      </c>
      <c r="Q829" t="s">
        <v>57</v>
      </c>
      <c r="Y829" t="s">
        <v>1549</v>
      </c>
      <c r="Z829">
        <v>8544</v>
      </c>
      <c r="AE829">
        <v>9385</v>
      </c>
      <c r="AF829" s="4">
        <v>0.44</v>
      </c>
      <c r="AG829">
        <f t="shared" si="81"/>
        <v>5255.6</v>
      </c>
      <c r="AH829" s="4">
        <v>0.18</v>
      </c>
      <c r="AI829">
        <f t="shared" si="76"/>
        <v>6201.61</v>
      </c>
      <c r="AJ829" s="4">
        <v>0.1</v>
      </c>
      <c r="AK829">
        <f t="shared" si="77"/>
        <v>620.16</v>
      </c>
      <c r="AL829">
        <f t="shared" si="78"/>
        <v>6821.77</v>
      </c>
      <c r="AM829">
        <f t="shared" si="79"/>
        <v>2563.23</v>
      </c>
      <c r="AN829" s="4">
        <f t="shared" si="80"/>
        <v>0.273119872136388</v>
      </c>
      <c r="AO829" t="s">
        <v>221</v>
      </c>
      <c r="AQ829" t="s">
        <v>217</v>
      </c>
      <c r="AT829" t="s">
        <v>1508</v>
      </c>
    </row>
    <row r="830" ht="15.75" customHeight="1" spans="1:46">
      <c r="A830" t="s">
        <v>1547</v>
      </c>
      <c r="B830" t="s">
        <v>1521</v>
      </c>
      <c r="C830" t="s">
        <v>1499</v>
      </c>
      <c r="D830" t="s">
        <v>1500</v>
      </c>
      <c r="E830" t="s">
        <v>1501</v>
      </c>
      <c r="F830" t="s">
        <v>1548</v>
      </c>
      <c r="H830" t="s">
        <v>55</v>
      </c>
      <c r="I830" t="s">
        <v>1522</v>
      </c>
      <c r="J830" t="s">
        <v>124</v>
      </c>
      <c r="K830" t="s">
        <v>1504</v>
      </c>
      <c r="L830" t="s">
        <v>1340</v>
      </c>
      <c r="M830" t="s">
        <v>1505</v>
      </c>
      <c r="Q830" t="s">
        <v>57</v>
      </c>
      <c r="Y830" t="s">
        <v>1549</v>
      </c>
      <c r="Z830">
        <v>8544</v>
      </c>
      <c r="AE830">
        <v>14075</v>
      </c>
      <c r="AF830" s="4">
        <v>0.44</v>
      </c>
      <c r="AG830">
        <f t="shared" si="81"/>
        <v>7882</v>
      </c>
      <c r="AH830" s="4">
        <v>0.18</v>
      </c>
      <c r="AI830">
        <f t="shared" si="76"/>
        <v>9300.76</v>
      </c>
      <c r="AJ830" s="4">
        <v>0.1</v>
      </c>
      <c r="AK830">
        <f t="shared" si="77"/>
        <v>930.08</v>
      </c>
      <c r="AL830">
        <f t="shared" si="78"/>
        <v>10230.84</v>
      </c>
      <c r="AM830">
        <f t="shared" si="79"/>
        <v>3844.16</v>
      </c>
      <c r="AN830" s="4">
        <f t="shared" si="80"/>
        <v>0.273119715808171</v>
      </c>
      <c r="AO830" t="s">
        <v>221</v>
      </c>
      <c r="AQ830" t="s">
        <v>217</v>
      </c>
      <c r="AT830" t="s">
        <v>1508</v>
      </c>
    </row>
    <row r="831" ht="15.75" customHeight="1" spans="1:46">
      <c r="A831" t="s">
        <v>1547</v>
      </c>
      <c r="B831" t="s">
        <v>1523</v>
      </c>
      <c r="C831" t="s">
        <v>1499</v>
      </c>
      <c r="D831" t="s">
        <v>1500</v>
      </c>
      <c r="E831" t="s">
        <v>1501</v>
      </c>
      <c r="F831" t="s">
        <v>1548</v>
      </c>
      <c r="H831" t="s">
        <v>55</v>
      </c>
      <c r="I831" t="s">
        <v>1522</v>
      </c>
      <c r="J831" t="s">
        <v>124</v>
      </c>
      <c r="K831" t="s">
        <v>909</v>
      </c>
      <c r="L831" t="s">
        <v>1340</v>
      </c>
      <c r="M831" t="s">
        <v>1505</v>
      </c>
      <c r="Q831" t="s">
        <v>57</v>
      </c>
      <c r="Y831" t="s">
        <v>1549</v>
      </c>
      <c r="Z831">
        <v>8544</v>
      </c>
      <c r="AE831">
        <v>14075</v>
      </c>
      <c r="AF831" s="4">
        <v>0.44</v>
      </c>
      <c r="AG831">
        <f t="shared" si="81"/>
        <v>7882</v>
      </c>
      <c r="AH831" s="4">
        <v>0.18</v>
      </c>
      <c r="AI831">
        <f t="shared" si="76"/>
        <v>9300.76</v>
      </c>
      <c r="AJ831" s="4">
        <v>0.1</v>
      </c>
      <c r="AK831">
        <f t="shared" si="77"/>
        <v>930.08</v>
      </c>
      <c r="AL831">
        <f t="shared" si="78"/>
        <v>10230.84</v>
      </c>
      <c r="AM831">
        <f t="shared" si="79"/>
        <v>3844.16</v>
      </c>
      <c r="AN831" s="4">
        <f t="shared" si="80"/>
        <v>0.273119715808171</v>
      </c>
      <c r="AO831" t="s">
        <v>221</v>
      </c>
      <c r="AQ831" t="s">
        <v>217</v>
      </c>
      <c r="AT831" t="s">
        <v>1508</v>
      </c>
    </row>
    <row r="832" ht="15.75" customHeight="1" spans="1:46">
      <c r="A832" t="s">
        <v>1547</v>
      </c>
      <c r="B832" t="s">
        <v>1524</v>
      </c>
      <c r="C832" t="s">
        <v>1499</v>
      </c>
      <c r="D832" t="s">
        <v>1500</v>
      </c>
      <c r="E832" t="s">
        <v>1501</v>
      </c>
      <c r="F832" t="s">
        <v>1548</v>
      </c>
      <c r="H832" t="s">
        <v>55</v>
      </c>
      <c r="I832" t="s">
        <v>1522</v>
      </c>
      <c r="J832" t="s">
        <v>124</v>
      </c>
      <c r="K832" t="s">
        <v>1510</v>
      </c>
      <c r="L832" t="s">
        <v>1340</v>
      </c>
      <c r="M832" t="s">
        <v>1505</v>
      </c>
      <c r="Q832" t="s">
        <v>57</v>
      </c>
      <c r="Y832" t="s">
        <v>1549</v>
      </c>
      <c r="Z832">
        <v>8544</v>
      </c>
      <c r="AE832">
        <v>14075</v>
      </c>
      <c r="AF832" s="4">
        <v>0.44</v>
      </c>
      <c r="AG832">
        <f t="shared" si="81"/>
        <v>7882</v>
      </c>
      <c r="AH832" s="4">
        <v>0.18</v>
      </c>
      <c r="AI832">
        <f t="shared" si="76"/>
        <v>9300.76</v>
      </c>
      <c r="AJ832" s="4">
        <v>0.1</v>
      </c>
      <c r="AK832">
        <f t="shared" si="77"/>
        <v>930.08</v>
      </c>
      <c r="AL832">
        <f t="shared" si="78"/>
        <v>10230.84</v>
      </c>
      <c r="AM832">
        <f t="shared" si="79"/>
        <v>3844.16</v>
      </c>
      <c r="AN832" s="4">
        <f t="shared" si="80"/>
        <v>0.273119715808171</v>
      </c>
      <c r="AO832" t="s">
        <v>221</v>
      </c>
      <c r="AQ832" t="s">
        <v>217</v>
      </c>
      <c r="AT832" t="s">
        <v>1508</v>
      </c>
    </row>
    <row r="833" ht="15.75" customHeight="1" spans="1:46">
      <c r="A833" t="s">
        <v>1547</v>
      </c>
      <c r="B833" t="s">
        <v>1525</v>
      </c>
      <c r="C833" t="s">
        <v>1499</v>
      </c>
      <c r="D833" t="s">
        <v>1500</v>
      </c>
      <c r="E833" t="s">
        <v>1501</v>
      </c>
      <c r="F833" t="s">
        <v>1548</v>
      </c>
      <c r="H833" t="s">
        <v>55</v>
      </c>
      <c r="I833" t="s">
        <v>1522</v>
      </c>
      <c r="J833" t="s">
        <v>124</v>
      </c>
      <c r="K833" t="s">
        <v>1512</v>
      </c>
      <c r="L833" t="s">
        <v>1340</v>
      </c>
      <c r="M833" t="s">
        <v>1505</v>
      </c>
      <c r="Q833" t="s">
        <v>57</v>
      </c>
      <c r="Y833" t="s">
        <v>1549</v>
      </c>
      <c r="Z833">
        <v>8544</v>
      </c>
      <c r="AE833">
        <v>14075</v>
      </c>
      <c r="AF833" s="4">
        <v>0.44</v>
      </c>
      <c r="AG833">
        <f t="shared" si="81"/>
        <v>7882</v>
      </c>
      <c r="AH833" s="4">
        <v>0.18</v>
      </c>
      <c r="AI833">
        <f t="shared" si="76"/>
        <v>9300.76</v>
      </c>
      <c r="AJ833" s="4">
        <v>0.1</v>
      </c>
      <c r="AK833">
        <f t="shared" si="77"/>
        <v>930.08</v>
      </c>
      <c r="AL833">
        <f t="shared" si="78"/>
        <v>10230.84</v>
      </c>
      <c r="AM833">
        <f t="shared" si="79"/>
        <v>3844.16</v>
      </c>
      <c r="AN833" s="4">
        <f t="shared" si="80"/>
        <v>0.273119715808171</v>
      </c>
      <c r="AO833" t="s">
        <v>221</v>
      </c>
      <c r="AQ833" t="s">
        <v>217</v>
      </c>
      <c r="AT833" t="s">
        <v>1508</v>
      </c>
    </row>
    <row r="834" ht="15.75" customHeight="1" spans="1:46">
      <c r="A834" t="s">
        <v>1547</v>
      </c>
      <c r="B834" t="s">
        <v>1526</v>
      </c>
      <c r="C834" t="s">
        <v>1499</v>
      </c>
      <c r="D834" t="s">
        <v>1500</v>
      </c>
      <c r="E834" t="s">
        <v>1501</v>
      </c>
      <c r="F834" t="s">
        <v>1548</v>
      </c>
      <c r="H834" t="s">
        <v>55</v>
      </c>
      <c r="I834" t="s">
        <v>1522</v>
      </c>
      <c r="J834" t="s">
        <v>124</v>
      </c>
      <c r="K834" t="s">
        <v>1514</v>
      </c>
      <c r="L834" t="s">
        <v>1340</v>
      </c>
      <c r="M834" t="s">
        <v>1505</v>
      </c>
      <c r="Q834" t="s">
        <v>57</v>
      </c>
      <c r="Y834" t="s">
        <v>1549</v>
      </c>
      <c r="Z834">
        <v>8544</v>
      </c>
      <c r="AE834">
        <v>14075</v>
      </c>
      <c r="AF834" s="4">
        <v>0.44</v>
      </c>
      <c r="AG834">
        <f t="shared" si="81"/>
        <v>7882</v>
      </c>
      <c r="AH834" s="4">
        <v>0.18</v>
      </c>
      <c r="AI834">
        <f t="shared" ref="AI834:AI897" si="82">ROUND(AG834+(AG834*AH834),2)</f>
        <v>9300.76</v>
      </c>
      <c r="AJ834" s="4">
        <v>0.1</v>
      </c>
      <c r="AK834">
        <f t="shared" ref="AK834:AK897" si="83">ROUND(AI834*AJ834,2)</f>
        <v>930.08</v>
      </c>
      <c r="AL834">
        <f t="shared" ref="AL834:AL897" si="84">AI834+AK834</f>
        <v>10230.84</v>
      </c>
      <c r="AM834">
        <f t="shared" ref="AM834:AM897" si="85">AE834-AL834</f>
        <v>3844.16</v>
      </c>
      <c r="AN834" s="4">
        <f t="shared" ref="AN834:AN897" si="86">AM834/AE834</f>
        <v>0.273119715808171</v>
      </c>
      <c r="AO834" t="s">
        <v>221</v>
      </c>
      <c r="AQ834" t="s">
        <v>217</v>
      </c>
      <c r="AT834" t="s">
        <v>1508</v>
      </c>
    </row>
    <row r="835" ht="15.75" customHeight="1" spans="1:46">
      <c r="A835" t="s">
        <v>1550</v>
      </c>
      <c r="B835" t="s">
        <v>46</v>
      </c>
      <c r="C835" t="s">
        <v>1499</v>
      </c>
      <c r="D835" t="s">
        <v>1500</v>
      </c>
      <c r="E835" t="s">
        <v>1501</v>
      </c>
      <c r="F835" t="s">
        <v>1551</v>
      </c>
      <c r="H835" t="s">
        <v>55</v>
      </c>
      <c r="I835" t="s">
        <v>1552</v>
      </c>
      <c r="J835" t="s">
        <v>124</v>
      </c>
      <c r="K835" t="s">
        <v>1504</v>
      </c>
      <c r="L835" t="s">
        <v>1340</v>
      </c>
      <c r="M835" t="s">
        <v>1505</v>
      </c>
      <c r="Q835" t="s">
        <v>57</v>
      </c>
      <c r="R835" t="s">
        <v>1553</v>
      </c>
      <c r="Y835" t="s">
        <v>1554</v>
      </c>
      <c r="Z835">
        <v>8544</v>
      </c>
      <c r="AE835">
        <v>1930</v>
      </c>
      <c r="AF835" s="4">
        <v>0.44</v>
      </c>
      <c r="AG835">
        <f t="shared" si="81"/>
        <v>1080.8</v>
      </c>
      <c r="AH835" s="4">
        <v>0.18</v>
      </c>
      <c r="AI835">
        <f t="shared" si="82"/>
        <v>1275.34</v>
      </c>
      <c r="AJ835" s="4">
        <v>0.1</v>
      </c>
      <c r="AK835">
        <f t="shared" si="83"/>
        <v>127.53</v>
      </c>
      <c r="AL835">
        <f t="shared" si="84"/>
        <v>1402.87</v>
      </c>
      <c r="AM835">
        <f t="shared" si="85"/>
        <v>527.13</v>
      </c>
      <c r="AN835" s="4">
        <f t="shared" si="86"/>
        <v>0.273124352331606</v>
      </c>
      <c r="AO835" t="s">
        <v>221</v>
      </c>
      <c r="AQ835" t="s">
        <v>217</v>
      </c>
      <c r="AT835" t="s">
        <v>1508</v>
      </c>
    </row>
    <row r="836" ht="15.75" customHeight="1" spans="1:46">
      <c r="A836" t="s">
        <v>1550</v>
      </c>
      <c r="B836" t="s">
        <v>67</v>
      </c>
      <c r="C836" t="s">
        <v>1499</v>
      </c>
      <c r="D836" t="s">
        <v>1500</v>
      </c>
      <c r="E836" t="s">
        <v>1501</v>
      </c>
      <c r="F836" t="s">
        <v>1551</v>
      </c>
      <c r="H836" t="s">
        <v>55</v>
      </c>
      <c r="I836" t="s">
        <v>1552</v>
      </c>
      <c r="J836" t="s">
        <v>124</v>
      </c>
      <c r="K836" t="s">
        <v>909</v>
      </c>
      <c r="L836" t="s">
        <v>1340</v>
      </c>
      <c r="M836" t="s">
        <v>1505</v>
      </c>
      <c r="Q836" t="s">
        <v>57</v>
      </c>
      <c r="Y836" t="s">
        <v>1555</v>
      </c>
      <c r="Z836">
        <v>8544</v>
      </c>
      <c r="AE836">
        <v>1930</v>
      </c>
      <c r="AF836" s="4">
        <v>0.44</v>
      </c>
      <c r="AG836">
        <f t="shared" ref="AG836:AG899" si="87">ROUND(AE836-(AE836*AF836),2)</f>
        <v>1080.8</v>
      </c>
      <c r="AH836" s="4">
        <v>0.18</v>
      </c>
      <c r="AI836">
        <f t="shared" si="82"/>
        <v>1275.34</v>
      </c>
      <c r="AJ836" s="4">
        <v>0.1</v>
      </c>
      <c r="AK836">
        <f t="shared" si="83"/>
        <v>127.53</v>
      </c>
      <c r="AL836">
        <f t="shared" si="84"/>
        <v>1402.87</v>
      </c>
      <c r="AM836">
        <f t="shared" si="85"/>
        <v>527.13</v>
      </c>
      <c r="AN836" s="4">
        <f t="shared" si="86"/>
        <v>0.273124352331606</v>
      </c>
      <c r="AO836" t="s">
        <v>221</v>
      </c>
      <c r="AQ836" t="s">
        <v>217</v>
      </c>
      <c r="AT836" t="s">
        <v>1508</v>
      </c>
    </row>
    <row r="837" ht="15.75" customHeight="1" spans="1:46">
      <c r="A837" t="s">
        <v>1550</v>
      </c>
      <c r="B837" t="s">
        <v>71</v>
      </c>
      <c r="C837" t="s">
        <v>1499</v>
      </c>
      <c r="D837" t="s">
        <v>1500</v>
      </c>
      <c r="E837" t="s">
        <v>1501</v>
      </c>
      <c r="F837" t="s">
        <v>1551</v>
      </c>
      <c r="H837" t="s">
        <v>55</v>
      </c>
      <c r="I837" t="s">
        <v>1552</v>
      </c>
      <c r="J837" t="s">
        <v>124</v>
      </c>
      <c r="K837" t="s">
        <v>1510</v>
      </c>
      <c r="L837" t="s">
        <v>1340</v>
      </c>
      <c r="M837" t="s">
        <v>1505</v>
      </c>
      <c r="Q837" t="s">
        <v>57</v>
      </c>
      <c r="Y837" t="s">
        <v>1556</v>
      </c>
      <c r="Z837">
        <v>8544</v>
      </c>
      <c r="AE837">
        <v>1930</v>
      </c>
      <c r="AF837" s="4">
        <v>0.44</v>
      </c>
      <c r="AG837">
        <f t="shared" si="87"/>
        <v>1080.8</v>
      </c>
      <c r="AH837" s="4">
        <v>0.18</v>
      </c>
      <c r="AI837">
        <f t="shared" si="82"/>
        <v>1275.34</v>
      </c>
      <c r="AJ837" s="4">
        <v>0.1</v>
      </c>
      <c r="AK837">
        <f t="shared" si="83"/>
        <v>127.53</v>
      </c>
      <c r="AL837">
        <f t="shared" si="84"/>
        <v>1402.87</v>
      </c>
      <c r="AM837">
        <f t="shared" si="85"/>
        <v>527.13</v>
      </c>
      <c r="AN837" s="4">
        <f t="shared" si="86"/>
        <v>0.273124352331606</v>
      </c>
      <c r="AO837" t="s">
        <v>221</v>
      </c>
      <c r="AQ837" t="s">
        <v>217</v>
      </c>
      <c r="AT837" t="s">
        <v>1508</v>
      </c>
    </row>
    <row r="838" ht="15.75" customHeight="1" spans="1:46">
      <c r="A838" t="s">
        <v>1550</v>
      </c>
      <c r="B838" t="s">
        <v>75</v>
      </c>
      <c r="C838" t="s">
        <v>1499</v>
      </c>
      <c r="D838" t="s">
        <v>1500</v>
      </c>
      <c r="E838" t="s">
        <v>1501</v>
      </c>
      <c r="F838" t="s">
        <v>1551</v>
      </c>
      <c r="H838" t="s">
        <v>55</v>
      </c>
      <c r="I838" t="s">
        <v>1552</v>
      </c>
      <c r="J838" t="s">
        <v>124</v>
      </c>
      <c r="K838" t="s">
        <v>1512</v>
      </c>
      <c r="L838" t="s">
        <v>1340</v>
      </c>
      <c r="M838" t="s">
        <v>1505</v>
      </c>
      <c r="Q838" t="s">
        <v>57</v>
      </c>
      <c r="Y838" t="s">
        <v>1557</v>
      </c>
      <c r="Z838">
        <v>8544</v>
      </c>
      <c r="AE838">
        <v>1930</v>
      </c>
      <c r="AF838" s="4">
        <v>0.44</v>
      </c>
      <c r="AG838">
        <f t="shared" si="87"/>
        <v>1080.8</v>
      </c>
      <c r="AH838" s="4">
        <v>0.18</v>
      </c>
      <c r="AI838">
        <f t="shared" si="82"/>
        <v>1275.34</v>
      </c>
      <c r="AJ838" s="4">
        <v>0.1</v>
      </c>
      <c r="AK838">
        <f t="shared" si="83"/>
        <v>127.53</v>
      </c>
      <c r="AL838">
        <f t="shared" si="84"/>
        <v>1402.87</v>
      </c>
      <c r="AM838">
        <f t="shared" si="85"/>
        <v>527.13</v>
      </c>
      <c r="AN838" s="4">
        <f t="shared" si="86"/>
        <v>0.273124352331606</v>
      </c>
      <c r="AO838" t="s">
        <v>221</v>
      </c>
      <c r="AQ838" t="s">
        <v>217</v>
      </c>
      <c r="AT838" t="s">
        <v>1508</v>
      </c>
    </row>
    <row r="839" ht="15.75" customHeight="1" spans="1:46">
      <c r="A839" t="s">
        <v>1550</v>
      </c>
      <c r="B839" t="s">
        <v>79</v>
      </c>
      <c r="C839" t="s">
        <v>1499</v>
      </c>
      <c r="D839" t="s">
        <v>1500</v>
      </c>
      <c r="E839" t="s">
        <v>1501</v>
      </c>
      <c r="F839" t="s">
        <v>1551</v>
      </c>
      <c r="H839" t="s">
        <v>55</v>
      </c>
      <c r="I839" t="s">
        <v>1552</v>
      </c>
      <c r="J839" t="s">
        <v>124</v>
      </c>
      <c r="K839" t="s">
        <v>1514</v>
      </c>
      <c r="L839" t="s">
        <v>1340</v>
      </c>
      <c r="M839" t="s">
        <v>1505</v>
      </c>
      <c r="Q839" t="s">
        <v>57</v>
      </c>
      <c r="Y839" t="s">
        <v>1558</v>
      </c>
      <c r="Z839">
        <v>8544</v>
      </c>
      <c r="AE839">
        <v>1930</v>
      </c>
      <c r="AF839" s="4">
        <v>0.44</v>
      </c>
      <c r="AG839">
        <f t="shared" si="87"/>
        <v>1080.8</v>
      </c>
      <c r="AH839" s="4">
        <v>0.18</v>
      </c>
      <c r="AI839">
        <f t="shared" si="82"/>
        <v>1275.34</v>
      </c>
      <c r="AJ839" s="4">
        <v>0.1</v>
      </c>
      <c r="AK839">
        <f t="shared" si="83"/>
        <v>127.53</v>
      </c>
      <c r="AL839">
        <f t="shared" si="84"/>
        <v>1402.87</v>
      </c>
      <c r="AM839">
        <f t="shared" si="85"/>
        <v>527.13</v>
      </c>
      <c r="AN839" s="4">
        <f t="shared" si="86"/>
        <v>0.273124352331606</v>
      </c>
      <c r="AO839" t="s">
        <v>221</v>
      </c>
      <c r="AQ839" t="s">
        <v>217</v>
      </c>
      <c r="AT839" t="s">
        <v>1508</v>
      </c>
    </row>
    <row r="840" ht="15.75" customHeight="1" spans="1:46">
      <c r="A840" t="s">
        <v>1550</v>
      </c>
      <c r="B840" t="s">
        <v>83</v>
      </c>
      <c r="C840" t="s">
        <v>1499</v>
      </c>
      <c r="D840" t="s">
        <v>1500</v>
      </c>
      <c r="E840" t="s">
        <v>1501</v>
      </c>
      <c r="F840" t="s">
        <v>1551</v>
      </c>
      <c r="H840" t="s">
        <v>55</v>
      </c>
      <c r="I840" t="s">
        <v>1516</v>
      </c>
      <c r="J840" t="s">
        <v>124</v>
      </c>
      <c r="K840" t="s">
        <v>1504</v>
      </c>
      <c r="L840" t="s">
        <v>1340</v>
      </c>
      <c r="M840" t="s">
        <v>1505</v>
      </c>
      <c r="Q840" t="s">
        <v>57</v>
      </c>
      <c r="R840" t="s">
        <v>1553</v>
      </c>
      <c r="Y840" t="s">
        <v>1554</v>
      </c>
      <c r="Z840">
        <v>8544</v>
      </c>
      <c r="AE840">
        <v>2505</v>
      </c>
      <c r="AF840" s="4">
        <v>0.44</v>
      </c>
      <c r="AG840">
        <f t="shared" si="87"/>
        <v>1402.8</v>
      </c>
      <c r="AH840" s="4">
        <v>0.18</v>
      </c>
      <c r="AI840">
        <f t="shared" si="82"/>
        <v>1655.3</v>
      </c>
      <c r="AJ840" s="4">
        <v>0.1</v>
      </c>
      <c r="AK840">
        <f t="shared" si="83"/>
        <v>165.53</v>
      </c>
      <c r="AL840">
        <f t="shared" si="84"/>
        <v>1820.83</v>
      </c>
      <c r="AM840">
        <f t="shared" si="85"/>
        <v>684.17</v>
      </c>
      <c r="AN840" s="4">
        <f t="shared" si="86"/>
        <v>0.273121756487026</v>
      </c>
      <c r="AO840" t="s">
        <v>221</v>
      </c>
      <c r="AQ840" t="s">
        <v>217</v>
      </c>
      <c r="AT840" t="s">
        <v>1508</v>
      </c>
    </row>
    <row r="841" ht="15.75" customHeight="1" spans="1:46">
      <c r="A841" t="s">
        <v>1550</v>
      </c>
      <c r="B841" t="s">
        <v>131</v>
      </c>
      <c r="C841" t="s">
        <v>1499</v>
      </c>
      <c r="D841" t="s">
        <v>1500</v>
      </c>
      <c r="E841" t="s">
        <v>1501</v>
      </c>
      <c r="F841" t="s">
        <v>1551</v>
      </c>
      <c r="H841" t="s">
        <v>55</v>
      </c>
      <c r="I841" t="s">
        <v>1516</v>
      </c>
      <c r="J841" t="s">
        <v>124</v>
      </c>
      <c r="K841" t="s">
        <v>909</v>
      </c>
      <c r="L841" t="s">
        <v>1340</v>
      </c>
      <c r="M841" t="s">
        <v>1505</v>
      </c>
      <c r="Q841" t="s">
        <v>57</v>
      </c>
      <c r="Y841" t="s">
        <v>1555</v>
      </c>
      <c r="Z841">
        <v>8544</v>
      </c>
      <c r="AE841">
        <v>2505</v>
      </c>
      <c r="AF841" s="4">
        <v>0.44</v>
      </c>
      <c r="AG841">
        <f t="shared" si="87"/>
        <v>1402.8</v>
      </c>
      <c r="AH841" s="4">
        <v>0.18</v>
      </c>
      <c r="AI841">
        <f t="shared" si="82"/>
        <v>1655.3</v>
      </c>
      <c r="AJ841" s="4">
        <v>0.1</v>
      </c>
      <c r="AK841">
        <f t="shared" si="83"/>
        <v>165.53</v>
      </c>
      <c r="AL841">
        <f t="shared" si="84"/>
        <v>1820.83</v>
      </c>
      <c r="AM841">
        <f t="shared" si="85"/>
        <v>684.17</v>
      </c>
      <c r="AN841" s="4">
        <f t="shared" si="86"/>
        <v>0.273121756487026</v>
      </c>
      <c r="AO841" t="s">
        <v>221</v>
      </c>
      <c r="AQ841" t="s">
        <v>217</v>
      </c>
      <c r="AT841" t="s">
        <v>1508</v>
      </c>
    </row>
    <row r="842" ht="15.75" customHeight="1" spans="1:46">
      <c r="A842" t="s">
        <v>1550</v>
      </c>
      <c r="B842" t="s">
        <v>133</v>
      </c>
      <c r="C842" t="s">
        <v>1499</v>
      </c>
      <c r="D842" t="s">
        <v>1500</v>
      </c>
      <c r="E842" t="s">
        <v>1501</v>
      </c>
      <c r="F842" t="s">
        <v>1551</v>
      </c>
      <c r="H842" t="s">
        <v>55</v>
      </c>
      <c r="I842" t="s">
        <v>1516</v>
      </c>
      <c r="J842" t="s">
        <v>124</v>
      </c>
      <c r="K842" t="s">
        <v>1510</v>
      </c>
      <c r="L842" t="s">
        <v>1340</v>
      </c>
      <c r="M842" t="s">
        <v>1505</v>
      </c>
      <c r="Q842" t="s">
        <v>57</v>
      </c>
      <c r="Y842" t="s">
        <v>1556</v>
      </c>
      <c r="Z842">
        <v>8544</v>
      </c>
      <c r="AE842">
        <v>2505</v>
      </c>
      <c r="AF842" s="4">
        <v>0.44</v>
      </c>
      <c r="AG842">
        <f t="shared" si="87"/>
        <v>1402.8</v>
      </c>
      <c r="AH842" s="4">
        <v>0.18</v>
      </c>
      <c r="AI842">
        <f t="shared" si="82"/>
        <v>1655.3</v>
      </c>
      <c r="AJ842" s="4">
        <v>0.1</v>
      </c>
      <c r="AK842">
        <f t="shared" si="83"/>
        <v>165.53</v>
      </c>
      <c r="AL842">
        <f t="shared" si="84"/>
        <v>1820.83</v>
      </c>
      <c r="AM842">
        <f t="shared" si="85"/>
        <v>684.17</v>
      </c>
      <c r="AN842" s="4">
        <f t="shared" si="86"/>
        <v>0.273121756487026</v>
      </c>
      <c r="AO842" t="s">
        <v>221</v>
      </c>
      <c r="AQ842" t="s">
        <v>217</v>
      </c>
      <c r="AT842" t="s">
        <v>1508</v>
      </c>
    </row>
    <row r="843" ht="15.75" customHeight="1" spans="1:46">
      <c r="A843" t="s">
        <v>1550</v>
      </c>
      <c r="B843" t="s">
        <v>135</v>
      </c>
      <c r="C843" t="s">
        <v>1499</v>
      </c>
      <c r="D843" t="s">
        <v>1500</v>
      </c>
      <c r="E843" t="s">
        <v>1501</v>
      </c>
      <c r="F843" t="s">
        <v>1551</v>
      </c>
      <c r="H843" t="s">
        <v>55</v>
      </c>
      <c r="I843" t="s">
        <v>1516</v>
      </c>
      <c r="J843" t="s">
        <v>124</v>
      </c>
      <c r="K843" t="s">
        <v>1512</v>
      </c>
      <c r="L843" t="s">
        <v>1340</v>
      </c>
      <c r="M843" t="s">
        <v>1505</v>
      </c>
      <c r="Q843" t="s">
        <v>57</v>
      </c>
      <c r="Y843" t="s">
        <v>1557</v>
      </c>
      <c r="Z843">
        <v>8544</v>
      </c>
      <c r="AE843">
        <v>2505</v>
      </c>
      <c r="AF843" s="4">
        <v>0.44</v>
      </c>
      <c r="AG843">
        <f t="shared" si="87"/>
        <v>1402.8</v>
      </c>
      <c r="AH843" s="4">
        <v>0.18</v>
      </c>
      <c r="AI843">
        <f t="shared" si="82"/>
        <v>1655.3</v>
      </c>
      <c r="AJ843" s="4">
        <v>0.1</v>
      </c>
      <c r="AK843">
        <f t="shared" si="83"/>
        <v>165.53</v>
      </c>
      <c r="AL843">
        <f t="shared" si="84"/>
        <v>1820.83</v>
      </c>
      <c r="AM843">
        <f t="shared" si="85"/>
        <v>684.17</v>
      </c>
      <c r="AN843" s="4">
        <f t="shared" si="86"/>
        <v>0.273121756487026</v>
      </c>
      <c r="AO843" t="s">
        <v>221</v>
      </c>
      <c r="AQ843" t="s">
        <v>217</v>
      </c>
      <c r="AT843" t="s">
        <v>1508</v>
      </c>
    </row>
    <row r="844" ht="15.75" customHeight="1" spans="1:46">
      <c r="A844" t="s">
        <v>1550</v>
      </c>
      <c r="B844" t="s">
        <v>137</v>
      </c>
      <c r="C844" t="s">
        <v>1499</v>
      </c>
      <c r="D844" t="s">
        <v>1500</v>
      </c>
      <c r="E844" t="s">
        <v>1501</v>
      </c>
      <c r="F844" t="s">
        <v>1551</v>
      </c>
      <c r="H844" t="s">
        <v>55</v>
      </c>
      <c r="I844" t="s">
        <v>1516</v>
      </c>
      <c r="J844" t="s">
        <v>124</v>
      </c>
      <c r="K844" t="s">
        <v>1514</v>
      </c>
      <c r="L844" t="s">
        <v>1340</v>
      </c>
      <c r="M844" t="s">
        <v>1505</v>
      </c>
      <c r="Q844" t="s">
        <v>57</v>
      </c>
      <c r="Y844" t="s">
        <v>1558</v>
      </c>
      <c r="Z844">
        <v>8544</v>
      </c>
      <c r="AE844">
        <v>2505</v>
      </c>
      <c r="AF844" s="4">
        <v>0.44</v>
      </c>
      <c r="AG844">
        <f t="shared" si="87"/>
        <v>1402.8</v>
      </c>
      <c r="AH844" s="4">
        <v>0.18</v>
      </c>
      <c r="AI844">
        <f t="shared" si="82"/>
        <v>1655.3</v>
      </c>
      <c r="AJ844" s="4">
        <v>0.1</v>
      </c>
      <c r="AK844">
        <f t="shared" si="83"/>
        <v>165.53</v>
      </c>
      <c r="AL844">
        <f t="shared" si="84"/>
        <v>1820.83</v>
      </c>
      <c r="AM844">
        <f t="shared" si="85"/>
        <v>684.17</v>
      </c>
      <c r="AN844" s="4">
        <f t="shared" si="86"/>
        <v>0.273121756487026</v>
      </c>
      <c r="AO844" t="s">
        <v>221</v>
      </c>
      <c r="AQ844" t="s">
        <v>217</v>
      </c>
      <c r="AT844" t="s">
        <v>1508</v>
      </c>
    </row>
    <row r="845" ht="15.75" customHeight="1" spans="1:46">
      <c r="A845" t="s">
        <v>1550</v>
      </c>
      <c r="B845" t="s">
        <v>138</v>
      </c>
      <c r="C845" t="s">
        <v>1499</v>
      </c>
      <c r="D845" t="s">
        <v>1500</v>
      </c>
      <c r="E845" t="s">
        <v>1501</v>
      </c>
      <c r="F845" t="s">
        <v>1551</v>
      </c>
      <c r="H845" t="s">
        <v>55</v>
      </c>
      <c r="I845" t="s">
        <v>1517</v>
      </c>
      <c r="J845" t="s">
        <v>124</v>
      </c>
      <c r="K845" t="s">
        <v>1504</v>
      </c>
      <c r="L845" t="s">
        <v>1340</v>
      </c>
      <c r="M845" t="s">
        <v>1505</v>
      </c>
      <c r="Q845" t="s">
        <v>57</v>
      </c>
      <c r="R845" t="s">
        <v>1553</v>
      </c>
      <c r="Y845" t="s">
        <v>1554</v>
      </c>
      <c r="Z845">
        <v>8544</v>
      </c>
      <c r="AE845">
        <v>3690</v>
      </c>
      <c r="AF845" s="4">
        <v>0.44</v>
      </c>
      <c r="AG845">
        <f t="shared" si="87"/>
        <v>2066.4</v>
      </c>
      <c r="AH845" s="4">
        <v>0.18</v>
      </c>
      <c r="AI845">
        <f t="shared" si="82"/>
        <v>2438.35</v>
      </c>
      <c r="AJ845" s="4">
        <v>0.1</v>
      </c>
      <c r="AK845">
        <f t="shared" si="83"/>
        <v>243.84</v>
      </c>
      <c r="AL845">
        <f t="shared" si="84"/>
        <v>2682.19</v>
      </c>
      <c r="AM845">
        <f t="shared" si="85"/>
        <v>1007.81</v>
      </c>
      <c r="AN845" s="4">
        <f t="shared" si="86"/>
        <v>0.273119241192412</v>
      </c>
      <c r="AO845" t="s">
        <v>221</v>
      </c>
      <c r="AQ845" t="s">
        <v>217</v>
      </c>
      <c r="AT845" t="s">
        <v>1508</v>
      </c>
    </row>
    <row r="846" ht="15.75" customHeight="1" spans="1:46">
      <c r="A846" t="s">
        <v>1550</v>
      </c>
      <c r="B846" t="s">
        <v>140</v>
      </c>
      <c r="C846" t="s">
        <v>1499</v>
      </c>
      <c r="D846" t="s">
        <v>1500</v>
      </c>
      <c r="E846" t="s">
        <v>1501</v>
      </c>
      <c r="F846" t="s">
        <v>1551</v>
      </c>
      <c r="H846" t="s">
        <v>55</v>
      </c>
      <c r="I846" t="s">
        <v>1517</v>
      </c>
      <c r="J846" t="s">
        <v>124</v>
      </c>
      <c r="K846" t="s">
        <v>909</v>
      </c>
      <c r="L846" t="s">
        <v>1340</v>
      </c>
      <c r="M846" t="s">
        <v>1505</v>
      </c>
      <c r="Q846" t="s">
        <v>57</v>
      </c>
      <c r="Y846" t="s">
        <v>1555</v>
      </c>
      <c r="Z846">
        <v>8544</v>
      </c>
      <c r="AE846">
        <v>3690</v>
      </c>
      <c r="AF846" s="4">
        <v>0.44</v>
      </c>
      <c r="AG846">
        <f t="shared" si="87"/>
        <v>2066.4</v>
      </c>
      <c r="AH846" s="4">
        <v>0.18</v>
      </c>
      <c r="AI846">
        <f t="shared" si="82"/>
        <v>2438.35</v>
      </c>
      <c r="AJ846" s="4">
        <v>0.1</v>
      </c>
      <c r="AK846">
        <f t="shared" si="83"/>
        <v>243.84</v>
      </c>
      <c r="AL846">
        <f t="shared" si="84"/>
        <v>2682.19</v>
      </c>
      <c r="AM846">
        <f t="shared" si="85"/>
        <v>1007.81</v>
      </c>
      <c r="AN846" s="4">
        <f t="shared" si="86"/>
        <v>0.273119241192412</v>
      </c>
      <c r="AO846" t="s">
        <v>221</v>
      </c>
      <c r="AQ846" t="s">
        <v>217</v>
      </c>
      <c r="AT846" t="s">
        <v>1508</v>
      </c>
    </row>
    <row r="847" ht="15.75" customHeight="1" spans="1:46">
      <c r="A847" t="s">
        <v>1550</v>
      </c>
      <c r="B847" t="s">
        <v>202</v>
      </c>
      <c r="C847" t="s">
        <v>1499</v>
      </c>
      <c r="D847" t="s">
        <v>1500</v>
      </c>
      <c r="E847" t="s">
        <v>1501</v>
      </c>
      <c r="F847" t="s">
        <v>1551</v>
      </c>
      <c r="H847" t="s">
        <v>55</v>
      </c>
      <c r="I847" t="s">
        <v>1517</v>
      </c>
      <c r="J847" t="s">
        <v>124</v>
      </c>
      <c r="K847" t="s">
        <v>1510</v>
      </c>
      <c r="L847" t="s">
        <v>1340</v>
      </c>
      <c r="M847" t="s">
        <v>1505</v>
      </c>
      <c r="Q847" t="s">
        <v>57</v>
      </c>
      <c r="Y847" t="s">
        <v>1556</v>
      </c>
      <c r="Z847">
        <v>8544</v>
      </c>
      <c r="AE847">
        <v>3690</v>
      </c>
      <c r="AF847" s="4">
        <v>0.44</v>
      </c>
      <c r="AG847">
        <f t="shared" si="87"/>
        <v>2066.4</v>
      </c>
      <c r="AH847" s="4">
        <v>0.18</v>
      </c>
      <c r="AI847">
        <f t="shared" si="82"/>
        <v>2438.35</v>
      </c>
      <c r="AJ847" s="4">
        <v>0.1</v>
      </c>
      <c r="AK847">
        <f t="shared" si="83"/>
        <v>243.84</v>
      </c>
      <c r="AL847">
        <f t="shared" si="84"/>
        <v>2682.19</v>
      </c>
      <c r="AM847">
        <f t="shared" si="85"/>
        <v>1007.81</v>
      </c>
      <c r="AN847" s="4">
        <f t="shared" si="86"/>
        <v>0.273119241192412</v>
      </c>
      <c r="AO847" t="s">
        <v>221</v>
      </c>
      <c r="AQ847" t="s">
        <v>217</v>
      </c>
      <c r="AT847" t="s">
        <v>1508</v>
      </c>
    </row>
    <row r="848" ht="15.75" customHeight="1" spans="1:46">
      <c r="A848" t="s">
        <v>1550</v>
      </c>
      <c r="B848" t="s">
        <v>203</v>
      </c>
      <c r="C848" t="s">
        <v>1499</v>
      </c>
      <c r="D848" t="s">
        <v>1500</v>
      </c>
      <c r="E848" t="s">
        <v>1501</v>
      </c>
      <c r="F848" t="s">
        <v>1551</v>
      </c>
      <c r="H848" t="s">
        <v>55</v>
      </c>
      <c r="I848" t="s">
        <v>1517</v>
      </c>
      <c r="J848" t="s">
        <v>124</v>
      </c>
      <c r="K848" t="s">
        <v>1512</v>
      </c>
      <c r="L848" t="s">
        <v>1340</v>
      </c>
      <c r="M848" t="s">
        <v>1505</v>
      </c>
      <c r="Q848" t="s">
        <v>57</v>
      </c>
      <c r="Y848" t="s">
        <v>1557</v>
      </c>
      <c r="Z848">
        <v>8544</v>
      </c>
      <c r="AE848">
        <v>3690</v>
      </c>
      <c r="AF848" s="4">
        <v>0.44</v>
      </c>
      <c r="AG848">
        <f t="shared" si="87"/>
        <v>2066.4</v>
      </c>
      <c r="AH848" s="4">
        <v>0.18</v>
      </c>
      <c r="AI848">
        <f t="shared" si="82"/>
        <v>2438.35</v>
      </c>
      <c r="AJ848" s="4">
        <v>0.1</v>
      </c>
      <c r="AK848">
        <f t="shared" si="83"/>
        <v>243.84</v>
      </c>
      <c r="AL848">
        <f t="shared" si="84"/>
        <v>2682.19</v>
      </c>
      <c r="AM848">
        <f t="shared" si="85"/>
        <v>1007.81</v>
      </c>
      <c r="AN848" s="4">
        <f t="shared" si="86"/>
        <v>0.273119241192412</v>
      </c>
      <c r="AO848" t="s">
        <v>221</v>
      </c>
      <c r="AQ848" t="s">
        <v>217</v>
      </c>
      <c r="AT848" t="s">
        <v>1508</v>
      </c>
    </row>
    <row r="849" ht="15.75" customHeight="1" spans="1:46">
      <c r="A849" t="s">
        <v>1550</v>
      </c>
      <c r="B849" t="s">
        <v>204</v>
      </c>
      <c r="C849" t="s">
        <v>1499</v>
      </c>
      <c r="D849" t="s">
        <v>1500</v>
      </c>
      <c r="E849" t="s">
        <v>1501</v>
      </c>
      <c r="F849" t="s">
        <v>1551</v>
      </c>
      <c r="H849" t="s">
        <v>55</v>
      </c>
      <c r="I849" t="s">
        <v>1517</v>
      </c>
      <c r="J849" t="s">
        <v>124</v>
      </c>
      <c r="K849" t="s">
        <v>1514</v>
      </c>
      <c r="L849" t="s">
        <v>1340</v>
      </c>
      <c r="M849" t="s">
        <v>1505</v>
      </c>
      <c r="Q849" t="s">
        <v>57</v>
      </c>
      <c r="Y849" t="s">
        <v>1558</v>
      </c>
      <c r="Z849">
        <v>8544</v>
      </c>
      <c r="AE849">
        <v>3690</v>
      </c>
      <c r="AF849" s="4">
        <v>0.44</v>
      </c>
      <c r="AG849">
        <f t="shared" si="87"/>
        <v>2066.4</v>
      </c>
      <c r="AH849" s="4">
        <v>0.18</v>
      </c>
      <c r="AI849">
        <f t="shared" si="82"/>
        <v>2438.35</v>
      </c>
      <c r="AJ849" s="4">
        <v>0.1</v>
      </c>
      <c r="AK849">
        <f t="shared" si="83"/>
        <v>243.84</v>
      </c>
      <c r="AL849">
        <f t="shared" si="84"/>
        <v>2682.19</v>
      </c>
      <c r="AM849">
        <f t="shared" si="85"/>
        <v>1007.81</v>
      </c>
      <c r="AN849" s="4">
        <f t="shared" si="86"/>
        <v>0.273119241192412</v>
      </c>
      <c r="AO849" t="s">
        <v>221</v>
      </c>
      <c r="AQ849" t="s">
        <v>217</v>
      </c>
      <c r="AT849" t="s">
        <v>1508</v>
      </c>
    </row>
    <row r="850" ht="15.75" customHeight="1" spans="1:46">
      <c r="A850" t="s">
        <v>1550</v>
      </c>
      <c r="B850" t="s">
        <v>205</v>
      </c>
      <c r="C850" t="s">
        <v>1499</v>
      </c>
      <c r="D850" t="s">
        <v>1500</v>
      </c>
      <c r="E850" t="s">
        <v>1501</v>
      </c>
      <c r="F850" t="s">
        <v>1551</v>
      </c>
      <c r="H850" t="s">
        <v>55</v>
      </c>
      <c r="I850" t="s">
        <v>1518</v>
      </c>
      <c r="J850" t="s">
        <v>124</v>
      </c>
      <c r="K850" t="s">
        <v>1504</v>
      </c>
      <c r="L850" t="s">
        <v>1340</v>
      </c>
      <c r="M850" t="s">
        <v>1505</v>
      </c>
      <c r="Q850" t="s">
        <v>57</v>
      </c>
      <c r="R850" t="s">
        <v>1553</v>
      </c>
      <c r="Y850" t="s">
        <v>1554</v>
      </c>
      <c r="Z850">
        <v>8544</v>
      </c>
      <c r="AE850">
        <v>5890</v>
      </c>
      <c r="AF850" s="4">
        <v>0.44</v>
      </c>
      <c r="AG850">
        <f t="shared" si="87"/>
        <v>3298.4</v>
      </c>
      <c r="AH850" s="4">
        <v>0.18</v>
      </c>
      <c r="AI850">
        <f t="shared" si="82"/>
        <v>3892.11</v>
      </c>
      <c r="AJ850" s="4">
        <v>0.1</v>
      </c>
      <c r="AK850">
        <f t="shared" si="83"/>
        <v>389.21</v>
      </c>
      <c r="AL850">
        <f t="shared" si="84"/>
        <v>4281.32</v>
      </c>
      <c r="AM850">
        <f t="shared" si="85"/>
        <v>1608.68</v>
      </c>
      <c r="AN850" s="4">
        <f t="shared" si="86"/>
        <v>0.273120543293718</v>
      </c>
      <c r="AO850" t="s">
        <v>221</v>
      </c>
      <c r="AQ850" t="s">
        <v>217</v>
      </c>
      <c r="AT850" t="s">
        <v>1508</v>
      </c>
    </row>
    <row r="851" ht="15.75" customHeight="1" spans="1:46">
      <c r="A851" t="s">
        <v>1550</v>
      </c>
      <c r="B851" t="s">
        <v>206</v>
      </c>
      <c r="C851" t="s">
        <v>1499</v>
      </c>
      <c r="D851" t="s">
        <v>1500</v>
      </c>
      <c r="E851" t="s">
        <v>1501</v>
      </c>
      <c r="F851" t="s">
        <v>1551</v>
      </c>
      <c r="H851" t="s">
        <v>55</v>
      </c>
      <c r="I851" t="s">
        <v>1518</v>
      </c>
      <c r="J851" t="s">
        <v>124</v>
      </c>
      <c r="K851" t="s">
        <v>909</v>
      </c>
      <c r="L851" t="s">
        <v>1340</v>
      </c>
      <c r="M851" t="s">
        <v>1505</v>
      </c>
      <c r="Q851" t="s">
        <v>57</v>
      </c>
      <c r="Y851" t="s">
        <v>1555</v>
      </c>
      <c r="Z851">
        <v>8544</v>
      </c>
      <c r="AE851">
        <v>5890</v>
      </c>
      <c r="AF851" s="4">
        <v>0.44</v>
      </c>
      <c r="AG851">
        <f t="shared" si="87"/>
        <v>3298.4</v>
      </c>
      <c r="AH851" s="4">
        <v>0.18</v>
      </c>
      <c r="AI851">
        <f t="shared" si="82"/>
        <v>3892.11</v>
      </c>
      <c r="AJ851" s="4">
        <v>0.1</v>
      </c>
      <c r="AK851">
        <f t="shared" si="83"/>
        <v>389.21</v>
      </c>
      <c r="AL851">
        <f t="shared" si="84"/>
        <v>4281.32</v>
      </c>
      <c r="AM851">
        <f t="shared" si="85"/>
        <v>1608.68</v>
      </c>
      <c r="AN851" s="4">
        <f t="shared" si="86"/>
        <v>0.273120543293718</v>
      </c>
      <c r="AO851" t="s">
        <v>221</v>
      </c>
      <c r="AQ851" t="s">
        <v>217</v>
      </c>
      <c r="AT851" t="s">
        <v>1508</v>
      </c>
    </row>
    <row r="852" ht="15.75" customHeight="1" spans="1:46">
      <c r="A852" t="s">
        <v>1550</v>
      </c>
      <c r="B852" t="s">
        <v>207</v>
      </c>
      <c r="C852" t="s">
        <v>1499</v>
      </c>
      <c r="D852" t="s">
        <v>1500</v>
      </c>
      <c r="E852" t="s">
        <v>1501</v>
      </c>
      <c r="F852" t="s">
        <v>1551</v>
      </c>
      <c r="H852" t="s">
        <v>55</v>
      </c>
      <c r="I852" t="s">
        <v>1518</v>
      </c>
      <c r="J852" t="s">
        <v>124</v>
      </c>
      <c r="K852" t="s">
        <v>1510</v>
      </c>
      <c r="L852" t="s">
        <v>1340</v>
      </c>
      <c r="M852" t="s">
        <v>1505</v>
      </c>
      <c r="Q852" t="s">
        <v>57</v>
      </c>
      <c r="Y852" t="s">
        <v>1556</v>
      </c>
      <c r="Z852">
        <v>8544</v>
      </c>
      <c r="AE852">
        <v>5890</v>
      </c>
      <c r="AF852" s="4">
        <v>0.44</v>
      </c>
      <c r="AG852">
        <f t="shared" si="87"/>
        <v>3298.4</v>
      </c>
      <c r="AH852" s="4">
        <v>0.18</v>
      </c>
      <c r="AI852">
        <f t="shared" si="82"/>
        <v>3892.11</v>
      </c>
      <c r="AJ852" s="4">
        <v>0.1</v>
      </c>
      <c r="AK852">
        <f t="shared" si="83"/>
        <v>389.21</v>
      </c>
      <c r="AL852">
        <f t="shared" si="84"/>
        <v>4281.32</v>
      </c>
      <c r="AM852">
        <f t="shared" si="85"/>
        <v>1608.68</v>
      </c>
      <c r="AN852" s="4">
        <f t="shared" si="86"/>
        <v>0.273120543293718</v>
      </c>
      <c r="AO852" t="s">
        <v>221</v>
      </c>
      <c r="AQ852" t="s">
        <v>217</v>
      </c>
      <c r="AT852" t="s">
        <v>1508</v>
      </c>
    </row>
    <row r="853" ht="15.75" customHeight="1" spans="1:46">
      <c r="A853" t="s">
        <v>1550</v>
      </c>
      <c r="B853" t="s">
        <v>208</v>
      </c>
      <c r="C853" t="s">
        <v>1499</v>
      </c>
      <c r="D853" t="s">
        <v>1500</v>
      </c>
      <c r="E853" t="s">
        <v>1501</v>
      </c>
      <c r="F853" t="s">
        <v>1551</v>
      </c>
      <c r="H853" t="s">
        <v>55</v>
      </c>
      <c r="I853" t="s">
        <v>1518</v>
      </c>
      <c r="J853" t="s">
        <v>124</v>
      </c>
      <c r="K853" t="s">
        <v>1512</v>
      </c>
      <c r="L853" t="s">
        <v>1340</v>
      </c>
      <c r="M853" t="s">
        <v>1505</v>
      </c>
      <c r="Q853" t="s">
        <v>57</v>
      </c>
      <c r="Y853" t="s">
        <v>1557</v>
      </c>
      <c r="Z853">
        <v>8544</v>
      </c>
      <c r="AE853">
        <v>5890</v>
      </c>
      <c r="AF853" s="4">
        <v>0.44</v>
      </c>
      <c r="AG853">
        <f t="shared" si="87"/>
        <v>3298.4</v>
      </c>
      <c r="AH853" s="4">
        <v>0.18</v>
      </c>
      <c r="AI853">
        <f t="shared" si="82"/>
        <v>3892.11</v>
      </c>
      <c r="AJ853" s="4">
        <v>0.1</v>
      </c>
      <c r="AK853">
        <f t="shared" si="83"/>
        <v>389.21</v>
      </c>
      <c r="AL853">
        <f t="shared" si="84"/>
        <v>4281.32</v>
      </c>
      <c r="AM853">
        <f t="shared" si="85"/>
        <v>1608.68</v>
      </c>
      <c r="AN853" s="4">
        <f t="shared" si="86"/>
        <v>0.273120543293718</v>
      </c>
      <c r="AO853" t="s">
        <v>221</v>
      </c>
      <c r="AQ853" t="s">
        <v>217</v>
      </c>
      <c r="AT853" t="s">
        <v>1508</v>
      </c>
    </row>
    <row r="854" ht="15.75" customHeight="1" spans="1:46">
      <c r="A854" t="s">
        <v>1550</v>
      </c>
      <c r="B854" t="s">
        <v>209</v>
      </c>
      <c r="C854" t="s">
        <v>1499</v>
      </c>
      <c r="D854" t="s">
        <v>1500</v>
      </c>
      <c r="E854" t="s">
        <v>1501</v>
      </c>
      <c r="F854" t="s">
        <v>1551</v>
      </c>
      <c r="H854" t="s">
        <v>55</v>
      </c>
      <c r="I854" t="s">
        <v>1518</v>
      </c>
      <c r="J854" t="s">
        <v>124</v>
      </c>
      <c r="K854" t="s">
        <v>1514</v>
      </c>
      <c r="L854" t="s">
        <v>1340</v>
      </c>
      <c r="M854" t="s">
        <v>1505</v>
      </c>
      <c r="Q854" t="s">
        <v>57</v>
      </c>
      <c r="Y854" t="s">
        <v>1558</v>
      </c>
      <c r="Z854">
        <v>8544</v>
      </c>
      <c r="AE854">
        <v>5890</v>
      </c>
      <c r="AF854" s="4">
        <v>0.44</v>
      </c>
      <c r="AG854">
        <f t="shared" si="87"/>
        <v>3298.4</v>
      </c>
      <c r="AH854" s="4">
        <v>0.18</v>
      </c>
      <c r="AI854">
        <f t="shared" si="82"/>
        <v>3892.11</v>
      </c>
      <c r="AJ854" s="4">
        <v>0.1</v>
      </c>
      <c r="AK854">
        <f t="shared" si="83"/>
        <v>389.21</v>
      </c>
      <c r="AL854">
        <f t="shared" si="84"/>
        <v>4281.32</v>
      </c>
      <c r="AM854">
        <f t="shared" si="85"/>
        <v>1608.68</v>
      </c>
      <c r="AN854" s="4">
        <f t="shared" si="86"/>
        <v>0.273120543293718</v>
      </c>
      <c r="AO854" t="s">
        <v>221</v>
      </c>
      <c r="AQ854" t="s">
        <v>217</v>
      </c>
      <c r="AT854" t="s">
        <v>1508</v>
      </c>
    </row>
    <row r="855" ht="15.75" customHeight="1" spans="1:46">
      <c r="A855" t="s">
        <v>1550</v>
      </c>
      <c r="B855" t="s">
        <v>210</v>
      </c>
      <c r="C855" t="s">
        <v>1499</v>
      </c>
      <c r="D855" t="s">
        <v>1500</v>
      </c>
      <c r="E855" t="s">
        <v>1501</v>
      </c>
      <c r="F855" t="s">
        <v>1551</v>
      </c>
      <c r="H855" t="s">
        <v>55</v>
      </c>
      <c r="I855" t="s">
        <v>1519</v>
      </c>
      <c r="J855" t="s">
        <v>124</v>
      </c>
      <c r="K855" t="s">
        <v>1504</v>
      </c>
      <c r="L855" t="s">
        <v>1340</v>
      </c>
      <c r="M855" t="s">
        <v>1505</v>
      </c>
      <c r="Q855" t="s">
        <v>57</v>
      </c>
      <c r="R855" t="s">
        <v>1553</v>
      </c>
      <c r="Y855" t="s">
        <v>1554</v>
      </c>
      <c r="Z855">
        <v>8544</v>
      </c>
      <c r="AE855">
        <v>8805</v>
      </c>
      <c r="AF855" s="4">
        <v>0.44</v>
      </c>
      <c r="AG855">
        <f t="shared" si="87"/>
        <v>4930.8</v>
      </c>
      <c r="AH855" s="4">
        <v>0.18</v>
      </c>
      <c r="AI855">
        <f t="shared" si="82"/>
        <v>5818.34</v>
      </c>
      <c r="AJ855" s="4">
        <v>0.1</v>
      </c>
      <c r="AK855">
        <f t="shared" si="83"/>
        <v>581.83</v>
      </c>
      <c r="AL855">
        <f t="shared" si="84"/>
        <v>6400.17</v>
      </c>
      <c r="AM855">
        <f t="shared" si="85"/>
        <v>2404.83</v>
      </c>
      <c r="AN855" s="4">
        <f t="shared" si="86"/>
        <v>0.273120954003407</v>
      </c>
      <c r="AO855" t="s">
        <v>221</v>
      </c>
      <c r="AQ855" t="s">
        <v>217</v>
      </c>
      <c r="AT855" t="s">
        <v>1508</v>
      </c>
    </row>
    <row r="856" ht="15.75" customHeight="1" spans="1:46">
      <c r="A856" t="s">
        <v>1550</v>
      </c>
      <c r="B856" t="s">
        <v>211</v>
      </c>
      <c r="C856" t="s">
        <v>1499</v>
      </c>
      <c r="D856" t="s">
        <v>1500</v>
      </c>
      <c r="E856" t="s">
        <v>1501</v>
      </c>
      <c r="F856" t="s">
        <v>1551</v>
      </c>
      <c r="H856" t="s">
        <v>55</v>
      </c>
      <c r="I856" t="s">
        <v>1519</v>
      </c>
      <c r="J856" t="s">
        <v>124</v>
      </c>
      <c r="K856" t="s">
        <v>909</v>
      </c>
      <c r="L856" t="s">
        <v>1340</v>
      </c>
      <c r="M856" t="s">
        <v>1505</v>
      </c>
      <c r="Q856" t="s">
        <v>57</v>
      </c>
      <c r="Y856" t="s">
        <v>1555</v>
      </c>
      <c r="Z856">
        <v>8544</v>
      </c>
      <c r="AE856">
        <v>8805</v>
      </c>
      <c r="AF856" s="4">
        <v>0.44</v>
      </c>
      <c r="AG856">
        <f t="shared" si="87"/>
        <v>4930.8</v>
      </c>
      <c r="AH856" s="4">
        <v>0.18</v>
      </c>
      <c r="AI856">
        <f t="shared" si="82"/>
        <v>5818.34</v>
      </c>
      <c r="AJ856" s="4">
        <v>0.1</v>
      </c>
      <c r="AK856">
        <f t="shared" si="83"/>
        <v>581.83</v>
      </c>
      <c r="AL856">
        <f t="shared" si="84"/>
        <v>6400.17</v>
      </c>
      <c r="AM856">
        <f t="shared" si="85"/>
        <v>2404.83</v>
      </c>
      <c r="AN856" s="4">
        <f t="shared" si="86"/>
        <v>0.273120954003407</v>
      </c>
      <c r="AO856" t="s">
        <v>221</v>
      </c>
      <c r="AQ856" t="s">
        <v>217</v>
      </c>
      <c r="AT856" t="s">
        <v>1508</v>
      </c>
    </row>
    <row r="857" ht="15.75" customHeight="1" spans="1:46">
      <c r="A857" t="s">
        <v>1550</v>
      </c>
      <c r="B857" t="s">
        <v>212</v>
      </c>
      <c r="C857" t="s">
        <v>1499</v>
      </c>
      <c r="D857" t="s">
        <v>1500</v>
      </c>
      <c r="E857" t="s">
        <v>1501</v>
      </c>
      <c r="F857" t="s">
        <v>1551</v>
      </c>
      <c r="H857" t="s">
        <v>55</v>
      </c>
      <c r="I857" t="s">
        <v>1519</v>
      </c>
      <c r="J857" t="s">
        <v>124</v>
      </c>
      <c r="K857" t="s">
        <v>1510</v>
      </c>
      <c r="L857" t="s">
        <v>1340</v>
      </c>
      <c r="M857" t="s">
        <v>1505</v>
      </c>
      <c r="Q857" t="s">
        <v>57</v>
      </c>
      <c r="Y857" t="s">
        <v>1556</v>
      </c>
      <c r="Z857">
        <v>8544</v>
      </c>
      <c r="AE857">
        <v>8805</v>
      </c>
      <c r="AF857" s="4">
        <v>0.44</v>
      </c>
      <c r="AG857">
        <f t="shared" si="87"/>
        <v>4930.8</v>
      </c>
      <c r="AH857" s="4">
        <v>0.18</v>
      </c>
      <c r="AI857">
        <f t="shared" si="82"/>
        <v>5818.34</v>
      </c>
      <c r="AJ857" s="4">
        <v>0.1</v>
      </c>
      <c r="AK857">
        <f t="shared" si="83"/>
        <v>581.83</v>
      </c>
      <c r="AL857">
        <f t="shared" si="84"/>
        <v>6400.17</v>
      </c>
      <c r="AM857">
        <f t="shared" si="85"/>
        <v>2404.83</v>
      </c>
      <c r="AN857" s="4">
        <f t="shared" si="86"/>
        <v>0.273120954003407</v>
      </c>
      <c r="AO857" t="s">
        <v>221</v>
      </c>
      <c r="AQ857" t="s">
        <v>217</v>
      </c>
      <c r="AT857" t="s">
        <v>1508</v>
      </c>
    </row>
    <row r="858" ht="15.75" customHeight="1" spans="1:46">
      <c r="A858" t="s">
        <v>1550</v>
      </c>
      <c r="B858" t="s">
        <v>213</v>
      </c>
      <c r="C858" t="s">
        <v>1499</v>
      </c>
      <c r="D858" t="s">
        <v>1500</v>
      </c>
      <c r="E858" t="s">
        <v>1501</v>
      </c>
      <c r="F858" t="s">
        <v>1551</v>
      </c>
      <c r="H858" t="s">
        <v>55</v>
      </c>
      <c r="I858" t="s">
        <v>1519</v>
      </c>
      <c r="J858" t="s">
        <v>124</v>
      </c>
      <c r="K858" t="s">
        <v>1512</v>
      </c>
      <c r="L858" t="s">
        <v>1340</v>
      </c>
      <c r="M858" t="s">
        <v>1505</v>
      </c>
      <c r="Q858" t="s">
        <v>57</v>
      </c>
      <c r="Y858" t="s">
        <v>1557</v>
      </c>
      <c r="Z858">
        <v>8544</v>
      </c>
      <c r="AE858">
        <v>8805</v>
      </c>
      <c r="AF858" s="4">
        <v>0.44</v>
      </c>
      <c r="AG858">
        <f t="shared" si="87"/>
        <v>4930.8</v>
      </c>
      <c r="AH858" s="4">
        <v>0.18</v>
      </c>
      <c r="AI858">
        <f t="shared" si="82"/>
        <v>5818.34</v>
      </c>
      <c r="AJ858" s="4">
        <v>0.1</v>
      </c>
      <c r="AK858">
        <f t="shared" si="83"/>
        <v>581.83</v>
      </c>
      <c r="AL858">
        <f t="shared" si="84"/>
        <v>6400.17</v>
      </c>
      <c r="AM858">
        <f t="shared" si="85"/>
        <v>2404.83</v>
      </c>
      <c r="AN858" s="4">
        <f t="shared" si="86"/>
        <v>0.273120954003407</v>
      </c>
      <c r="AO858" t="s">
        <v>221</v>
      </c>
      <c r="AQ858" t="s">
        <v>217</v>
      </c>
      <c r="AT858" t="s">
        <v>1508</v>
      </c>
    </row>
    <row r="859" ht="15.75" customHeight="1" spans="1:46">
      <c r="A859" t="s">
        <v>1550</v>
      </c>
      <c r="B859" t="s">
        <v>1520</v>
      </c>
      <c r="C859" t="s">
        <v>1499</v>
      </c>
      <c r="D859" t="s">
        <v>1500</v>
      </c>
      <c r="E859" t="s">
        <v>1501</v>
      </c>
      <c r="F859" t="s">
        <v>1551</v>
      </c>
      <c r="H859" t="s">
        <v>55</v>
      </c>
      <c r="I859" t="s">
        <v>1519</v>
      </c>
      <c r="J859" t="s">
        <v>124</v>
      </c>
      <c r="K859" t="s">
        <v>1514</v>
      </c>
      <c r="L859" t="s">
        <v>1340</v>
      </c>
      <c r="M859" t="s">
        <v>1505</v>
      </c>
      <c r="Q859" t="s">
        <v>57</v>
      </c>
      <c r="Y859" t="s">
        <v>1558</v>
      </c>
      <c r="Z859">
        <v>8544</v>
      </c>
      <c r="AE859">
        <v>8805</v>
      </c>
      <c r="AF859" s="4">
        <v>0.44</v>
      </c>
      <c r="AG859">
        <f t="shared" si="87"/>
        <v>4930.8</v>
      </c>
      <c r="AH859" s="4">
        <v>0.18</v>
      </c>
      <c r="AI859">
        <f t="shared" si="82"/>
        <v>5818.34</v>
      </c>
      <c r="AJ859" s="4">
        <v>0.1</v>
      </c>
      <c r="AK859">
        <f t="shared" si="83"/>
        <v>581.83</v>
      </c>
      <c r="AL859">
        <f t="shared" si="84"/>
        <v>6400.17</v>
      </c>
      <c r="AM859">
        <f t="shared" si="85"/>
        <v>2404.83</v>
      </c>
      <c r="AN859" s="4">
        <f t="shared" si="86"/>
        <v>0.273120954003407</v>
      </c>
      <c r="AO859" t="s">
        <v>221</v>
      </c>
      <c r="AQ859" t="s">
        <v>217</v>
      </c>
      <c r="AT859" t="s">
        <v>1508</v>
      </c>
    </row>
    <row r="860" ht="15.75" customHeight="1" spans="1:46">
      <c r="A860" t="s">
        <v>1550</v>
      </c>
      <c r="B860" t="s">
        <v>1521</v>
      </c>
      <c r="C860" t="s">
        <v>1499</v>
      </c>
      <c r="D860" t="s">
        <v>1500</v>
      </c>
      <c r="E860" t="s">
        <v>1501</v>
      </c>
      <c r="F860" t="s">
        <v>1551</v>
      </c>
      <c r="H860" t="s">
        <v>55</v>
      </c>
      <c r="I860" t="s">
        <v>1522</v>
      </c>
      <c r="J860" t="s">
        <v>124</v>
      </c>
      <c r="K860" t="s">
        <v>1504</v>
      </c>
      <c r="L860" t="s">
        <v>1340</v>
      </c>
      <c r="M860" t="s">
        <v>1505</v>
      </c>
      <c r="Q860" t="s">
        <v>57</v>
      </c>
      <c r="R860" t="s">
        <v>1553</v>
      </c>
      <c r="Y860" t="s">
        <v>1554</v>
      </c>
      <c r="Z860">
        <v>8544</v>
      </c>
      <c r="AE860">
        <v>13540</v>
      </c>
      <c r="AF860" s="4">
        <v>0.44</v>
      </c>
      <c r="AG860">
        <f t="shared" si="87"/>
        <v>7582.4</v>
      </c>
      <c r="AH860" s="4">
        <v>0.18</v>
      </c>
      <c r="AI860">
        <f t="shared" si="82"/>
        <v>8947.23</v>
      </c>
      <c r="AJ860" s="4">
        <v>0.1</v>
      </c>
      <c r="AK860">
        <f t="shared" si="83"/>
        <v>894.72</v>
      </c>
      <c r="AL860">
        <f t="shared" si="84"/>
        <v>9841.95</v>
      </c>
      <c r="AM860">
        <f t="shared" si="85"/>
        <v>3698.05</v>
      </c>
      <c r="AN860" s="4">
        <f t="shared" si="86"/>
        <v>0.273120384047267</v>
      </c>
      <c r="AO860" t="s">
        <v>221</v>
      </c>
      <c r="AQ860" t="s">
        <v>217</v>
      </c>
      <c r="AT860" t="s">
        <v>1508</v>
      </c>
    </row>
    <row r="861" ht="15.75" customHeight="1" spans="1:46">
      <c r="A861" t="s">
        <v>1550</v>
      </c>
      <c r="B861" t="s">
        <v>1523</v>
      </c>
      <c r="C861" t="s">
        <v>1499</v>
      </c>
      <c r="D861" t="s">
        <v>1500</v>
      </c>
      <c r="E861" t="s">
        <v>1501</v>
      </c>
      <c r="F861" t="s">
        <v>1551</v>
      </c>
      <c r="H861" t="s">
        <v>55</v>
      </c>
      <c r="I861" t="s">
        <v>1522</v>
      </c>
      <c r="J861" t="s">
        <v>124</v>
      </c>
      <c r="K861" t="s">
        <v>909</v>
      </c>
      <c r="L861" t="s">
        <v>1340</v>
      </c>
      <c r="M861" t="s">
        <v>1505</v>
      </c>
      <c r="Q861" t="s">
        <v>57</v>
      </c>
      <c r="Y861" t="s">
        <v>1555</v>
      </c>
      <c r="Z861">
        <v>8544</v>
      </c>
      <c r="AE861">
        <v>13540</v>
      </c>
      <c r="AF861" s="4">
        <v>0.44</v>
      </c>
      <c r="AG861">
        <f t="shared" si="87"/>
        <v>7582.4</v>
      </c>
      <c r="AH861" s="4">
        <v>0.18</v>
      </c>
      <c r="AI861">
        <f t="shared" si="82"/>
        <v>8947.23</v>
      </c>
      <c r="AJ861" s="4">
        <v>0.1</v>
      </c>
      <c r="AK861">
        <f t="shared" si="83"/>
        <v>894.72</v>
      </c>
      <c r="AL861">
        <f t="shared" si="84"/>
        <v>9841.95</v>
      </c>
      <c r="AM861">
        <f t="shared" si="85"/>
        <v>3698.05</v>
      </c>
      <c r="AN861" s="4">
        <f t="shared" si="86"/>
        <v>0.273120384047267</v>
      </c>
      <c r="AO861" t="s">
        <v>221</v>
      </c>
      <c r="AQ861" t="s">
        <v>217</v>
      </c>
      <c r="AT861" t="s">
        <v>1508</v>
      </c>
    </row>
    <row r="862" ht="15.75" customHeight="1" spans="1:46">
      <c r="A862" t="s">
        <v>1550</v>
      </c>
      <c r="B862" t="s">
        <v>1524</v>
      </c>
      <c r="C862" t="s">
        <v>1499</v>
      </c>
      <c r="D862" t="s">
        <v>1500</v>
      </c>
      <c r="E862" t="s">
        <v>1501</v>
      </c>
      <c r="F862" t="s">
        <v>1551</v>
      </c>
      <c r="H862" t="s">
        <v>55</v>
      </c>
      <c r="I862" t="s">
        <v>1522</v>
      </c>
      <c r="J862" t="s">
        <v>124</v>
      </c>
      <c r="K862" t="s">
        <v>1510</v>
      </c>
      <c r="L862" t="s">
        <v>1340</v>
      </c>
      <c r="M862" t="s">
        <v>1505</v>
      </c>
      <c r="Q862" t="s">
        <v>57</v>
      </c>
      <c r="Y862" t="s">
        <v>1556</v>
      </c>
      <c r="Z862">
        <v>8544</v>
      </c>
      <c r="AE862">
        <v>13540</v>
      </c>
      <c r="AF862" s="4">
        <v>0.44</v>
      </c>
      <c r="AG862">
        <f t="shared" si="87"/>
        <v>7582.4</v>
      </c>
      <c r="AH862" s="4">
        <v>0.18</v>
      </c>
      <c r="AI862">
        <f t="shared" si="82"/>
        <v>8947.23</v>
      </c>
      <c r="AJ862" s="4">
        <v>0.1</v>
      </c>
      <c r="AK862">
        <f t="shared" si="83"/>
        <v>894.72</v>
      </c>
      <c r="AL862">
        <f t="shared" si="84"/>
        <v>9841.95</v>
      </c>
      <c r="AM862">
        <f t="shared" si="85"/>
        <v>3698.05</v>
      </c>
      <c r="AN862" s="4">
        <f t="shared" si="86"/>
        <v>0.273120384047267</v>
      </c>
      <c r="AO862" t="s">
        <v>221</v>
      </c>
      <c r="AQ862" t="s">
        <v>217</v>
      </c>
      <c r="AT862" t="s">
        <v>1508</v>
      </c>
    </row>
    <row r="863" ht="15.75" customHeight="1" spans="1:46">
      <c r="A863" t="s">
        <v>1550</v>
      </c>
      <c r="B863" t="s">
        <v>1525</v>
      </c>
      <c r="C863" t="s">
        <v>1499</v>
      </c>
      <c r="D863" t="s">
        <v>1500</v>
      </c>
      <c r="E863" t="s">
        <v>1501</v>
      </c>
      <c r="F863" t="s">
        <v>1551</v>
      </c>
      <c r="H863" t="s">
        <v>55</v>
      </c>
      <c r="I863" t="s">
        <v>1522</v>
      </c>
      <c r="J863" t="s">
        <v>124</v>
      </c>
      <c r="K863" t="s">
        <v>1512</v>
      </c>
      <c r="L863" t="s">
        <v>1340</v>
      </c>
      <c r="M863" t="s">
        <v>1505</v>
      </c>
      <c r="Q863" t="s">
        <v>57</v>
      </c>
      <c r="Y863" t="s">
        <v>1557</v>
      </c>
      <c r="Z863">
        <v>8544</v>
      </c>
      <c r="AE863">
        <v>13540</v>
      </c>
      <c r="AF863" s="4">
        <v>0.44</v>
      </c>
      <c r="AG863">
        <f t="shared" si="87"/>
        <v>7582.4</v>
      </c>
      <c r="AH863" s="4">
        <v>0.18</v>
      </c>
      <c r="AI863">
        <f t="shared" si="82"/>
        <v>8947.23</v>
      </c>
      <c r="AJ863" s="4">
        <v>0.1</v>
      </c>
      <c r="AK863">
        <f t="shared" si="83"/>
        <v>894.72</v>
      </c>
      <c r="AL863">
        <f t="shared" si="84"/>
        <v>9841.95</v>
      </c>
      <c r="AM863">
        <f t="shared" si="85"/>
        <v>3698.05</v>
      </c>
      <c r="AN863" s="4">
        <f t="shared" si="86"/>
        <v>0.273120384047267</v>
      </c>
      <c r="AO863" t="s">
        <v>221</v>
      </c>
      <c r="AQ863" t="s">
        <v>217</v>
      </c>
      <c r="AT863" t="s">
        <v>1508</v>
      </c>
    </row>
    <row r="864" ht="15.75" customHeight="1" spans="1:46">
      <c r="A864" t="s">
        <v>1550</v>
      </c>
      <c r="B864" t="s">
        <v>1526</v>
      </c>
      <c r="C864" t="s">
        <v>1499</v>
      </c>
      <c r="D864" t="s">
        <v>1500</v>
      </c>
      <c r="E864" t="s">
        <v>1501</v>
      </c>
      <c r="F864" t="s">
        <v>1551</v>
      </c>
      <c r="H864" t="s">
        <v>55</v>
      </c>
      <c r="I864" t="s">
        <v>1522</v>
      </c>
      <c r="J864" t="s">
        <v>124</v>
      </c>
      <c r="K864" t="s">
        <v>1514</v>
      </c>
      <c r="L864" t="s">
        <v>1340</v>
      </c>
      <c r="M864" t="s">
        <v>1505</v>
      </c>
      <c r="Q864" t="s">
        <v>57</v>
      </c>
      <c r="Y864" t="s">
        <v>1558</v>
      </c>
      <c r="Z864">
        <v>8544</v>
      </c>
      <c r="AE864">
        <v>13540</v>
      </c>
      <c r="AF864" s="4">
        <v>0.44</v>
      </c>
      <c r="AG864">
        <f t="shared" si="87"/>
        <v>7582.4</v>
      </c>
      <c r="AH864" s="4">
        <v>0.18</v>
      </c>
      <c r="AI864">
        <f t="shared" si="82"/>
        <v>8947.23</v>
      </c>
      <c r="AJ864" s="4">
        <v>0.1</v>
      </c>
      <c r="AK864">
        <f t="shared" si="83"/>
        <v>894.72</v>
      </c>
      <c r="AL864">
        <f t="shared" si="84"/>
        <v>9841.95</v>
      </c>
      <c r="AM864">
        <f t="shared" si="85"/>
        <v>3698.05</v>
      </c>
      <c r="AN864" s="4">
        <f t="shared" si="86"/>
        <v>0.273120384047267</v>
      </c>
      <c r="AO864" t="s">
        <v>221</v>
      </c>
      <c r="AQ864" t="s">
        <v>217</v>
      </c>
      <c r="AT864" t="s">
        <v>1508</v>
      </c>
    </row>
    <row r="865" ht="15.75" customHeight="1" spans="1:46">
      <c r="A865" t="s">
        <v>1550</v>
      </c>
      <c r="B865" t="s">
        <v>1535</v>
      </c>
      <c r="C865" t="s">
        <v>1499</v>
      </c>
      <c r="D865" t="s">
        <v>1500</v>
      </c>
      <c r="E865" t="s">
        <v>1501</v>
      </c>
      <c r="F865" t="s">
        <v>1551</v>
      </c>
      <c r="H865" t="s">
        <v>55</v>
      </c>
      <c r="I865" t="s">
        <v>1536</v>
      </c>
      <c r="J865" t="s">
        <v>124</v>
      </c>
      <c r="K865" t="s">
        <v>1504</v>
      </c>
      <c r="L865" t="s">
        <v>1340</v>
      </c>
      <c r="M865" t="s">
        <v>1505</v>
      </c>
      <c r="Q865" t="s">
        <v>57</v>
      </c>
      <c r="R865" t="s">
        <v>1553</v>
      </c>
      <c r="Y865" t="s">
        <v>1554</v>
      </c>
      <c r="Z865">
        <v>8544</v>
      </c>
      <c r="AE865">
        <v>24100</v>
      </c>
      <c r="AF865" s="4">
        <v>0.44</v>
      </c>
      <c r="AG865">
        <f t="shared" si="87"/>
        <v>13496</v>
      </c>
      <c r="AH865" s="4">
        <v>0.18</v>
      </c>
      <c r="AI865">
        <f t="shared" si="82"/>
        <v>15925.28</v>
      </c>
      <c r="AJ865" s="4">
        <v>0.1</v>
      </c>
      <c r="AK865">
        <f t="shared" si="83"/>
        <v>1592.53</v>
      </c>
      <c r="AL865">
        <f t="shared" si="84"/>
        <v>17517.81</v>
      </c>
      <c r="AM865">
        <f t="shared" si="85"/>
        <v>6582.19</v>
      </c>
      <c r="AN865" s="4">
        <f t="shared" si="86"/>
        <v>0.273119917012448</v>
      </c>
      <c r="AO865" t="s">
        <v>221</v>
      </c>
      <c r="AQ865" t="s">
        <v>217</v>
      </c>
      <c r="AT865" t="s">
        <v>1508</v>
      </c>
    </row>
    <row r="866" ht="15.75" customHeight="1" spans="1:46">
      <c r="A866" t="s">
        <v>1550</v>
      </c>
      <c r="B866" t="s">
        <v>1537</v>
      </c>
      <c r="C866" t="s">
        <v>1499</v>
      </c>
      <c r="D866" t="s">
        <v>1500</v>
      </c>
      <c r="E866" t="s">
        <v>1501</v>
      </c>
      <c r="F866" t="s">
        <v>1551</v>
      </c>
      <c r="H866" t="s">
        <v>55</v>
      </c>
      <c r="I866" t="s">
        <v>1536</v>
      </c>
      <c r="J866" t="s">
        <v>124</v>
      </c>
      <c r="K866" t="s">
        <v>909</v>
      </c>
      <c r="L866" t="s">
        <v>1340</v>
      </c>
      <c r="M866" t="s">
        <v>1505</v>
      </c>
      <c r="Q866" t="s">
        <v>57</v>
      </c>
      <c r="Y866" t="s">
        <v>1555</v>
      </c>
      <c r="Z866">
        <v>8544</v>
      </c>
      <c r="AE866">
        <v>24100</v>
      </c>
      <c r="AF866" s="4">
        <v>0.44</v>
      </c>
      <c r="AG866">
        <f t="shared" si="87"/>
        <v>13496</v>
      </c>
      <c r="AH866" s="4">
        <v>0.18</v>
      </c>
      <c r="AI866">
        <f t="shared" si="82"/>
        <v>15925.28</v>
      </c>
      <c r="AJ866" s="4">
        <v>0.1</v>
      </c>
      <c r="AK866">
        <f t="shared" si="83"/>
        <v>1592.53</v>
      </c>
      <c r="AL866">
        <f t="shared" si="84"/>
        <v>17517.81</v>
      </c>
      <c r="AM866">
        <f t="shared" si="85"/>
        <v>6582.19</v>
      </c>
      <c r="AN866" s="4">
        <f t="shared" si="86"/>
        <v>0.273119917012448</v>
      </c>
      <c r="AO866" t="s">
        <v>221</v>
      </c>
      <c r="AQ866" t="s">
        <v>217</v>
      </c>
      <c r="AT866" t="s">
        <v>1508</v>
      </c>
    </row>
    <row r="867" ht="15.75" customHeight="1" spans="1:46">
      <c r="A867" t="s">
        <v>1550</v>
      </c>
      <c r="B867" t="s">
        <v>1538</v>
      </c>
      <c r="C867" t="s">
        <v>1499</v>
      </c>
      <c r="D867" t="s">
        <v>1500</v>
      </c>
      <c r="E867" t="s">
        <v>1501</v>
      </c>
      <c r="F867" t="s">
        <v>1551</v>
      </c>
      <c r="H867" t="s">
        <v>55</v>
      </c>
      <c r="I867" t="s">
        <v>1536</v>
      </c>
      <c r="J867" t="s">
        <v>124</v>
      </c>
      <c r="K867" t="s">
        <v>1510</v>
      </c>
      <c r="L867" t="s">
        <v>1340</v>
      </c>
      <c r="M867" t="s">
        <v>1505</v>
      </c>
      <c r="Q867" t="s">
        <v>57</v>
      </c>
      <c r="Y867" t="s">
        <v>1556</v>
      </c>
      <c r="Z867">
        <v>8544</v>
      </c>
      <c r="AE867">
        <v>24100</v>
      </c>
      <c r="AF867" s="4">
        <v>0.44</v>
      </c>
      <c r="AG867">
        <f t="shared" si="87"/>
        <v>13496</v>
      </c>
      <c r="AH867" s="4">
        <v>0.18</v>
      </c>
      <c r="AI867">
        <f t="shared" si="82"/>
        <v>15925.28</v>
      </c>
      <c r="AJ867" s="4">
        <v>0.1</v>
      </c>
      <c r="AK867">
        <f t="shared" si="83"/>
        <v>1592.53</v>
      </c>
      <c r="AL867">
        <f t="shared" si="84"/>
        <v>17517.81</v>
      </c>
      <c r="AM867">
        <f t="shared" si="85"/>
        <v>6582.19</v>
      </c>
      <c r="AN867" s="4">
        <f t="shared" si="86"/>
        <v>0.273119917012448</v>
      </c>
      <c r="AO867" t="s">
        <v>221</v>
      </c>
      <c r="AQ867" t="s">
        <v>217</v>
      </c>
      <c r="AT867" t="s">
        <v>1508</v>
      </c>
    </row>
    <row r="868" ht="15.75" customHeight="1" spans="1:46">
      <c r="A868" t="s">
        <v>1550</v>
      </c>
      <c r="B868" t="s">
        <v>1539</v>
      </c>
      <c r="C868" t="s">
        <v>1499</v>
      </c>
      <c r="D868" t="s">
        <v>1500</v>
      </c>
      <c r="E868" t="s">
        <v>1501</v>
      </c>
      <c r="F868" t="s">
        <v>1551</v>
      </c>
      <c r="H868" t="s">
        <v>55</v>
      </c>
      <c r="I868" t="s">
        <v>1536</v>
      </c>
      <c r="J868" t="s">
        <v>124</v>
      </c>
      <c r="K868" t="s">
        <v>1512</v>
      </c>
      <c r="L868" t="s">
        <v>1340</v>
      </c>
      <c r="M868" t="s">
        <v>1505</v>
      </c>
      <c r="Q868" t="s">
        <v>57</v>
      </c>
      <c r="Y868" t="s">
        <v>1557</v>
      </c>
      <c r="Z868">
        <v>8544</v>
      </c>
      <c r="AE868">
        <v>24100</v>
      </c>
      <c r="AF868" s="4">
        <v>0.44</v>
      </c>
      <c r="AG868">
        <f t="shared" si="87"/>
        <v>13496</v>
      </c>
      <c r="AH868" s="4">
        <v>0.18</v>
      </c>
      <c r="AI868">
        <f t="shared" si="82"/>
        <v>15925.28</v>
      </c>
      <c r="AJ868" s="4">
        <v>0.1</v>
      </c>
      <c r="AK868">
        <f t="shared" si="83"/>
        <v>1592.53</v>
      </c>
      <c r="AL868">
        <f t="shared" si="84"/>
        <v>17517.81</v>
      </c>
      <c r="AM868">
        <f t="shared" si="85"/>
        <v>6582.19</v>
      </c>
      <c r="AN868" s="4">
        <f t="shared" si="86"/>
        <v>0.273119917012448</v>
      </c>
      <c r="AO868" t="s">
        <v>221</v>
      </c>
      <c r="AQ868" t="s">
        <v>217</v>
      </c>
      <c r="AT868" t="s">
        <v>1508</v>
      </c>
    </row>
    <row r="869" ht="15.75" customHeight="1" spans="1:46">
      <c r="A869" t="s">
        <v>1550</v>
      </c>
      <c r="B869" t="s">
        <v>1540</v>
      </c>
      <c r="C869" t="s">
        <v>1499</v>
      </c>
      <c r="D869" t="s">
        <v>1500</v>
      </c>
      <c r="E869" t="s">
        <v>1501</v>
      </c>
      <c r="F869" t="s">
        <v>1551</v>
      </c>
      <c r="H869" t="s">
        <v>55</v>
      </c>
      <c r="I869" t="s">
        <v>1536</v>
      </c>
      <c r="J869" t="s">
        <v>124</v>
      </c>
      <c r="K869" t="s">
        <v>1514</v>
      </c>
      <c r="L869" t="s">
        <v>1340</v>
      </c>
      <c r="M869" t="s">
        <v>1505</v>
      </c>
      <c r="Q869" t="s">
        <v>57</v>
      </c>
      <c r="Y869" t="s">
        <v>1558</v>
      </c>
      <c r="Z869">
        <v>8544</v>
      </c>
      <c r="AE869">
        <v>24100</v>
      </c>
      <c r="AF869" s="4">
        <v>0.44</v>
      </c>
      <c r="AG869">
        <f t="shared" si="87"/>
        <v>13496</v>
      </c>
      <c r="AH869" s="4">
        <v>0.18</v>
      </c>
      <c r="AI869">
        <f t="shared" si="82"/>
        <v>15925.28</v>
      </c>
      <c r="AJ869" s="4">
        <v>0.1</v>
      </c>
      <c r="AK869">
        <f t="shared" si="83"/>
        <v>1592.53</v>
      </c>
      <c r="AL869">
        <f t="shared" si="84"/>
        <v>17517.81</v>
      </c>
      <c r="AM869">
        <f t="shared" si="85"/>
        <v>6582.19</v>
      </c>
      <c r="AN869" s="4">
        <f t="shared" si="86"/>
        <v>0.273119917012448</v>
      </c>
      <c r="AO869" t="s">
        <v>221</v>
      </c>
      <c r="AQ869" t="s">
        <v>217</v>
      </c>
      <c r="AT869" t="s">
        <v>1508</v>
      </c>
    </row>
    <row r="870" ht="15.75" customHeight="1" spans="1:46">
      <c r="A870" t="s">
        <v>1550</v>
      </c>
      <c r="B870" t="s">
        <v>1541</v>
      </c>
      <c r="C870" t="s">
        <v>1499</v>
      </c>
      <c r="D870" t="s">
        <v>1500</v>
      </c>
      <c r="E870" t="s">
        <v>1501</v>
      </c>
      <c r="F870" t="s">
        <v>1551</v>
      </c>
      <c r="H870" t="s">
        <v>55</v>
      </c>
      <c r="I870" t="s">
        <v>1542</v>
      </c>
      <c r="J870" t="s">
        <v>124</v>
      </c>
      <c r="K870" t="s">
        <v>1504</v>
      </c>
      <c r="L870" t="s">
        <v>1340</v>
      </c>
      <c r="M870" t="s">
        <v>1505</v>
      </c>
      <c r="Q870" t="s">
        <v>57</v>
      </c>
      <c r="R870" t="s">
        <v>1553</v>
      </c>
      <c r="Y870" t="s">
        <v>1554</v>
      </c>
      <c r="Z870">
        <v>8544</v>
      </c>
      <c r="AE870">
        <v>38050</v>
      </c>
      <c r="AF870" s="4">
        <v>0.44</v>
      </c>
      <c r="AG870">
        <f t="shared" si="87"/>
        <v>21308</v>
      </c>
      <c r="AH870" s="4">
        <v>0.18</v>
      </c>
      <c r="AI870">
        <f t="shared" si="82"/>
        <v>25143.44</v>
      </c>
      <c r="AJ870" s="4">
        <v>0.1</v>
      </c>
      <c r="AK870">
        <f t="shared" si="83"/>
        <v>2514.34</v>
      </c>
      <c r="AL870">
        <f t="shared" si="84"/>
        <v>27657.78</v>
      </c>
      <c r="AM870">
        <f t="shared" si="85"/>
        <v>10392.22</v>
      </c>
      <c r="AN870" s="4">
        <f t="shared" si="86"/>
        <v>0.273120105124836</v>
      </c>
      <c r="AO870" t="s">
        <v>221</v>
      </c>
      <c r="AQ870" t="s">
        <v>217</v>
      </c>
      <c r="AT870" t="s">
        <v>1508</v>
      </c>
    </row>
    <row r="871" ht="15.75" customHeight="1" spans="1:46">
      <c r="A871" t="s">
        <v>1550</v>
      </c>
      <c r="B871" t="s">
        <v>1543</v>
      </c>
      <c r="C871" t="s">
        <v>1499</v>
      </c>
      <c r="D871" t="s">
        <v>1500</v>
      </c>
      <c r="E871" t="s">
        <v>1501</v>
      </c>
      <c r="F871" t="s">
        <v>1551</v>
      </c>
      <c r="H871" t="s">
        <v>55</v>
      </c>
      <c r="I871" t="s">
        <v>1542</v>
      </c>
      <c r="J871" t="s">
        <v>124</v>
      </c>
      <c r="K871" t="s">
        <v>909</v>
      </c>
      <c r="L871" t="s">
        <v>1340</v>
      </c>
      <c r="M871" t="s">
        <v>1505</v>
      </c>
      <c r="Q871" t="s">
        <v>57</v>
      </c>
      <c r="Y871" t="s">
        <v>1555</v>
      </c>
      <c r="Z871">
        <v>8544</v>
      </c>
      <c r="AE871">
        <v>38050</v>
      </c>
      <c r="AF871" s="4">
        <v>0.44</v>
      </c>
      <c r="AG871">
        <f t="shared" si="87"/>
        <v>21308</v>
      </c>
      <c r="AH871" s="4">
        <v>0.18</v>
      </c>
      <c r="AI871">
        <f t="shared" si="82"/>
        <v>25143.44</v>
      </c>
      <c r="AJ871" s="4">
        <v>0.1</v>
      </c>
      <c r="AK871">
        <f t="shared" si="83"/>
        <v>2514.34</v>
      </c>
      <c r="AL871">
        <f t="shared" si="84"/>
        <v>27657.78</v>
      </c>
      <c r="AM871">
        <f t="shared" si="85"/>
        <v>10392.22</v>
      </c>
      <c r="AN871" s="4">
        <f t="shared" si="86"/>
        <v>0.273120105124836</v>
      </c>
      <c r="AO871" t="s">
        <v>221</v>
      </c>
      <c r="AQ871" t="s">
        <v>217</v>
      </c>
      <c r="AT871" t="s">
        <v>1508</v>
      </c>
    </row>
    <row r="872" ht="15.75" customHeight="1" spans="1:46">
      <c r="A872" t="s">
        <v>1550</v>
      </c>
      <c r="B872" t="s">
        <v>1544</v>
      </c>
      <c r="C872" t="s">
        <v>1499</v>
      </c>
      <c r="D872" t="s">
        <v>1500</v>
      </c>
      <c r="E872" t="s">
        <v>1501</v>
      </c>
      <c r="F872" t="s">
        <v>1551</v>
      </c>
      <c r="H872" t="s">
        <v>55</v>
      </c>
      <c r="I872" t="s">
        <v>1542</v>
      </c>
      <c r="J872" t="s">
        <v>124</v>
      </c>
      <c r="K872" t="s">
        <v>1510</v>
      </c>
      <c r="L872" t="s">
        <v>1340</v>
      </c>
      <c r="M872" t="s">
        <v>1505</v>
      </c>
      <c r="Q872" t="s">
        <v>57</v>
      </c>
      <c r="Y872" t="s">
        <v>1556</v>
      </c>
      <c r="Z872">
        <v>8544</v>
      </c>
      <c r="AE872">
        <v>38050</v>
      </c>
      <c r="AF872" s="4">
        <v>0.44</v>
      </c>
      <c r="AG872">
        <f t="shared" si="87"/>
        <v>21308</v>
      </c>
      <c r="AH872" s="4">
        <v>0.18</v>
      </c>
      <c r="AI872">
        <f t="shared" si="82"/>
        <v>25143.44</v>
      </c>
      <c r="AJ872" s="4">
        <v>0.1</v>
      </c>
      <c r="AK872">
        <f t="shared" si="83"/>
        <v>2514.34</v>
      </c>
      <c r="AL872">
        <f t="shared" si="84"/>
        <v>27657.78</v>
      </c>
      <c r="AM872">
        <f t="shared" si="85"/>
        <v>10392.22</v>
      </c>
      <c r="AN872" s="4">
        <f t="shared" si="86"/>
        <v>0.273120105124836</v>
      </c>
      <c r="AO872" t="s">
        <v>221</v>
      </c>
      <c r="AQ872" t="s">
        <v>217</v>
      </c>
      <c r="AT872" t="s">
        <v>1508</v>
      </c>
    </row>
    <row r="873" ht="15.75" customHeight="1" spans="1:46">
      <c r="A873" t="s">
        <v>1550</v>
      </c>
      <c r="B873" t="s">
        <v>1545</v>
      </c>
      <c r="C873" t="s">
        <v>1499</v>
      </c>
      <c r="D873" t="s">
        <v>1500</v>
      </c>
      <c r="E873" t="s">
        <v>1501</v>
      </c>
      <c r="F873" t="s">
        <v>1551</v>
      </c>
      <c r="H873" t="s">
        <v>55</v>
      </c>
      <c r="I873" t="s">
        <v>1542</v>
      </c>
      <c r="J873" t="s">
        <v>124</v>
      </c>
      <c r="K873" t="s">
        <v>1512</v>
      </c>
      <c r="L873" t="s">
        <v>1340</v>
      </c>
      <c r="M873" t="s">
        <v>1505</v>
      </c>
      <c r="Q873" t="s">
        <v>57</v>
      </c>
      <c r="Y873" t="s">
        <v>1557</v>
      </c>
      <c r="Z873">
        <v>8544</v>
      </c>
      <c r="AE873">
        <v>38050</v>
      </c>
      <c r="AF873" s="4">
        <v>0.44</v>
      </c>
      <c r="AG873">
        <f t="shared" si="87"/>
        <v>21308</v>
      </c>
      <c r="AH873" s="4">
        <v>0.18</v>
      </c>
      <c r="AI873">
        <f t="shared" si="82"/>
        <v>25143.44</v>
      </c>
      <c r="AJ873" s="4">
        <v>0.1</v>
      </c>
      <c r="AK873">
        <f t="shared" si="83"/>
        <v>2514.34</v>
      </c>
      <c r="AL873">
        <f t="shared" si="84"/>
        <v>27657.78</v>
      </c>
      <c r="AM873">
        <f t="shared" si="85"/>
        <v>10392.22</v>
      </c>
      <c r="AN873" s="4">
        <f t="shared" si="86"/>
        <v>0.273120105124836</v>
      </c>
      <c r="AO873" t="s">
        <v>221</v>
      </c>
      <c r="AQ873" t="s">
        <v>217</v>
      </c>
      <c r="AT873" t="s">
        <v>1508</v>
      </c>
    </row>
    <row r="874" ht="15.75" customHeight="1" spans="1:46">
      <c r="A874" t="s">
        <v>1550</v>
      </c>
      <c r="B874" t="s">
        <v>1546</v>
      </c>
      <c r="C874" t="s">
        <v>1499</v>
      </c>
      <c r="D874" t="s">
        <v>1500</v>
      </c>
      <c r="E874" t="s">
        <v>1501</v>
      </c>
      <c r="F874" t="s">
        <v>1551</v>
      </c>
      <c r="H874" t="s">
        <v>55</v>
      </c>
      <c r="I874" t="s">
        <v>1542</v>
      </c>
      <c r="J874" t="s">
        <v>124</v>
      </c>
      <c r="K874" t="s">
        <v>1514</v>
      </c>
      <c r="L874" t="s">
        <v>1340</v>
      </c>
      <c r="M874" t="s">
        <v>1505</v>
      </c>
      <c r="Q874" t="s">
        <v>57</v>
      </c>
      <c r="Y874" t="s">
        <v>1558</v>
      </c>
      <c r="Z874">
        <v>8544</v>
      </c>
      <c r="AE874">
        <v>38050</v>
      </c>
      <c r="AF874" s="4">
        <v>0.44</v>
      </c>
      <c r="AG874">
        <f t="shared" si="87"/>
        <v>21308</v>
      </c>
      <c r="AH874" s="4">
        <v>0.18</v>
      </c>
      <c r="AI874">
        <f t="shared" si="82"/>
        <v>25143.44</v>
      </c>
      <c r="AJ874" s="4">
        <v>0.1</v>
      </c>
      <c r="AK874">
        <f t="shared" si="83"/>
        <v>2514.34</v>
      </c>
      <c r="AL874">
        <f t="shared" si="84"/>
        <v>27657.78</v>
      </c>
      <c r="AM874">
        <f t="shared" si="85"/>
        <v>10392.22</v>
      </c>
      <c r="AN874" s="4">
        <f t="shared" si="86"/>
        <v>0.273120105124836</v>
      </c>
      <c r="AO874" t="s">
        <v>221</v>
      </c>
      <c r="AQ874" t="s">
        <v>217</v>
      </c>
      <c r="AT874" t="s">
        <v>1508</v>
      </c>
    </row>
    <row r="875" ht="15.75" customHeight="1" spans="1:46">
      <c r="A875" t="s">
        <v>1559</v>
      </c>
      <c r="B875" t="s">
        <v>46</v>
      </c>
      <c r="C875" t="s">
        <v>1499</v>
      </c>
      <c r="D875" t="s">
        <v>1500</v>
      </c>
      <c r="E875" t="s">
        <v>1501</v>
      </c>
      <c r="F875" t="s">
        <v>1560</v>
      </c>
      <c r="H875" t="s">
        <v>55</v>
      </c>
      <c r="I875" t="s">
        <v>1516</v>
      </c>
      <c r="J875" t="s">
        <v>124</v>
      </c>
      <c r="K875" t="s">
        <v>1504</v>
      </c>
      <c r="L875" t="s">
        <v>1340</v>
      </c>
      <c r="M875" t="s">
        <v>1561</v>
      </c>
      <c r="Q875" t="s">
        <v>57</v>
      </c>
      <c r="R875" t="s">
        <v>1553</v>
      </c>
      <c r="Y875" t="s">
        <v>1554</v>
      </c>
      <c r="Z875">
        <v>8544</v>
      </c>
      <c r="AE875">
        <v>5960</v>
      </c>
      <c r="AF875" s="4">
        <v>0.44</v>
      </c>
      <c r="AG875">
        <f t="shared" si="87"/>
        <v>3337.6</v>
      </c>
      <c r="AH875" s="4">
        <v>0.18</v>
      </c>
      <c r="AI875">
        <f t="shared" si="82"/>
        <v>3938.37</v>
      </c>
      <c r="AJ875" s="4">
        <v>0.1</v>
      </c>
      <c r="AK875">
        <f t="shared" si="83"/>
        <v>393.84</v>
      </c>
      <c r="AL875">
        <f t="shared" si="84"/>
        <v>4332.21</v>
      </c>
      <c r="AM875">
        <f t="shared" si="85"/>
        <v>1627.79</v>
      </c>
      <c r="AN875" s="4">
        <f t="shared" si="86"/>
        <v>0.273119127516779</v>
      </c>
      <c r="AO875" t="s">
        <v>221</v>
      </c>
      <c r="AQ875" t="s">
        <v>217</v>
      </c>
      <c r="AT875" t="s">
        <v>1508</v>
      </c>
    </row>
    <row r="876" ht="15.75" customHeight="1" spans="1:46">
      <c r="A876" t="s">
        <v>1559</v>
      </c>
      <c r="B876" t="s">
        <v>67</v>
      </c>
      <c r="C876" t="s">
        <v>1499</v>
      </c>
      <c r="D876" t="s">
        <v>1500</v>
      </c>
      <c r="E876" t="s">
        <v>1501</v>
      </c>
      <c r="F876" t="s">
        <v>1560</v>
      </c>
      <c r="H876" t="s">
        <v>55</v>
      </c>
      <c r="I876" t="s">
        <v>1516</v>
      </c>
      <c r="J876" t="s">
        <v>124</v>
      </c>
      <c r="K876" t="s">
        <v>909</v>
      </c>
      <c r="L876" t="s">
        <v>1340</v>
      </c>
      <c r="M876" t="s">
        <v>1561</v>
      </c>
      <c r="Q876" t="s">
        <v>57</v>
      </c>
      <c r="Y876" t="s">
        <v>1555</v>
      </c>
      <c r="Z876">
        <v>8544</v>
      </c>
      <c r="AE876">
        <v>5960</v>
      </c>
      <c r="AF876" s="4">
        <v>0.44</v>
      </c>
      <c r="AG876">
        <f t="shared" si="87"/>
        <v>3337.6</v>
      </c>
      <c r="AH876" s="4">
        <v>0.18</v>
      </c>
      <c r="AI876">
        <f t="shared" si="82"/>
        <v>3938.37</v>
      </c>
      <c r="AJ876" s="4">
        <v>0.1</v>
      </c>
      <c r="AK876">
        <f t="shared" si="83"/>
        <v>393.84</v>
      </c>
      <c r="AL876">
        <f t="shared" si="84"/>
        <v>4332.21</v>
      </c>
      <c r="AM876">
        <f t="shared" si="85"/>
        <v>1627.79</v>
      </c>
      <c r="AN876" s="4">
        <f t="shared" si="86"/>
        <v>0.273119127516779</v>
      </c>
      <c r="AO876" t="s">
        <v>221</v>
      </c>
      <c r="AQ876" t="s">
        <v>217</v>
      </c>
      <c r="AT876" t="s">
        <v>1508</v>
      </c>
    </row>
    <row r="877" ht="15.75" customHeight="1" spans="1:46">
      <c r="A877" t="s">
        <v>1559</v>
      </c>
      <c r="B877" t="s">
        <v>71</v>
      </c>
      <c r="C877" t="s">
        <v>1499</v>
      </c>
      <c r="D877" t="s">
        <v>1500</v>
      </c>
      <c r="E877" t="s">
        <v>1501</v>
      </c>
      <c r="F877" t="s">
        <v>1560</v>
      </c>
      <c r="H877" t="s">
        <v>55</v>
      </c>
      <c r="I877" t="s">
        <v>1516</v>
      </c>
      <c r="J877" t="s">
        <v>124</v>
      </c>
      <c r="K877" t="s">
        <v>1510</v>
      </c>
      <c r="L877" t="s">
        <v>1340</v>
      </c>
      <c r="M877" t="s">
        <v>1561</v>
      </c>
      <c r="Q877" t="s">
        <v>57</v>
      </c>
      <c r="Y877" t="s">
        <v>1556</v>
      </c>
      <c r="Z877">
        <v>8544</v>
      </c>
      <c r="AE877">
        <v>5960</v>
      </c>
      <c r="AF877" s="4">
        <v>0.44</v>
      </c>
      <c r="AG877">
        <f t="shared" si="87"/>
        <v>3337.6</v>
      </c>
      <c r="AH877" s="4">
        <v>0.18</v>
      </c>
      <c r="AI877">
        <f t="shared" si="82"/>
        <v>3938.37</v>
      </c>
      <c r="AJ877" s="4">
        <v>0.1</v>
      </c>
      <c r="AK877">
        <f t="shared" si="83"/>
        <v>393.84</v>
      </c>
      <c r="AL877">
        <f t="shared" si="84"/>
        <v>4332.21</v>
      </c>
      <c r="AM877">
        <f t="shared" si="85"/>
        <v>1627.79</v>
      </c>
      <c r="AN877" s="4">
        <f t="shared" si="86"/>
        <v>0.273119127516779</v>
      </c>
      <c r="AO877" t="s">
        <v>221</v>
      </c>
      <c r="AQ877" t="s">
        <v>217</v>
      </c>
      <c r="AT877" t="s">
        <v>1508</v>
      </c>
    </row>
    <row r="878" ht="15.75" customHeight="1" spans="1:46">
      <c r="A878" t="s">
        <v>1559</v>
      </c>
      <c r="B878" t="s">
        <v>75</v>
      </c>
      <c r="C878" t="s">
        <v>1499</v>
      </c>
      <c r="D878" t="s">
        <v>1500</v>
      </c>
      <c r="E878" t="s">
        <v>1501</v>
      </c>
      <c r="F878" t="s">
        <v>1560</v>
      </c>
      <c r="H878" t="s">
        <v>55</v>
      </c>
      <c r="I878" t="s">
        <v>1516</v>
      </c>
      <c r="J878" t="s">
        <v>124</v>
      </c>
      <c r="K878" t="s">
        <v>1512</v>
      </c>
      <c r="L878" t="s">
        <v>1340</v>
      </c>
      <c r="M878" t="s">
        <v>1561</v>
      </c>
      <c r="Q878" t="s">
        <v>57</v>
      </c>
      <c r="Y878" t="s">
        <v>1557</v>
      </c>
      <c r="Z878">
        <v>8544</v>
      </c>
      <c r="AE878">
        <v>5960</v>
      </c>
      <c r="AF878" s="4">
        <v>0.44</v>
      </c>
      <c r="AG878">
        <f t="shared" si="87"/>
        <v>3337.6</v>
      </c>
      <c r="AH878" s="4">
        <v>0.18</v>
      </c>
      <c r="AI878">
        <f t="shared" si="82"/>
        <v>3938.37</v>
      </c>
      <c r="AJ878" s="4">
        <v>0.1</v>
      </c>
      <c r="AK878">
        <f t="shared" si="83"/>
        <v>393.84</v>
      </c>
      <c r="AL878">
        <f t="shared" si="84"/>
        <v>4332.21</v>
      </c>
      <c r="AM878">
        <f t="shared" si="85"/>
        <v>1627.79</v>
      </c>
      <c r="AN878" s="4">
        <f t="shared" si="86"/>
        <v>0.273119127516779</v>
      </c>
      <c r="AO878" t="s">
        <v>221</v>
      </c>
      <c r="AQ878" t="s">
        <v>217</v>
      </c>
      <c r="AT878" t="s">
        <v>1508</v>
      </c>
    </row>
    <row r="879" ht="15.75" customHeight="1" spans="1:46">
      <c r="A879" t="s">
        <v>1559</v>
      </c>
      <c r="B879" t="s">
        <v>79</v>
      </c>
      <c r="C879" t="s">
        <v>1499</v>
      </c>
      <c r="D879" t="s">
        <v>1500</v>
      </c>
      <c r="E879" t="s">
        <v>1501</v>
      </c>
      <c r="F879" t="s">
        <v>1560</v>
      </c>
      <c r="H879" t="s">
        <v>55</v>
      </c>
      <c r="I879" t="s">
        <v>1516</v>
      </c>
      <c r="J879" t="s">
        <v>124</v>
      </c>
      <c r="K879" t="s">
        <v>1514</v>
      </c>
      <c r="L879" t="s">
        <v>1340</v>
      </c>
      <c r="M879" t="s">
        <v>1561</v>
      </c>
      <c r="Q879" t="s">
        <v>57</v>
      </c>
      <c r="Y879" t="s">
        <v>1558</v>
      </c>
      <c r="Z879">
        <v>8544</v>
      </c>
      <c r="AE879">
        <v>5960</v>
      </c>
      <c r="AF879" s="4">
        <v>0.44</v>
      </c>
      <c r="AG879">
        <f t="shared" si="87"/>
        <v>3337.6</v>
      </c>
      <c r="AH879" s="4">
        <v>0.18</v>
      </c>
      <c r="AI879">
        <f t="shared" si="82"/>
        <v>3938.37</v>
      </c>
      <c r="AJ879" s="4">
        <v>0.1</v>
      </c>
      <c r="AK879">
        <f t="shared" si="83"/>
        <v>393.84</v>
      </c>
      <c r="AL879">
        <f t="shared" si="84"/>
        <v>4332.21</v>
      </c>
      <c r="AM879">
        <f t="shared" si="85"/>
        <v>1627.79</v>
      </c>
      <c r="AN879" s="4">
        <f t="shared" si="86"/>
        <v>0.273119127516779</v>
      </c>
      <c r="AO879" t="s">
        <v>221</v>
      </c>
      <c r="AQ879" t="s">
        <v>217</v>
      </c>
      <c r="AT879" t="s">
        <v>1508</v>
      </c>
    </row>
    <row r="880" ht="15.75" customHeight="1" spans="1:46">
      <c r="A880" t="s">
        <v>1559</v>
      </c>
      <c r="B880" t="s">
        <v>83</v>
      </c>
      <c r="C880" t="s">
        <v>1499</v>
      </c>
      <c r="D880" t="s">
        <v>1500</v>
      </c>
      <c r="E880" t="s">
        <v>1501</v>
      </c>
      <c r="F880" t="s">
        <v>1560</v>
      </c>
      <c r="H880" t="s">
        <v>55</v>
      </c>
      <c r="I880" t="s">
        <v>1517</v>
      </c>
      <c r="J880" t="s">
        <v>124</v>
      </c>
      <c r="K880" t="s">
        <v>1504</v>
      </c>
      <c r="L880" t="s">
        <v>1340</v>
      </c>
      <c r="M880" t="s">
        <v>1561</v>
      </c>
      <c r="Q880" t="s">
        <v>57</v>
      </c>
      <c r="R880" t="s">
        <v>1553</v>
      </c>
      <c r="Y880" t="s">
        <v>1554</v>
      </c>
      <c r="Z880">
        <v>8544</v>
      </c>
      <c r="AE880">
        <v>8700</v>
      </c>
      <c r="AF880" s="4">
        <v>0.44</v>
      </c>
      <c r="AG880">
        <f t="shared" si="87"/>
        <v>4872</v>
      </c>
      <c r="AH880" s="4">
        <v>0.18</v>
      </c>
      <c r="AI880">
        <f t="shared" si="82"/>
        <v>5748.96</v>
      </c>
      <c r="AJ880" s="4">
        <v>0.1</v>
      </c>
      <c r="AK880">
        <f t="shared" si="83"/>
        <v>574.9</v>
      </c>
      <c r="AL880">
        <f t="shared" si="84"/>
        <v>6323.86</v>
      </c>
      <c r="AM880">
        <f t="shared" si="85"/>
        <v>2376.14</v>
      </c>
      <c r="AN880" s="4">
        <f t="shared" si="86"/>
        <v>0.273119540229885</v>
      </c>
      <c r="AO880" t="s">
        <v>221</v>
      </c>
      <c r="AQ880" t="s">
        <v>217</v>
      </c>
      <c r="AT880" t="s">
        <v>1508</v>
      </c>
    </row>
    <row r="881" ht="15.75" customHeight="1" spans="1:46">
      <c r="A881" t="s">
        <v>1559</v>
      </c>
      <c r="B881" t="s">
        <v>131</v>
      </c>
      <c r="C881" t="s">
        <v>1499</v>
      </c>
      <c r="D881" t="s">
        <v>1500</v>
      </c>
      <c r="E881" t="s">
        <v>1501</v>
      </c>
      <c r="F881" t="s">
        <v>1560</v>
      </c>
      <c r="H881" t="s">
        <v>55</v>
      </c>
      <c r="I881" t="s">
        <v>1517</v>
      </c>
      <c r="J881" t="s">
        <v>124</v>
      </c>
      <c r="K881" t="s">
        <v>909</v>
      </c>
      <c r="L881" t="s">
        <v>1340</v>
      </c>
      <c r="M881" t="s">
        <v>1561</v>
      </c>
      <c r="Q881" t="s">
        <v>57</v>
      </c>
      <c r="Y881" t="s">
        <v>1555</v>
      </c>
      <c r="Z881">
        <v>8544</v>
      </c>
      <c r="AE881">
        <v>8700</v>
      </c>
      <c r="AF881" s="4">
        <v>0.44</v>
      </c>
      <c r="AG881">
        <f t="shared" si="87"/>
        <v>4872</v>
      </c>
      <c r="AH881" s="4">
        <v>0.18</v>
      </c>
      <c r="AI881">
        <f t="shared" si="82"/>
        <v>5748.96</v>
      </c>
      <c r="AJ881" s="4">
        <v>0.1</v>
      </c>
      <c r="AK881">
        <f t="shared" si="83"/>
        <v>574.9</v>
      </c>
      <c r="AL881">
        <f t="shared" si="84"/>
        <v>6323.86</v>
      </c>
      <c r="AM881">
        <f t="shared" si="85"/>
        <v>2376.14</v>
      </c>
      <c r="AN881" s="4">
        <f t="shared" si="86"/>
        <v>0.273119540229885</v>
      </c>
      <c r="AO881" t="s">
        <v>221</v>
      </c>
      <c r="AQ881" t="s">
        <v>217</v>
      </c>
      <c r="AT881" t="s">
        <v>1508</v>
      </c>
    </row>
    <row r="882" ht="15.75" customHeight="1" spans="1:46">
      <c r="A882" t="s">
        <v>1559</v>
      </c>
      <c r="B882" t="s">
        <v>133</v>
      </c>
      <c r="C882" t="s">
        <v>1499</v>
      </c>
      <c r="D882" t="s">
        <v>1500</v>
      </c>
      <c r="E882" t="s">
        <v>1501</v>
      </c>
      <c r="F882" t="s">
        <v>1560</v>
      </c>
      <c r="H882" t="s">
        <v>55</v>
      </c>
      <c r="I882" t="s">
        <v>1517</v>
      </c>
      <c r="J882" t="s">
        <v>124</v>
      </c>
      <c r="K882" t="s">
        <v>1510</v>
      </c>
      <c r="L882" t="s">
        <v>1340</v>
      </c>
      <c r="M882" t="s">
        <v>1561</v>
      </c>
      <c r="Q882" t="s">
        <v>57</v>
      </c>
      <c r="Y882" t="s">
        <v>1556</v>
      </c>
      <c r="Z882">
        <v>8544</v>
      </c>
      <c r="AE882">
        <v>8700</v>
      </c>
      <c r="AF882" s="4">
        <v>0.44</v>
      </c>
      <c r="AG882">
        <f t="shared" si="87"/>
        <v>4872</v>
      </c>
      <c r="AH882" s="4">
        <v>0.18</v>
      </c>
      <c r="AI882">
        <f t="shared" si="82"/>
        <v>5748.96</v>
      </c>
      <c r="AJ882" s="4">
        <v>0.1</v>
      </c>
      <c r="AK882">
        <f t="shared" si="83"/>
        <v>574.9</v>
      </c>
      <c r="AL882">
        <f t="shared" si="84"/>
        <v>6323.86</v>
      </c>
      <c r="AM882">
        <f t="shared" si="85"/>
        <v>2376.14</v>
      </c>
      <c r="AN882" s="4">
        <f t="shared" si="86"/>
        <v>0.273119540229885</v>
      </c>
      <c r="AO882" t="s">
        <v>221</v>
      </c>
      <c r="AQ882" t="s">
        <v>217</v>
      </c>
      <c r="AT882" t="s">
        <v>1508</v>
      </c>
    </row>
    <row r="883" ht="15.75" customHeight="1" spans="1:46">
      <c r="A883" t="s">
        <v>1559</v>
      </c>
      <c r="B883" t="s">
        <v>135</v>
      </c>
      <c r="C883" t="s">
        <v>1499</v>
      </c>
      <c r="D883" t="s">
        <v>1500</v>
      </c>
      <c r="E883" t="s">
        <v>1501</v>
      </c>
      <c r="F883" t="s">
        <v>1560</v>
      </c>
      <c r="H883" t="s">
        <v>55</v>
      </c>
      <c r="I883" t="s">
        <v>1517</v>
      </c>
      <c r="J883" t="s">
        <v>124</v>
      </c>
      <c r="K883" t="s">
        <v>1512</v>
      </c>
      <c r="L883" t="s">
        <v>1340</v>
      </c>
      <c r="M883" t="s">
        <v>1561</v>
      </c>
      <c r="Q883" t="s">
        <v>57</v>
      </c>
      <c r="Y883" t="s">
        <v>1557</v>
      </c>
      <c r="Z883">
        <v>8544</v>
      </c>
      <c r="AE883">
        <v>8700</v>
      </c>
      <c r="AF883" s="4">
        <v>0.44</v>
      </c>
      <c r="AG883">
        <f t="shared" si="87"/>
        <v>4872</v>
      </c>
      <c r="AH883" s="4">
        <v>0.18</v>
      </c>
      <c r="AI883">
        <f t="shared" si="82"/>
        <v>5748.96</v>
      </c>
      <c r="AJ883" s="4">
        <v>0.1</v>
      </c>
      <c r="AK883">
        <f t="shared" si="83"/>
        <v>574.9</v>
      </c>
      <c r="AL883">
        <f t="shared" si="84"/>
        <v>6323.86</v>
      </c>
      <c r="AM883">
        <f t="shared" si="85"/>
        <v>2376.14</v>
      </c>
      <c r="AN883" s="4">
        <f t="shared" si="86"/>
        <v>0.273119540229885</v>
      </c>
      <c r="AO883" t="s">
        <v>221</v>
      </c>
      <c r="AQ883" t="s">
        <v>217</v>
      </c>
      <c r="AT883" t="s">
        <v>1508</v>
      </c>
    </row>
    <row r="884" ht="15.75" customHeight="1" spans="1:46">
      <c r="A884" t="s">
        <v>1559</v>
      </c>
      <c r="B884" t="s">
        <v>137</v>
      </c>
      <c r="C884" t="s">
        <v>1499</v>
      </c>
      <c r="D884" t="s">
        <v>1500</v>
      </c>
      <c r="E884" t="s">
        <v>1501</v>
      </c>
      <c r="F884" t="s">
        <v>1560</v>
      </c>
      <c r="H884" t="s">
        <v>55</v>
      </c>
      <c r="I884" t="s">
        <v>1517</v>
      </c>
      <c r="J884" t="s">
        <v>124</v>
      </c>
      <c r="K884" t="s">
        <v>1514</v>
      </c>
      <c r="L884" t="s">
        <v>1340</v>
      </c>
      <c r="M884" t="s">
        <v>1561</v>
      </c>
      <c r="Q884" t="s">
        <v>57</v>
      </c>
      <c r="Y884" t="s">
        <v>1558</v>
      </c>
      <c r="Z884">
        <v>8544</v>
      </c>
      <c r="AE884">
        <v>8700</v>
      </c>
      <c r="AF884" s="4">
        <v>0.44</v>
      </c>
      <c r="AG884">
        <f t="shared" si="87"/>
        <v>4872</v>
      </c>
      <c r="AH884" s="4">
        <v>0.18</v>
      </c>
      <c r="AI884">
        <f t="shared" si="82"/>
        <v>5748.96</v>
      </c>
      <c r="AJ884" s="4">
        <v>0.1</v>
      </c>
      <c r="AK884">
        <f t="shared" si="83"/>
        <v>574.9</v>
      </c>
      <c r="AL884">
        <f t="shared" si="84"/>
        <v>6323.86</v>
      </c>
      <c r="AM884">
        <f t="shared" si="85"/>
        <v>2376.14</v>
      </c>
      <c r="AN884" s="4">
        <f t="shared" si="86"/>
        <v>0.273119540229885</v>
      </c>
      <c r="AO884" t="s">
        <v>221</v>
      </c>
      <c r="AQ884" t="s">
        <v>217</v>
      </c>
      <c r="AT884" t="s">
        <v>1508</v>
      </c>
    </row>
    <row r="885" ht="15.75" customHeight="1" spans="1:46">
      <c r="A885" t="s">
        <v>1559</v>
      </c>
      <c r="B885" t="s">
        <v>138</v>
      </c>
      <c r="C885" t="s">
        <v>1499</v>
      </c>
      <c r="D885" t="s">
        <v>1500</v>
      </c>
      <c r="E885" t="s">
        <v>1501</v>
      </c>
      <c r="F885" t="s">
        <v>1560</v>
      </c>
      <c r="H885" t="s">
        <v>55</v>
      </c>
      <c r="I885" t="s">
        <v>1518</v>
      </c>
      <c r="J885" t="s">
        <v>124</v>
      </c>
      <c r="K885" t="s">
        <v>1504</v>
      </c>
      <c r="L885" t="s">
        <v>1340</v>
      </c>
      <c r="M885" t="s">
        <v>1561</v>
      </c>
      <c r="Q885" t="s">
        <v>57</v>
      </c>
      <c r="R885" t="s">
        <v>1553</v>
      </c>
      <c r="Y885" t="s">
        <v>1554</v>
      </c>
      <c r="Z885">
        <v>8544</v>
      </c>
      <c r="AE885">
        <v>13650</v>
      </c>
      <c r="AF885" s="4">
        <v>0.44</v>
      </c>
      <c r="AG885">
        <f t="shared" si="87"/>
        <v>7644</v>
      </c>
      <c r="AH885" s="4">
        <v>0.18</v>
      </c>
      <c r="AI885">
        <f t="shared" si="82"/>
        <v>9019.92</v>
      </c>
      <c r="AJ885" s="4">
        <v>0.1</v>
      </c>
      <c r="AK885">
        <f t="shared" si="83"/>
        <v>901.99</v>
      </c>
      <c r="AL885">
        <f t="shared" si="84"/>
        <v>9921.91</v>
      </c>
      <c r="AM885">
        <f t="shared" si="85"/>
        <v>3728.09</v>
      </c>
      <c r="AN885" s="4">
        <f t="shared" si="86"/>
        <v>0.273120146520147</v>
      </c>
      <c r="AO885" t="s">
        <v>221</v>
      </c>
      <c r="AQ885" t="s">
        <v>217</v>
      </c>
      <c r="AT885" t="s">
        <v>1508</v>
      </c>
    </row>
    <row r="886" ht="15.75" customHeight="1" spans="1:46">
      <c r="A886" t="s">
        <v>1559</v>
      </c>
      <c r="B886" t="s">
        <v>140</v>
      </c>
      <c r="C886" t="s">
        <v>1499</v>
      </c>
      <c r="D886" t="s">
        <v>1500</v>
      </c>
      <c r="E886" t="s">
        <v>1501</v>
      </c>
      <c r="F886" t="s">
        <v>1560</v>
      </c>
      <c r="H886" t="s">
        <v>55</v>
      </c>
      <c r="I886" t="s">
        <v>1518</v>
      </c>
      <c r="J886" t="s">
        <v>124</v>
      </c>
      <c r="K886" t="s">
        <v>909</v>
      </c>
      <c r="L886" t="s">
        <v>1340</v>
      </c>
      <c r="M886" t="s">
        <v>1561</v>
      </c>
      <c r="Q886" t="s">
        <v>57</v>
      </c>
      <c r="Y886" t="s">
        <v>1555</v>
      </c>
      <c r="Z886">
        <v>8544</v>
      </c>
      <c r="AE886">
        <v>13650</v>
      </c>
      <c r="AF886" s="4">
        <v>0.44</v>
      </c>
      <c r="AG886">
        <f t="shared" si="87"/>
        <v>7644</v>
      </c>
      <c r="AH886" s="4">
        <v>0.18</v>
      </c>
      <c r="AI886">
        <f t="shared" si="82"/>
        <v>9019.92</v>
      </c>
      <c r="AJ886" s="4">
        <v>0.1</v>
      </c>
      <c r="AK886">
        <f t="shared" si="83"/>
        <v>901.99</v>
      </c>
      <c r="AL886">
        <f t="shared" si="84"/>
        <v>9921.91</v>
      </c>
      <c r="AM886">
        <f t="shared" si="85"/>
        <v>3728.09</v>
      </c>
      <c r="AN886" s="4">
        <f t="shared" si="86"/>
        <v>0.273120146520147</v>
      </c>
      <c r="AO886" t="s">
        <v>221</v>
      </c>
      <c r="AQ886" t="s">
        <v>217</v>
      </c>
      <c r="AT886" t="s">
        <v>1508</v>
      </c>
    </row>
    <row r="887" ht="15.75" customHeight="1" spans="1:46">
      <c r="A887" t="s">
        <v>1559</v>
      </c>
      <c r="B887" t="s">
        <v>202</v>
      </c>
      <c r="C887" t="s">
        <v>1499</v>
      </c>
      <c r="D887" t="s">
        <v>1500</v>
      </c>
      <c r="E887" t="s">
        <v>1501</v>
      </c>
      <c r="F887" t="s">
        <v>1560</v>
      </c>
      <c r="H887" t="s">
        <v>55</v>
      </c>
      <c r="I887" t="s">
        <v>1518</v>
      </c>
      <c r="J887" t="s">
        <v>124</v>
      </c>
      <c r="K887" t="s">
        <v>1510</v>
      </c>
      <c r="L887" t="s">
        <v>1340</v>
      </c>
      <c r="M887" t="s">
        <v>1561</v>
      </c>
      <c r="Q887" t="s">
        <v>57</v>
      </c>
      <c r="Y887" t="s">
        <v>1556</v>
      </c>
      <c r="Z887">
        <v>8544</v>
      </c>
      <c r="AE887">
        <v>13650</v>
      </c>
      <c r="AF887" s="4">
        <v>0.44</v>
      </c>
      <c r="AG887">
        <f t="shared" si="87"/>
        <v>7644</v>
      </c>
      <c r="AH887" s="4">
        <v>0.18</v>
      </c>
      <c r="AI887">
        <f t="shared" si="82"/>
        <v>9019.92</v>
      </c>
      <c r="AJ887" s="4">
        <v>0.1</v>
      </c>
      <c r="AK887">
        <f t="shared" si="83"/>
        <v>901.99</v>
      </c>
      <c r="AL887">
        <f t="shared" si="84"/>
        <v>9921.91</v>
      </c>
      <c r="AM887">
        <f t="shared" si="85"/>
        <v>3728.09</v>
      </c>
      <c r="AN887" s="4">
        <f t="shared" si="86"/>
        <v>0.273120146520147</v>
      </c>
      <c r="AO887" t="s">
        <v>221</v>
      </c>
      <c r="AQ887" t="s">
        <v>217</v>
      </c>
      <c r="AT887" t="s">
        <v>1508</v>
      </c>
    </row>
    <row r="888" ht="15.75" customHeight="1" spans="1:46">
      <c r="A888" t="s">
        <v>1559</v>
      </c>
      <c r="B888" t="s">
        <v>203</v>
      </c>
      <c r="C888" t="s">
        <v>1499</v>
      </c>
      <c r="D888" t="s">
        <v>1500</v>
      </c>
      <c r="E888" t="s">
        <v>1501</v>
      </c>
      <c r="F888" t="s">
        <v>1560</v>
      </c>
      <c r="H888" t="s">
        <v>55</v>
      </c>
      <c r="I888" t="s">
        <v>1518</v>
      </c>
      <c r="J888" t="s">
        <v>124</v>
      </c>
      <c r="K888" t="s">
        <v>1512</v>
      </c>
      <c r="L888" t="s">
        <v>1340</v>
      </c>
      <c r="M888" t="s">
        <v>1561</v>
      </c>
      <c r="Q888" t="s">
        <v>57</v>
      </c>
      <c r="Y888" t="s">
        <v>1557</v>
      </c>
      <c r="Z888">
        <v>8544</v>
      </c>
      <c r="AE888">
        <v>13650</v>
      </c>
      <c r="AF888" s="4">
        <v>0.44</v>
      </c>
      <c r="AG888">
        <f t="shared" si="87"/>
        <v>7644</v>
      </c>
      <c r="AH888" s="4">
        <v>0.18</v>
      </c>
      <c r="AI888">
        <f t="shared" si="82"/>
        <v>9019.92</v>
      </c>
      <c r="AJ888" s="4">
        <v>0.1</v>
      </c>
      <c r="AK888">
        <f t="shared" si="83"/>
        <v>901.99</v>
      </c>
      <c r="AL888">
        <f t="shared" si="84"/>
        <v>9921.91</v>
      </c>
      <c r="AM888">
        <f t="shared" si="85"/>
        <v>3728.09</v>
      </c>
      <c r="AN888" s="4">
        <f t="shared" si="86"/>
        <v>0.273120146520147</v>
      </c>
      <c r="AO888" t="s">
        <v>221</v>
      </c>
      <c r="AQ888" t="s">
        <v>217</v>
      </c>
      <c r="AT888" t="s">
        <v>1508</v>
      </c>
    </row>
    <row r="889" ht="15.75" customHeight="1" spans="1:46">
      <c r="A889" t="s">
        <v>1559</v>
      </c>
      <c r="B889" t="s">
        <v>204</v>
      </c>
      <c r="C889" t="s">
        <v>1499</v>
      </c>
      <c r="D889" t="s">
        <v>1500</v>
      </c>
      <c r="E889" t="s">
        <v>1501</v>
      </c>
      <c r="F889" t="s">
        <v>1560</v>
      </c>
      <c r="H889" t="s">
        <v>55</v>
      </c>
      <c r="I889" t="s">
        <v>1518</v>
      </c>
      <c r="J889" t="s">
        <v>124</v>
      </c>
      <c r="K889" t="s">
        <v>1514</v>
      </c>
      <c r="L889" t="s">
        <v>1340</v>
      </c>
      <c r="M889" t="s">
        <v>1561</v>
      </c>
      <c r="Q889" t="s">
        <v>57</v>
      </c>
      <c r="Y889" t="s">
        <v>1558</v>
      </c>
      <c r="Z889">
        <v>8544</v>
      </c>
      <c r="AE889">
        <v>13650</v>
      </c>
      <c r="AF889" s="4">
        <v>0.44</v>
      </c>
      <c r="AG889">
        <f t="shared" si="87"/>
        <v>7644</v>
      </c>
      <c r="AH889" s="4">
        <v>0.18</v>
      </c>
      <c r="AI889">
        <f t="shared" si="82"/>
        <v>9019.92</v>
      </c>
      <c r="AJ889" s="4">
        <v>0.1</v>
      </c>
      <c r="AK889">
        <f t="shared" si="83"/>
        <v>901.99</v>
      </c>
      <c r="AL889">
        <f t="shared" si="84"/>
        <v>9921.91</v>
      </c>
      <c r="AM889">
        <f t="shared" si="85"/>
        <v>3728.09</v>
      </c>
      <c r="AN889" s="4">
        <f t="shared" si="86"/>
        <v>0.273120146520147</v>
      </c>
      <c r="AO889" t="s">
        <v>221</v>
      </c>
      <c r="AQ889" t="s">
        <v>217</v>
      </c>
      <c r="AT889" t="s">
        <v>1508</v>
      </c>
    </row>
    <row r="890" ht="15.75" customHeight="1" spans="1:46">
      <c r="A890" t="s">
        <v>1559</v>
      </c>
      <c r="B890" t="s">
        <v>205</v>
      </c>
      <c r="C890" t="s">
        <v>1499</v>
      </c>
      <c r="D890" t="s">
        <v>1500</v>
      </c>
      <c r="E890" t="s">
        <v>1501</v>
      </c>
      <c r="F890" t="s">
        <v>1560</v>
      </c>
      <c r="H890" t="s">
        <v>55</v>
      </c>
      <c r="I890" t="s">
        <v>1519</v>
      </c>
      <c r="J890" t="s">
        <v>124</v>
      </c>
      <c r="K890" t="s">
        <v>1504</v>
      </c>
      <c r="L890" t="s">
        <v>1340</v>
      </c>
      <c r="M890" t="s">
        <v>1561</v>
      </c>
      <c r="Q890" t="s">
        <v>57</v>
      </c>
      <c r="R890" t="s">
        <v>1553</v>
      </c>
      <c r="Y890" t="s">
        <v>1554</v>
      </c>
      <c r="Z890">
        <v>8544</v>
      </c>
      <c r="AE890">
        <v>19920</v>
      </c>
      <c r="AF890" s="4">
        <v>0.44</v>
      </c>
      <c r="AG890">
        <f t="shared" si="87"/>
        <v>11155.2</v>
      </c>
      <c r="AH890" s="4">
        <v>0.18</v>
      </c>
      <c r="AI890">
        <f t="shared" si="82"/>
        <v>13163.14</v>
      </c>
      <c r="AJ890" s="4">
        <v>0.1</v>
      </c>
      <c r="AK890">
        <f t="shared" si="83"/>
        <v>1316.31</v>
      </c>
      <c r="AL890">
        <f t="shared" si="84"/>
        <v>14479.45</v>
      </c>
      <c r="AM890">
        <f t="shared" si="85"/>
        <v>5440.55</v>
      </c>
      <c r="AN890" s="4">
        <f t="shared" si="86"/>
        <v>0.273119979919679</v>
      </c>
      <c r="AO890" t="s">
        <v>221</v>
      </c>
      <c r="AQ890" t="s">
        <v>217</v>
      </c>
      <c r="AT890" t="s">
        <v>1508</v>
      </c>
    </row>
    <row r="891" ht="15.75" customHeight="1" spans="1:46">
      <c r="A891" t="s">
        <v>1559</v>
      </c>
      <c r="B891" t="s">
        <v>206</v>
      </c>
      <c r="C891" t="s">
        <v>1499</v>
      </c>
      <c r="D891" t="s">
        <v>1500</v>
      </c>
      <c r="E891" t="s">
        <v>1501</v>
      </c>
      <c r="F891" t="s">
        <v>1560</v>
      </c>
      <c r="H891" t="s">
        <v>55</v>
      </c>
      <c r="I891" t="s">
        <v>1519</v>
      </c>
      <c r="J891" t="s">
        <v>124</v>
      </c>
      <c r="K891" t="s">
        <v>909</v>
      </c>
      <c r="L891" t="s">
        <v>1340</v>
      </c>
      <c r="M891" t="s">
        <v>1561</v>
      </c>
      <c r="Q891" t="s">
        <v>57</v>
      </c>
      <c r="Y891" t="s">
        <v>1555</v>
      </c>
      <c r="Z891">
        <v>8544</v>
      </c>
      <c r="AE891">
        <v>19920</v>
      </c>
      <c r="AF891" s="4">
        <v>0.44</v>
      </c>
      <c r="AG891">
        <f t="shared" si="87"/>
        <v>11155.2</v>
      </c>
      <c r="AH891" s="4">
        <v>0.18</v>
      </c>
      <c r="AI891">
        <f t="shared" si="82"/>
        <v>13163.14</v>
      </c>
      <c r="AJ891" s="4">
        <v>0.1</v>
      </c>
      <c r="AK891">
        <f t="shared" si="83"/>
        <v>1316.31</v>
      </c>
      <c r="AL891">
        <f t="shared" si="84"/>
        <v>14479.45</v>
      </c>
      <c r="AM891">
        <f t="shared" si="85"/>
        <v>5440.55</v>
      </c>
      <c r="AN891" s="4">
        <f t="shared" si="86"/>
        <v>0.273119979919679</v>
      </c>
      <c r="AO891" t="s">
        <v>221</v>
      </c>
      <c r="AQ891" t="s">
        <v>217</v>
      </c>
      <c r="AT891" t="s">
        <v>1508</v>
      </c>
    </row>
    <row r="892" ht="15.75" customHeight="1" spans="1:46">
      <c r="A892" t="s">
        <v>1559</v>
      </c>
      <c r="B892" t="s">
        <v>207</v>
      </c>
      <c r="C892" t="s">
        <v>1499</v>
      </c>
      <c r="D892" t="s">
        <v>1500</v>
      </c>
      <c r="E892" t="s">
        <v>1501</v>
      </c>
      <c r="F892" t="s">
        <v>1560</v>
      </c>
      <c r="H892" t="s">
        <v>55</v>
      </c>
      <c r="I892" t="s">
        <v>1519</v>
      </c>
      <c r="J892" t="s">
        <v>124</v>
      </c>
      <c r="K892" t="s">
        <v>1510</v>
      </c>
      <c r="L892" t="s">
        <v>1340</v>
      </c>
      <c r="M892" t="s">
        <v>1561</v>
      </c>
      <c r="Q892" t="s">
        <v>57</v>
      </c>
      <c r="Y892" t="s">
        <v>1556</v>
      </c>
      <c r="Z892">
        <v>8544</v>
      </c>
      <c r="AE892">
        <v>19920</v>
      </c>
      <c r="AF892" s="4">
        <v>0.44</v>
      </c>
      <c r="AG892">
        <f t="shared" si="87"/>
        <v>11155.2</v>
      </c>
      <c r="AH892" s="4">
        <v>0.18</v>
      </c>
      <c r="AI892">
        <f t="shared" si="82"/>
        <v>13163.14</v>
      </c>
      <c r="AJ892" s="4">
        <v>0.1</v>
      </c>
      <c r="AK892">
        <f t="shared" si="83"/>
        <v>1316.31</v>
      </c>
      <c r="AL892">
        <f t="shared" si="84"/>
        <v>14479.45</v>
      </c>
      <c r="AM892">
        <f t="shared" si="85"/>
        <v>5440.55</v>
      </c>
      <c r="AN892" s="4">
        <f t="shared" si="86"/>
        <v>0.273119979919679</v>
      </c>
      <c r="AO892" t="s">
        <v>221</v>
      </c>
      <c r="AQ892" t="s">
        <v>217</v>
      </c>
      <c r="AT892" t="s">
        <v>1508</v>
      </c>
    </row>
    <row r="893" ht="15.75" customHeight="1" spans="1:46">
      <c r="A893" t="s">
        <v>1559</v>
      </c>
      <c r="B893" t="s">
        <v>208</v>
      </c>
      <c r="C893" t="s">
        <v>1499</v>
      </c>
      <c r="D893" t="s">
        <v>1500</v>
      </c>
      <c r="E893" t="s">
        <v>1501</v>
      </c>
      <c r="F893" t="s">
        <v>1560</v>
      </c>
      <c r="H893" t="s">
        <v>55</v>
      </c>
      <c r="I893" t="s">
        <v>1519</v>
      </c>
      <c r="J893" t="s">
        <v>124</v>
      </c>
      <c r="K893" t="s">
        <v>1512</v>
      </c>
      <c r="L893" t="s">
        <v>1340</v>
      </c>
      <c r="M893" t="s">
        <v>1561</v>
      </c>
      <c r="Q893" t="s">
        <v>57</v>
      </c>
      <c r="Y893" t="s">
        <v>1557</v>
      </c>
      <c r="Z893">
        <v>8544</v>
      </c>
      <c r="AE893">
        <v>19920</v>
      </c>
      <c r="AF893" s="4">
        <v>0.44</v>
      </c>
      <c r="AG893">
        <f t="shared" si="87"/>
        <v>11155.2</v>
      </c>
      <c r="AH893" s="4">
        <v>0.18</v>
      </c>
      <c r="AI893">
        <f t="shared" si="82"/>
        <v>13163.14</v>
      </c>
      <c r="AJ893" s="4">
        <v>0.1</v>
      </c>
      <c r="AK893">
        <f t="shared" si="83"/>
        <v>1316.31</v>
      </c>
      <c r="AL893">
        <f t="shared" si="84"/>
        <v>14479.45</v>
      </c>
      <c r="AM893">
        <f t="shared" si="85"/>
        <v>5440.55</v>
      </c>
      <c r="AN893" s="4">
        <f t="shared" si="86"/>
        <v>0.273119979919679</v>
      </c>
      <c r="AO893" t="s">
        <v>221</v>
      </c>
      <c r="AQ893" t="s">
        <v>217</v>
      </c>
      <c r="AT893" t="s">
        <v>1508</v>
      </c>
    </row>
    <row r="894" ht="15.75" customHeight="1" spans="1:46">
      <c r="A894" t="s">
        <v>1559</v>
      </c>
      <c r="B894" t="s">
        <v>209</v>
      </c>
      <c r="C894" t="s">
        <v>1499</v>
      </c>
      <c r="D894" t="s">
        <v>1500</v>
      </c>
      <c r="E894" t="s">
        <v>1501</v>
      </c>
      <c r="F894" t="s">
        <v>1560</v>
      </c>
      <c r="H894" t="s">
        <v>55</v>
      </c>
      <c r="I894" t="s">
        <v>1519</v>
      </c>
      <c r="J894" t="s">
        <v>124</v>
      </c>
      <c r="K894" t="s">
        <v>1514</v>
      </c>
      <c r="L894" t="s">
        <v>1340</v>
      </c>
      <c r="M894" t="s">
        <v>1561</v>
      </c>
      <c r="Q894" t="s">
        <v>57</v>
      </c>
      <c r="Y894" t="s">
        <v>1558</v>
      </c>
      <c r="Z894">
        <v>8544</v>
      </c>
      <c r="AE894">
        <v>19920</v>
      </c>
      <c r="AF894" s="4">
        <v>0.44</v>
      </c>
      <c r="AG894">
        <f t="shared" si="87"/>
        <v>11155.2</v>
      </c>
      <c r="AH894" s="4">
        <v>0.18</v>
      </c>
      <c r="AI894">
        <f t="shared" si="82"/>
        <v>13163.14</v>
      </c>
      <c r="AJ894" s="4">
        <v>0.1</v>
      </c>
      <c r="AK894">
        <f t="shared" si="83"/>
        <v>1316.31</v>
      </c>
      <c r="AL894">
        <f t="shared" si="84"/>
        <v>14479.45</v>
      </c>
      <c r="AM894">
        <f t="shared" si="85"/>
        <v>5440.55</v>
      </c>
      <c r="AN894" s="4">
        <f t="shared" si="86"/>
        <v>0.273119979919679</v>
      </c>
      <c r="AO894" t="s">
        <v>221</v>
      </c>
      <c r="AQ894" t="s">
        <v>217</v>
      </c>
      <c r="AT894" t="s">
        <v>1508</v>
      </c>
    </row>
    <row r="895" ht="15.75" customHeight="1" spans="1:46">
      <c r="A895" t="s">
        <v>1559</v>
      </c>
      <c r="B895" t="s">
        <v>210</v>
      </c>
      <c r="C895" t="s">
        <v>1499</v>
      </c>
      <c r="D895" t="s">
        <v>1500</v>
      </c>
      <c r="E895" t="s">
        <v>1501</v>
      </c>
      <c r="F895" t="s">
        <v>1560</v>
      </c>
      <c r="H895" t="s">
        <v>55</v>
      </c>
      <c r="I895" t="s">
        <v>1522</v>
      </c>
      <c r="J895" t="s">
        <v>124</v>
      </c>
      <c r="K895" t="s">
        <v>1504</v>
      </c>
      <c r="L895" t="s">
        <v>1340</v>
      </c>
      <c r="M895" t="s">
        <v>1561</v>
      </c>
      <c r="Q895" t="s">
        <v>57</v>
      </c>
      <c r="R895" t="s">
        <v>1553</v>
      </c>
      <c r="Y895" t="s">
        <v>1554</v>
      </c>
      <c r="Z895">
        <v>8544</v>
      </c>
      <c r="AE895">
        <v>29900</v>
      </c>
      <c r="AF895" s="4">
        <v>0.44</v>
      </c>
      <c r="AG895">
        <f t="shared" si="87"/>
        <v>16744</v>
      </c>
      <c r="AH895" s="4">
        <v>0.18</v>
      </c>
      <c r="AI895">
        <f t="shared" si="82"/>
        <v>19757.92</v>
      </c>
      <c r="AJ895" s="4">
        <v>0.1</v>
      </c>
      <c r="AK895">
        <f t="shared" si="83"/>
        <v>1975.79</v>
      </c>
      <c r="AL895">
        <f t="shared" si="84"/>
        <v>21733.71</v>
      </c>
      <c r="AM895">
        <f t="shared" si="85"/>
        <v>8166.29</v>
      </c>
      <c r="AN895" s="4">
        <f t="shared" si="86"/>
        <v>0.273120066889632</v>
      </c>
      <c r="AO895" t="s">
        <v>221</v>
      </c>
      <c r="AQ895" t="s">
        <v>217</v>
      </c>
      <c r="AT895" t="s">
        <v>1508</v>
      </c>
    </row>
    <row r="896" ht="15.75" customHeight="1" spans="1:46">
      <c r="A896" t="s">
        <v>1559</v>
      </c>
      <c r="B896" t="s">
        <v>211</v>
      </c>
      <c r="C896" t="s">
        <v>1499</v>
      </c>
      <c r="D896" t="s">
        <v>1500</v>
      </c>
      <c r="E896" t="s">
        <v>1501</v>
      </c>
      <c r="F896" t="s">
        <v>1560</v>
      </c>
      <c r="H896" t="s">
        <v>55</v>
      </c>
      <c r="I896" t="s">
        <v>1522</v>
      </c>
      <c r="J896" t="s">
        <v>124</v>
      </c>
      <c r="K896" t="s">
        <v>909</v>
      </c>
      <c r="L896" t="s">
        <v>1340</v>
      </c>
      <c r="M896" t="s">
        <v>1561</v>
      </c>
      <c r="Q896" t="s">
        <v>57</v>
      </c>
      <c r="Y896" t="s">
        <v>1555</v>
      </c>
      <c r="Z896">
        <v>8544</v>
      </c>
      <c r="AE896">
        <v>29900</v>
      </c>
      <c r="AF896" s="4">
        <v>0.44</v>
      </c>
      <c r="AG896">
        <f t="shared" si="87"/>
        <v>16744</v>
      </c>
      <c r="AH896" s="4">
        <v>0.18</v>
      </c>
      <c r="AI896">
        <f t="shared" si="82"/>
        <v>19757.92</v>
      </c>
      <c r="AJ896" s="4">
        <v>0.1</v>
      </c>
      <c r="AK896">
        <f t="shared" si="83"/>
        <v>1975.79</v>
      </c>
      <c r="AL896">
        <f t="shared" si="84"/>
        <v>21733.71</v>
      </c>
      <c r="AM896">
        <f t="shared" si="85"/>
        <v>8166.29</v>
      </c>
      <c r="AN896" s="4">
        <f t="shared" si="86"/>
        <v>0.273120066889632</v>
      </c>
      <c r="AO896" t="s">
        <v>221</v>
      </c>
      <c r="AQ896" t="s">
        <v>217</v>
      </c>
      <c r="AT896" t="s">
        <v>1508</v>
      </c>
    </row>
    <row r="897" ht="15.75" customHeight="1" spans="1:46">
      <c r="A897" t="s">
        <v>1559</v>
      </c>
      <c r="B897" t="s">
        <v>212</v>
      </c>
      <c r="C897" t="s">
        <v>1499</v>
      </c>
      <c r="D897" t="s">
        <v>1500</v>
      </c>
      <c r="E897" t="s">
        <v>1501</v>
      </c>
      <c r="F897" t="s">
        <v>1560</v>
      </c>
      <c r="H897" t="s">
        <v>55</v>
      </c>
      <c r="I897" t="s">
        <v>1522</v>
      </c>
      <c r="J897" t="s">
        <v>124</v>
      </c>
      <c r="K897" t="s">
        <v>1510</v>
      </c>
      <c r="L897" t="s">
        <v>1340</v>
      </c>
      <c r="M897" t="s">
        <v>1561</v>
      </c>
      <c r="Q897" t="s">
        <v>57</v>
      </c>
      <c r="Y897" t="s">
        <v>1556</v>
      </c>
      <c r="Z897">
        <v>8544</v>
      </c>
      <c r="AE897">
        <v>29900</v>
      </c>
      <c r="AF897" s="4">
        <v>0.44</v>
      </c>
      <c r="AG897">
        <f t="shared" si="87"/>
        <v>16744</v>
      </c>
      <c r="AH897" s="4">
        <v>0.18</v>
      </c>
      <c r="AI897">
        <f t="shared" si="82"/>
        <v>19757.92</v>
      </c>
      <c r="AJ897" s="4">
        <v>0.1</v>
      </c>
      <c r="AK897">
        <f t="shared" si="83"/>
        <v>1975.79</v>
      </c>
      <c r="AL897">
        <f t="shared" si="84"/>
        <v>21733.71</v>
      </c>
      <c r="AM897">
        <f t="shared" si="85"/>
        <v>8166.29</v>
      </c>
      <c r="AN897" s="4">
        <f t="shared" si="86"/>
        <v>0.273120066889632</v>
      </c>
      <c r="AO897" t="s">
        <v>221</v>
      </c>
      <c r="AQ897" t="s">
        <v>217</v>
      </c>
      <c r="AT897" t="s">
        <v>1508</v>
      </c>
    </row>
    <row r="898" ht="15.75" customHeight="1" spans="1:46">
      <c r="A898" t="s">
        <v>1559</v>
      </c>
      <c r="B898" t="s">
        <v>213</v>
      </c>
      <c r="C898" t="s">
        <v>1499</v>
      </c>
      <c r="D898" t="s">
        <v>1500</v>
      </c>
      <c r="E898" t="s">
        <v>1501</v>
      </c>
      <c r="F898" t="s">
        <v>1560</v>
      </c>
      <c r="H898" t="s">
        <v>55</v>
      </c>
      <c r="I898" t="s">
        <v>1522</v>
      </c>
      <c r="J898" t="s">
        <v>124</v>
      </c>
      <c r="K898" t="s">
        <v>1512</v>
      </c>
      <c r="L898" t="s">
        <v>1340</v>
      </c>
      <c r="M898" t="s">
        <v>1561</v>
      </c>
      <c r="Q898" t="s">
        <v>57</v>
      </c>
      <c r="Y898" t="s">
        <v>1557</v>
      </c>
      <c r="Z898">
        <v>8544</v>
      </c>
      <c r="AE898">
        <v>29900</v>
      </c>
      <c r="AF898" s="4">
        <v>0.44</v>
      </c>
      <c r="AG898">
        <f t="shared" si="87"/>
        <v>16744</v>
      </c>
      <c r="AH898" s="4">
        <v>0.18</v>
      </c>
      <c r="AI898">
        <f t="shared" ref="AI898:AI961" si="88">ROUND(AG898+(AG898*AH898),2)</f>
        <v>19757.92</v>
      </c>
      <c r="AJ898" s="4">
        <v>0.1</v>
      </c>
      <c r="AK898">
        <f t="shared" ref="AK898:AK961" si="89">ROUND(AI898*AJ898,2)</f>
        <v>1975.79</v>
      </c>
      <c r="AL898">
        <f t="shared" ref="AL898:AL961" si="90">AI898+AK898</f>
        <v>21733.71</v>
      </c>
      <c r="AM898">
        <f t="shared" ref="AM898:AM961" si="91">AE898-AL898</f>
        <v>8166.29</v>
      </c>
      <c r="AN898" s="4">
        <f t="shared" ref="AN898:AN961" si="92">AM898/AE898</f>
        <v>0.273120066889632</v>
      </c>
      <c r="AO898" t="s">
        <v>221</v>
      </c>
      <c r="AQ898" t="s">
        <v>217</v>
      </c>
      <c r="AT898" t="s">
        <v>1508</v>
      </c>
    </row>
    <row r="899" ht="15.75" customHeight="1" spans="1:46">
      <c r="A899" t="s">
        <v>1559</v>
      </c>
      <c r="B899" t="s">
        <v>1520</v>
      </c>
      <c r="C899" t="s">
        <v>1499</v>
      </c>
      <c r="D899" t="s">
        <v>1500</v>
      </c>
      <c r="E899" t="s">
        <v>1501</v>
      </c>
      <c r="F899" t="s">
        <v>1560</v>
      </c>
      <c r="H899" t="s">
        <v>55</v>
      </c>
      <c r="I899" t="s">
        <v>1522</v>
      </c>
      <c r="J899" t="s">
        <v>124</v>
      </c>
      <c r="K899" t="s">
        <v>1514</v>
      </c>
      <c r="L899" t="s">
        <v>1340</v>
      </c>
      <c r="M899" t="s">
        <v>1561</v>
      </c>
      <c r="Q899" t="s">
        <v>57</v>
      </c>
      <c r="Y899" t="s">
        <v>1558</v>
      </c>
      <c r="Z899">
        <v>8544</v>
      </c>
      <c r="AE899">
        <v>29900</v>
      </c>
      <c r="AF899" s="4">
        <v>0.44</v>
      </c>
      <c r="AG899">
        <f t="shared" si="87"/>
        <v>16744</v>
      </c>
      <c r="AH899" s="4">
        <v>0.18</v>
      </c>
      <c r="AI899">
        <f t="shared" si="88"/>
        <v>19757.92</v>
      </c>
      <c r="AJ899" s="4">
        <v>0.1</v>
      </c>
      <c r="AK899">
        <f t="shared" si="89"/>
        <v>1975.79</v>
      </c>
      <c r="AL899">
        <f t="shared" si="90"/>
        <v>21733.71</v>
      </c>
      <c r="AM899">
        <f t="shared" si="91"/>
        <v>8166.29</v>
      </c>
      <c r="AN899" s="4">
        <f t="shared" si="92"/>
        <v>0.273120066889632</v>
      </c>
      <c r="AO899" t="s">
        <v>221</v>
      </c>
      <c r="AQ899" t="s">
        <v>217</v>
      </c>
      <c r="AT899" t="s">
        <v>1508</v>
      </c>
    </row>
    <row r="900" ht="15.75" customHeight="1" spans="1:46">
      <c r="A900" s="15" t="s">
        <v>1562</v>
      </c>
      <c r="B900" s="15" t="s">
        <v>46</v>
      </c>
      <c r="C900" s="15" t="s">
        <v>1499</v>
      </c>
      <c r="D900" s="15" t="s">
        <v>1563</v>
      </c>
      <c r="E900" s="15" t="s">
        <v>1564</v>
      </c>
      <c r="F900" s="15" t="s">
        <v>1565</v>
      </c>
      <c r="G900" s="15"/>
      <c r="H900" s="15" t="s">
        <v>1566</v>
      </c>
      <c r="I900" s="15" t="s">
        <v>1567</v>
      </c>
      <c r="J900" s="15" t="s">
        <v>1568</v>
      </c>
      <c r="K900" s="15" t="s">
        <v>1569</v>
      </c>
      <c r="L900" s="15" t="s">
        <v>1570</v>
      </c>
      <c r="M900" s="15" t="s">
        <v>1571</v>
      </c>
      <c r="N900" s="15"/>
      <c r="O900" s="15"/>
      <c r="P900" s="15"/>
      <c r="Q900" s="15" t="s">
        <v>57</v>
      </c>
      <c r="R900" s="15" t="s">
        <v>1572</v>
      </c>
      <c r="S900" s="15"/>
      <c r="T900" s="15"/>
      <c r="U900" s="15"/>
      <c r="V900" s="15"/>
      <c r="W900" s="15"/>
      <c r="X900" s="15"/>
      <c r="Y900" s="15" t="s">
        <v>1573</v>
      </c>
      <c r="Z900" s="15">
        <v>8536</v>
      </c>
      <c r="AA900" s="15"/>
      <c r="AB900" s="15"/>
      <c r="AC900" s="15"/>
      <c r="AD900" s="15"/>
      <c r="AE900" s="15">
        <v>114</v>
      </c>
      <c r="AF900" s="16">
        <v>0.5</v>
      </c>
      <c r="AG900" s="15">
        <f t="shared" ref="AG900:AG963" si="93">ROUND(AE900-(AE900*AF900),2)</f>
        <v>57</v>
      </c>
      <c r="AH900" s="16">
        <v>0.18</v>
      </c>
      <c r="AI900" s="15">
        <f t="shared" si="88"/>
        <v>67.26</v>
      </c>
      <c r="AJ900" s="16">
        <v>0.2</v>
      </c>
      <c r="AK900" s="15">
        <f t="shared" si="89"/>
        <v>13.45</v>
      </c>
      <c r="AL900" s="15">
        <f t="shared" si="90"/>
        <v>80.71</v>
      </c>
      <c r="AM900" s="15">
        <f t="shared" si="91"/>
        <v>33.29</v>
      </c>
      <c r="AN900" s="16">
        <f t="shared" si="92"/>
        <v>0.292017543859649</v>
      </c>
      <c r="AO900" s="15" t="s">
        <v>221</v>
      </c>
      <c r="AP900" s="15"/>
      <c r="AQ900" s="15" t="s">
        <v>217</v>
      </c>
      <c r="AR900" s="15"/>
      <c r="AS900" s="15"/>
      <c r="AT900" t="s">
        <v>869</v>
      </c>
    </row>
    <row r="901" ht="15.75" customHeight="1" spans="1:46">
      <c r="A901" s="15" t="s">
        <v>1562</v>
      </c>
      <c r="B901" s="15" t="s">
        <v>67</v>
      </c>
      <c r="C901" s="15" t="s">
        <v>1499</v>
      </c>
      <c r="D901" s="15" t="s">
        <v>1563</v>
      </c>
      <c r="E901" s="15" t="s">
        <v>1564</v>
      </c>
      <c r="F901" s="15" t="s">
        <v>1565</v>
      </c>
      <c r="G901" s="15"/>
      <c r="H901" s="15" t="s">
        <v>1566</v>
      </c>
      <c r="I901" s="15" t="s">
        <v>1567</v>
      </c>
      <c r="J901" s="15" t="s">
        <v>1568</v>
      </c>
      <c r="K901" s="15" t="s">
        <v>1574</v>
      </c>
      <c r="L901" s="15" t="s">
        <v>1570</v>
      </c>
      <c r="M901" s="15" t="s">
        <v>1575</v>
      </c>
      <c r="N901" s="15"/>
      <c r="O901" s="15"/>
      <c r="P901" s="15"/>
      <c r="Q901" s="15" t="s">
        <v>57</v>
      </c>
      <c r="R901" s="15" t="s">
        <v>1576</v>
      </c>
      <c r="S901" s="15"/>
      <c r="T901" s="15"/>
      <c r="U901" s="15"/>
      <c r="V901" s="15"/>
      <c r="W901" s="15"/>
      <c r="X901" s="15"/>
      <c r="Y901" s="15" t="s">
        <v>1577</v>
      </c>
      <c r="Z901" s="15">
        <v>8536</v>
      </c>
      <c r="AA901" s="15"/>
      <c r="AB901" s="15"/>
      <c r="AC901" s="15"/>
      <c r="AD901" s="15"/>
      <c r="AE901" s="15">
        <v>187</v>
      </c>
      <c r="AF901" s="16">
        <v>0.5</v>
      </c>
      <c r="AG901" s="15">
        <f t="shared" si="93"/>
        <v>93.5</v>
      </c>
      <c r="AH901" s="16">
        <v>0.18</v>
      </c>
      <c r="AI901" s="15">
        <f t="shared" si="88"/>
        <v>110.33</v>
      </c>
      <c r="AJ901" s="16">
        <v>0.2</v>
      </c>
      <c r="AK901" s="15">
        <f t="shared" si="89"/>
        <v>22.07</v>
      </c>
      <c r="AL901" s="15">
        <f t="shared" si="90"/>
        <v>132.4</v>
      </c>
      <c r="AM901" s="15">
        <f t="shared" si="91"/>
        <v>54.6</v>
      </c>
      <c r="AN901" s="16">
        <f t="shared" si="92"/>
        <v>0.291978609625668</v>
      </c>
      <c r="AO901" s="15" t="s">
        <v>221</v>
      </c>
      <c r="AP901" s="15"/>
      <c r="AQ901" s="15" t="s">
        <v>217</v>
      </c>
      <c r="AR901" s="15"/>
      <c r="AS901" s="15"/>
      <c r="AT901" t="s">
        <v>869</v>
      </c>
    </row>
    <row r="902" ht="15.75" customHeight="1" spans="1:46">
      <c r="A902" s="15" t="s">
        <v>1562</v>
      </c>
      <c r="B902" s="15" t="s">
        <v>71</v>
      </c>
      <c r="C902" s="15" t="s">
        <v>1499</v>
      </c>
      <c r="D902" s="15" t="s">
        <v>1563</v>
      </c>
      <c r="E902" s="15" t="s">
        <v>1564</v>
      </c>
      <c r="F902" s="15" t="s">
        <v>1565</v>
      </c>
      <c r="G902" s="15"/>
      <c r="H902" s="15" t="s">
        <v>1566</v>
      </c>
      <c r="I902" s="15" t="s">
        <v>1567</v>
      </c>
      <c r="J902" s="15" t="s">
        <v>1568</v>
      </c>
      <c r="K902" s="15" t="s">
        <v>1578</v>
      </c>
      <c r="L902" s="15" t="s">
        <v>1570</v>
      </c>
      <c r="M902" s="15" t="s">
        <v>1571</v>
      </c>
      <c r="N902" s="15"/>
      <c r="O902" s="15"/>
      <c r="P902" s="15"/>
      <c r="Q902" s="15" t="s">
        <v>57</v>
      </c>
      <c r="R902" s="15" t="s">
        <v>1579</v>
      </c>
      <c r="S902" s="15"/>
      <c r="T902" s="15"/>
      <c r="U902" s="15"/>
      <c r="V902" s="15"/>
      <c r="W902" s="15"/>
      <c r="X902" s="15"/>
      <c r="Y902" s="15" t="s">
        <v>1580</v>
      </c>
      <c r="Z902" s="15">
        <v>8536</v>
      </c>
      <c r="AA902" s="15"/>
      <c r="AB902" s="15"/>
      <c r="AC902" s="15"/>
      <c r="AD902" s="15"/>
      <c r="AE902" s="15">
        <v>175</v>
      </c>
      <c r="AF902" s="16">
        <v>0.5</v>
      </c>
      <c r="AG902" s="15">
        <f t="shared" si="93"/>
        <v>87.5</v>
      </c>
      <c r="AH902" s="16">
        <v>0.18</v>
      </c>
      <c r="AI902" s="15">
        <f t="shared" si="88"/>
        <v>103.25</v>
      </c>
      <c r="AJ902" s="16">
        <v>0.2</v>
      </c>
      <c r="AK902" s="15">
        <f t="shared" si="89"/>
        <v>20.65</v>
      </c>
      <c r="AL902" s="15">
        <f t="shared" si="90"/>
        <v>123.9</v>
      </c>
      <c r="AM902" s="15">
        <f t="shared" si="91"/>
        <v>51.1</v>
      </c>
      <c r="AN902" s="16">
        <f t="shared" si="92"/>
        <v>0.292</v>
      </c>
      <c r="AO902" s="15" t="s">
        <v>221</v>
      </c>
      <c r="AP902" s="15"/>
      <c r="AQ902" s="15" t="s">
        <v>217</v>
      </c>
      <c r="AR902" s="15"/>
      <c r="AS902" s="15"/>
      <c r="AT902" t="s">
        <v>869</v>
      </c>
    </row>
    <row r="903" ht="15.75" customHeight="1" spans="1:46">
      <c r="A903" t="s">
        <v>1581</v>
      </c>
      <c r="B903" t="s">
        <v>46</v>
      </c>
      <c r="C903" t="s">
        <v>1499</v>
      </c>
      <c r="D903" t="s">
        <v>1563</v>
      </c>
      <c r="E903" t="s">
        <v>1564</v>
      </c>
      <c r="F903" t="s">
        <v>1582</v>
      </c>
      <c r="H903" t="s">
        <v>1566</v>
      </c>
      <c r="I903" t="s">
        <v>1567</v>
      </c>
      <c r="J903" t="s">
        <v>1568</v>
      </c>
      <c r="K903" t="s">
        <v>1569</v>
      </c>
      <c r="L903" t="s">
        <v>1570</v>
      </c>
      <c r="M903" t="s">
        <v>1571</v>
      </c>
      <c r="Q903" t="s">
        <v>57</v>
      </c>
      <c r="R903" t="s">
        <v>1583</v>
      </c>
      <c r="Y903" t="s">
        <v>1584</v>
      </c>
      <c r="Z903">
        <v>8536</v>
      </c>
      <c r="AE903">
        <v>108</v>
      </c>
      <c r="AF903" s="4">
        <v>0.5</v>
      </c>
      <c r="AG903">
        <f t="shared" si="93"/>
        <v>54</v>
      </c>
      <c r="AH903" s="4">
        <v>0.18</v>
      </c>
      <c r="AI903">
        <f t="shared" si="88"/>
        <v>63.72</v>
      </c>
      <c r="AJ903" s="4">
        <v>0.2</v>
      </c>
      <c r="AK903">
        <f t="shared" si="89"/>
        <v>12.74</v>
      </c>
      <c r="AL903">
        <f t="shared" si="90"/>
        <v>76.46</v>
      </c>
      <c r="AM903">
        <f t="shared" si="91"/>
        <v>31.54</v>
      </c>
      <c r="AN903" s="4">
        <f t="shared" si="92"/>
        <v>0.292037037037037</v>
      </c>
      <c r="AO903" t="s">
        <v>221</v>
      </c>
      <c r="AQ903" t="s">
        <v>217</v>
      </c>
      <c r="AT903" t="s">
        <v>1508</v>
      </c>
    </row>
    <row r="904" ht="15.75" customHeight="1" spans="1:46">
      <c r="A904" t="s">
        <v>1581</v>
      </c>
      <c r="B904" t="s">
        <v>67</v>
      </c>
      <c r="C904" t="s">
        <v>1499</v>
      </c>
      <c r="D904" t="s">
        <v>1563</v>
      </c>
      <c r="E904" t="s">
        <v>1564</v>
      </c>
      <c r="F904" t="s">
        <v>1582</v>
      </c>
      <c r="H904" t="s">
        <v>1566</v>
      </c>
      <c r="I904" t="s">
        <v>1567</v>
      </c>
      <c r="J904" t="s">
        <v>1568</v>
      </c>
      <c r="K904" t="s">
        <v>1574</v>
      </c>
      <c r="L904" t="s">
        <v>1570</v>
      </c>
      <c r="M904" t="s">
        <v>1575</v>
      </c>
      <c r="Q904" t="s">
        <v>57</v>
      </c>
      <c r="R904" t="s">
        <v>1585</v>
      </c>
      <c r="Y904" t="s">
        <v>1586</v>
      </c>
      <c r="Z904">
        <v>8536</v>
      </c>
      <c r="AE904">
        <v>175</v>
      </c>
      <c r="AF904" s="4">
        <v>0.5</v>
      </c>
      <c r="AG904">
        <f t="shared" si="93"/>
        <v>87.5</v>
      </c>
      <c r="AH904" s="4">
        <v>0.18</v>
      </c>
      <c r="AI904">
        <f t="shared" si="88"/>
        <v>103.25</v>
      </c>
      <c r="AJ904" s="4">
        <v>0.2</v>
      </c>
      <c r="AK904">
        <f t="shared" si="89"/>
        <v>20.65</v>
      </c>
      <c r="AL904">
        <f t="shared" si="90"/>
        <v>123.9</v>
      </c>
      <c r="AM904">
        <f t="shared" si="91"/>
        <v>51.1</v>
      </c>
      <c r="AN904" s="4">
        <f t="shared" si="92"/>
        <v>0.292</v>
      </c>
      <c r="AO904" t="s">
        <v>221</v>
      </c>
      <c r="AQ904" t="s">
        <v>217</v>
      </c>
      <c r="AT904" t="s">
        <v>1508</v>
      </c>
    </row>
    <row r="905" ht="15.75" customHeight="1" spans="1:46">
      <c r="A905" t="s">
        <v>1581</v>
      </c>
      <c r="B905" t="s">
        <v>71</v>
      </c>
      <c r="C905" t="s">
        <v>1499</v>
      </c>
      <c r="D905" t="s">
        <v>1563</v>
      </c>
      <c r="E905" t="s">
        <v>1564</v>
      </c>
      <c r="F905" t="s">
        <v>1582</v>
      </c>
      <c r="H905" t="s">
        <v>1566</v>
      </c>
      <c r="I905" t="s">
        <v>1567</v>
      </c>
      <c r="J905" t="s">
        <v>1568</v>
      </c>
      <c r="K905" t="s">
        <v>1578</v>
      </c>
      <c r="L905" t="s">
        <v>1570</v>
      </c>
      <c r="M905" t="s">
        <v>1571</v>
      </c>
      <c r="Q905" t="s">
        <v>57</v>
      </c>
      <c r="R905" t="s">
        <v>1587</v>
      </c>
      <c r="Y905" t="s">
        <v>1588</v>
      </c>
      <c r="Z905">
        <v>8536</v>
      </c>
      <c r="AE905">
        <v>205</v>
      </c>
      <c r="AF905" s="4">
        <v>0.5</v>
      </c>
      <c r="AG905">
        <f t="shared" si="93"/>
        <v>102.5</v>
      </c>
      <c r="AH905" s="4">
        <v>0.18</v>
      </c>
      <c r="AI905">
        <f t="shared" si="88"/>
        <v>120.95</v>
      </c>
      <c r="AJ905" s="4">
        <v>0.2</v>
      </c>
      <c r="AK905">
        <f t="shared" si="89"/>
        <v>24.19</v>
      </c>
      <c r="AL905">
        <f t="shared" si="90"/>
        <v>145.14</v>
      </c>
      <c r="AM905">
        <f t="shared" si="91"/>
        <v>59.86</v>
      </c>
      <c r="AN905" s="4">
        <f t="shared" si="92"/>
        <v>0.292</v>
      </c>
      <c r="AO905" t="s">
        <v>221</v>
      </c>
      <c r="AQ905" t="s">
        <v>217</v>
      </c>
      <c r="AT905" t="s">
        <v>1508</v>
      </c>
    </row>
    <row r="906" ht="15.75" customHeight="1" spans="1:46">
      <c r="A906" t="s">
        <v>1581</v>
      </c>
      <c r="B906" t="s">
        <v>75</v>
      </c>
      <c r="C906" t="s">
        <v>1499</v>
      </c>
      <c r="D906" t="s">
        <v>1563</v>
      </c>
      <c r="E906" t="s">
        <v>1564</v>
      </c>
      <c r="F906" t="s">
        <v>1582</v>
      </c>
      <c r="H906" t="s">
        <v>1566</v>
      </c>
      <c r="I906" t="s">
        <v>1589</v>
      </c>
      <c r="J906" t="s">
        <v>1568</v>
      </c>
      <c r="K906" t="s">
        <v>1578</v>
      </c>
      <c r="L906" t="s">
        <v>1570</v>
      </c>
      <c r="M906" t="s">
        <v>1571</v>
      </c>
      <c r="Q906" t="s">
        <v>57</v>
      </c>
      <c r="R906" t="s">
        <v>1590</v>
      </c>
      <c r="Y906" t="s">
        <v>1591</v>
      </c>
      <c r="Z906">
        <v>8536</v>
      </c>
      <c r="AE906">
        <v>245</v>
      </c>
      <c r="AF906" s="4">
        <v>0.5</v>
      </c>
      <c r="AG906">
        <f t="shared" si="93"/>
        <v>122.5</v>
      </c>
      <c r="AH906" s="4">
        <v>0.18</v>
      </c>
      <c r="AI906">
        <f t="shared" si="88"/>
        <v>144.55</v>
      </c>
      <c r="AJ906" s="4">
        <v>0.2</v>
      </c>
      <c r="AK906">
        <f t="shared" si="89"/>
        <v>28.91</v>
      </c>
      <c r="AL906">
        <f t="shared" si="90"/>
        <v>173.46</v>
      </c>
      <c r="AM906">
        <f t="shared" si="91"/>
        <v>71.54</v>
      </c>
      <c r="AN906" s="4">
        <f t="shared" si="92"/>
        <v>0.292</v>
      </c>
      <c r="AO906" t="s">
        <v>221</v>
      </c>
      <c r="AQ906" t="s">
        <v>217</v>
      </c>
      <c r="AT906" t="s">
        <v>1508</v>
      </c>
    </row>
    <row r="907" ht="15.75" customHeight="1" spans="1:46">
      <c r="A907" t="s">
        <v>1592</v>
      </c>
      <c r="B907" t="s">
        <v>46</v>
      </c>
      <c r="C907" t="s">
        <v>1499</v>
      </c>
      <c r="D907" t="s">
        <v>1563</v>
      </c>
      <c r="E907" t="s">
        <v>1593</v>
      </c>
      <c r="F907" t="s">
        <v>1594</v>
      </c>
      <c r="H907" t="s">
        <v>1566</v>
      </c>
      <c r="I907" t="s">
        <v>1567</v>
      </c>
      <c r="J907" t="s">
        <v>1568</v>
      </c>
      <c r="K907" t="s">
        <v>1569</v>
      </c>
      <c r="L907" t="s">
        <v>1570</v>
      </c>
      <c r="M907" t="s">
        <v>1571</v>
      </c>
      <c r="Q907" t="s">
        <v>57</v>
      </c>
      <c r="R907">
        <v>65001</v>
      </c>
      <c r="Y907" t="s">
        <v>1595</v>
      </c>
      <c r="Z907">
        <v>8536</v>
      </c>
      <c r="AE907">
        <v>40</v>
      </c>
      <c r="AF907" s="4">
        <v>0.5</v>
      </c>
      <c r="AG907">
        <f t="shared" si="93"/>
        <v>20</v>
      </c>
      <c r="AH907" s="4">
        <v>0.18</v>
      </c>
      <c r="AI907">
        <f t="shared" si="88"/>
        <v>23.6</v>
      </c>
      <c r="AJ907" s="4">
        <v>0.2</v>
      </c>
      <c r="AK907">
        <f t="shared" si="89"/>
        <v>4.72</v>
      </c>
      <c r="AL907">
        <f t="shared" si="90"/>
        <v>28.32</v>
      </c>
      <c r="AM907">
        <f t="shared" si="91"/>
        <v>11.68</v>
      </c>
      <c r="AN907" s="4">
        <f t="shared" si="92"/>
        <v>0.292</v>
      </c>
      <c r="AO907" t="s">
        <v>221</v>
      </c>
      <c r="AQ907" t="s">
        <v>217</v>
      </c>
      <c r="AT907" t="s">
        <v>1508</v>
      </c>
    </row>
    <row r="908" ht="15.75" customHeight="1" spans="1:46">
      <c r="A908" t="s">
        <v>1592</v>
      </c>
      <c r="B908" t="s">
        <v>67</v>
      </c>
      <c r="C908" t="s">
        <v>1499</v>
      </c>
      <c r="D908" t="s">
        <v>1563</v>
      </c>
      <c r="E908" t="s">
        <v>1593</v>
      </c>
      <c r="F908" t="s">
        <v>1594</v>
      </c>
      <c r="H908" t="s">
        <v>1566</v>
      </c>
      <c r="I908" t="s">
        <v>1567</v>
      </c>
      <c r="J908" t="s">
        <v>1568</v>
      </c>
      <c r="K908" t="s">
        <v>1574</v>
      </c>
      <c r="L908" t="s">
        <v>1570</v>
      </c>
      <c r="M908" t="s">
        <v>1575</v>
      </c>
      <c r="Q908" t="s">
        <v>57</v>
      </c>
      <c r="R908">
        <v>65007</v>
      </c>
      <c r="Y908" t="s">
        <v>1596</v>
      </c>
      <c r="Z908">
        <v>8536</v>
      </c>
      <c r="AE908">
        <v>107</v>
      </c>
      <c r="AF908" s="4">
        <v>0.5</v>
      </c>
      <c r="AG908">
        <f t="shared" si="93"/>
        <v>53.5</v>
      </c>
      <c r="AH908" s="4">
        <v>0.18</v>
      </c>
      <c r="AI908">
        <f t="shared" si="88"/>
        <v>63.13</v>
      </c>
      <c r="AJ908" s="4">
        <v>0.2</v>
      </c>
      <c r="AK908">
        <f t="shared" si="89"/>
        <v>12.63</v>
      </c>
      <c r="AL908">
        <f t="shared" si="90"/>
        <v>75.76</v>
      </c>
      <c r="AM908">
        <f t="shared" si="91"/>
        <v>31.24</v>
      </c>
      <c r="AN908" s="4">
        <f t="shared" si="92"/>
        <v>0.29196261682243</v>
      </c>
      <c r="AO908" t="s">
        <v>221</v>
      </c>
      <c r="AQ908" t="s">
        <v>217</v>
      </c>
      <c r="AT908" t="s">
        <v>1508</v>
      </c>
    </row>
    <row r="909" ht="15.75" customHeight="1" spans="1:46">
      <c r="A909" t="s">
        <v>1592</v>
      </c>
      <c r="B909" t="s">
        <v>71</v>
      </c>
      <c r="C909" t="s">
        <v>1499</v>
      </c>
      <c r="D909" t="s">
        <v>1563</v>
      </c>
      <c r="E909" t="s">
        <v>1593</v>
      </c>
      <c r="F909" t="s">
        <v>1594</v>
      </c>
      <c r="H909" t="s">
        <v>1566</v>
      </c>
      <c r="I909" t="s">
        <v>1567</v>
      </c>
      <c r="J909" t="s">
        <v>1568</v>
      </c>
      <c r="K909" t="s">
        <v>1578</v>
      </c>
      <c r="L909" t="s">
        <v>1570</v>
      </c>
      <c r="M909" t="s">
        <v>1571</v>
      </c>
      <c r="Q909" t="s">
        <v>57</v>
      </c>
      <c r="R909">
        <v>65003</v>
      </c>
      <c r="Y909" t="s">
        <v>1597</v>
      </c>
      <c r="Z909">
        <v>8536</v>
      </c>
      <c r="AE909">
        <v>90</v>
      </c>
      <c r="AF909" s="4">
        <v>0.5</v>
      </c>
      <c r="AG909">
        <f t="shared" si="93"/>
        <v>45</v>
      </c>
      <c r="AH909" s="4">
        <v>0.18</v>
      </c>
      <c r="AI909">
        <f t="shared" si="88"/>
        <v>53.1</v>
      </c>
      <c r="AJ909" s="4">
        <v>0.2</v>
      </c>
      <c r="AK909">
        <f t="shared" si="89"/>
        <v>10.62</v>
      </c>
      <c r="AL909">
        <f t="shared" si="90"/>
        <v>63.72</v>
      </c>
      <c r="AM909">
        <f t="shared" si="91"/>
        <v>26.28</v>
      </c>
      <c r="AN909" s="4">
        <f t="shared" si="92"/>
        <v>0.292</v>
      </c>
      <c r="AO909" t="s">
        <v>221</v>
      </c>
      <c r="AQ909" t="s">
        <v>217</v>
      </c>
      <c r="AT909" t="s">
        <v>1508</v>
      </c>
    </row>
    <row r="910" ht="15.75" customHeight="1" spans="1:46">
      <c r="A910" t="s">
        <v>1592</v>
      </c>
      <c r="B910" t="s">
        <v>75</v>
      </c>
      <c r="C910" t="s">
        <v>1499</v>
      </c>
      <c r="D910" t="s">
        <v>1563</v>
      </c>
      <c r="E910" t="s">
        <v>1593</v>
      </c>
      <c r="F910" t="s">
        <v>1594</v>
      </c>
      <c r="H910" t="s">
        <v>1566</v>
      </c>
      <c r="I910" t="s">
        <v>1589</v>
      </c>
      <c r="J910" t="s">
        <v>1568</v>
      </c>
      <c r="K910" t="s">
        <v>1578</v>
      </c>
      <c r="L910" t="s">
        <v>1570</v>
      </c>
      <c r="M910" t="s">
        <v>1571</v>
      </c>
      <c r="Q910" t="s">
        <v>57</v>
      </c>
      <c r="R910">
        <v>65066</v>
      </c>
      <c r="Y910" t="s">
        <v>1598</v>
      </c>
      <c r="Z910">
        <v>8536</v>
      </c>
      <c r="AE910">
        <v>127</v>
      </c>
      <c r="AF910" s="4">
        <v>0.5</v>
      </c>
      <c r="AG910">
        <f t="shared" si="93"/>
        <v>63.5</v>
      </c>
      <c r="AH910" s="4">
        <v>0.18</v>
      </c>
      <c r="AI910">
        <f t="shared" si="88"/>
        <v>74.93</v>
      </c>
      <c r="AJ910" s="4">
        <v>0.2</v>
      </c>
      <c r="AK910">
        <f t="shared" si="89"/>
        <v>14.99</v>
      </c>
      <c r="AL910">
        <f t="shared" si="90"/>
        <v>89.92</v>
      </c>
      <c r="AM910">
        <f t="shared" si="91"/>
        <v>37.08</v>
      </c>
      <c r="AN910" s="4">
        <f t="shared" si="92"/>
        <v>0.291968503937008</v>
      </c>
      <c r="AO910" t="s">
        <v>221</v>
      </c>
      <c r="AQ910" t="s">
        <v>217</v>
      </c>
      <c r="AT910" t="s">
        <v>1508</v>
      </c>
    </row>
    <row r="911" ht="15.75" customHeight="1" spans="1:46">
      <c r="A911" t="s">
        <v>1599</v>
      </c>
      <c r="B911" t="s">
        <v>46</v>
      </c>
      <c r="C911" t="s">
        <v>1499</v>
      </c>
      <c r="D911" t="s">
        <v>1563</v>
      </c>
      <c r="E911" t="s">
        <v>1593</v>
      </c>
      <c r="F911" t="s">
        <v>1600</v>
      </c>
      <c r="H911" t="s">
        <v>1566</v>
      </c>
      <c r="I911" t="s">
        <v>1567</v>
      </c>
      <c r="J911" t="s">
        <v>1568</v>
      </c>
      <c r="K911" t="s">
        <v>1569</v>
      </c>
      <c r="L911" t="s">
        <v>1570</v>
      </c>
      <c r="M911" t="s">
        <v>1571</v>
      </c>
      <c r="Q911" t="s">
        <v>57</v>
      </c>
      <c r="Y911" t="s">
        <v>1601</v>
      </c>
      <c r="Z911">
        <v>8536</v>
      </c>
      <c r="AE911">
        <v>47</v>
      </c>
      <c r="AF911" s="4">
        <v>0.5</v>
      </c>
      <c r="AG911">
        <f t="shared" si="93"/>
        <v>23.5</v>
      </c>
      <c r="AH911" s="4">
        <v>0.18</v>
      </c>
      <c r="AI911">
        <f t="shared" si="88"/>
        <v>27.73</v>
      </c>
      <c r="AJ911" s="4">
        <v>0.2</v>
      </c>
      <c r="AK911">
        <f t="shared" si="89"/>
        <v>5.55</v>
      </c>
      <c r="AL911">
        <f t="shared" si="90"/>
        <v>33.28</v>
      </c>
      <c r="AM911">
        <f t="shared" si="91"/>
        <v>13.72</v>
      </c>
      <c r="AN911" s="4">
        <f t="shared" si="92"/>
        <v>0.291914893617021</v>
      </c>
      <c r="AO911" t="s">
        <v>221</v>
      </c>
      <c r="AQ911" t="s">
        <v>217</v>
      </c>
      <c r="AT911" t="s">
        <v>1508</v>
      </c>
    </row>
    <row r="912" ht="15.75" customHeight="1" spans="1:46">
      <c r="A912" t="s">
        <v>1599</v>
      </c>
      <c r="B912" t="s">
        <v>67</v>
      </c>
      <c r="C912" t="s">
        <v>1499</v>
      </c>
      <c r="D912" t="s">
        <v>1563</v>
      </c>
      <c r="E912" t="s">
        <v>1593</v>
      </c>
      <c r="F912" t="s">
        <v>1600</v>
      </c>
      <c r="H912" t="s">
        <v>1566</v>
      </c>
      <c r="I912" t="s">
        <v>1567</v>
      </c>
      <c r="J912" t="s">
        <v>1568</v>
      </c>
      <c r="K912" t="s">
        <v>1574</v>
      </c>
      <c r="L912" t="s">
        <v>1570</v>
      </c>
      <c r="M912" t="s">
        <v>1575</v>
      </c>
      <c r="Q912" t="s">
        <v>57</v>
      </c>
      <c r="Y912" t="s">
        <v>1602</v>
      </c>
      <c r="Z912">
        <v>8536</v>
      </c>
      <c r="AE912">
        <v>129</v>
      </c>
      <c r="AF912" s="4">
        <v>0.5</v>
      </c>
      <c r="AG912">
        <f t="shared" si="93"/>
        <v>64.5</v>
      </c>
      <c r="AH912" s="4">
        <v>0.18</v>
      </c>
      <c r="AI912">
        <f t="shared" si="88"/>
        <v>76.11</v>
      </c>
      <c r="AJ912" s="4">
        <v>0.2</v>
      </c>
      <c r="AK912">
        <f t="shared" si="89"/>
        <v>15.22</v>
      </c>
      <c r="AL912">
        <f t="shared" si="90"/>
        <v>91.33</v>
      </c>
      <c r="AM912">
        <f t="shared" si="91"/>
        <v>37.67</v>
      </c>
      <c r="AN912" s="4">
        <f t="shared" si="92"/>
        <v>0.292015503875969</v>
      </c>
      <c r="AO912" t="s">
        <v>221</v>
      </c>
      <c r="AQ912" t="s">
        <v>217</v>
      </c>
      <c r="AT912" t="s">
        <v>1508</v>
      </c>
    </row>
    <row r="913" ht="15.75" customHeight="1" spans="1:46">
      <c r="A913" t="s">
        <v>1599</v>
      </c>
      <c r="B913" t="s">
        <v>71</v>
      </c>
      <c r="C913" t="s">
        <v>1499</v>
      </c>
      <c r="D913" t="s">
        <v>1563</v>
      </c>
      <c r="E913" t="s">
        <v>1593</v>
      </c>
      <c r="F913" t="s">
        <v>1600</v>
      </c>
      <c r="H913" t="s">
        <v>1566</v>
      </c>
      <c r="I913" t="s">
        <v>1567</v>
      </c>
      <c r="J913" t="s">
        <v>1568</v>
      </c>
      <c r="K913" t="s">
        <v>1578</v>
      </c>
      <c r="L913" t="s">
        <v>1570</v>
      </c>
      <c r="M913" t="s">
        <v>1571</v>
      </c>
      <c r="Q913" t="s">
        <v>57</v>
      </c>
      <c r="R913" t="s">
        <v>1603</v>
      </c>
      <c r="Y913" t="s">
        <v>1604</v>
      </c>
      <c r="Z913">
        <v>8536</v>
      </c>
      <c r="AE913">
        <v>107</v>
      </c>
      <c r="AF913" s="4">
        <v>0.5</v>
      </c>
      <c r="AG913">
        <f t="shared" si="93"/>
        <v>53.5</v>
      </c>
      <c r="AH913" s="4">
        <v>0.18</v>
      </c>
      <c r="AI913">
        <f t="shared" si="88"/>
        <v>63.13</v>
      </c>
      <c r="AJ913" s="4">
        <v>0.2</v>
      </c>
      <c r="AK913">
        <f t="shared" si="89"/>
        <v>12.63</v>
      </c>
      <c r="AL913">
        <f t="shared" si="90"/>
        <v>75.76</v>
      </c>
      <c r="AM913">
        <f t="shared" si="91"/>
        <v>31.24</v>
      </c>
      <c r="AN913" s="4">
        <f t="shared" si="92"/>
        <v>0.29196261682243</v>
      </c>
      <c r="AO913" t="s">
        <v>221</v>
      </c>
      <c r="AQ913" t="s">
        <v>217</v>
      </c>
      <c r="AT913" t="s">
        <v>1508</v>
      </c>
    </row>
    <row r="914" ht="15.75" customHeight="1" spans="1:46">
      <c r="A914" t="s">
        <v>1599</v>
      </c>
      <c r="B914" t="s">
        <v>75</v>
      </c>
      <c r="C914" t="s">
        <v>1499</v>
      </c>
      <c r="D914" t="s">
        <v>1563</v>
      </c>
      <c r="E914" t="s">
        <v>1593</v>
      </c>
      <c r="F914" t="s">
        <v>1600</v>
      </c>
      <c r="H914" t="s">
        <v>1566</v>
      </c>
      <c r="I914" t="s">
        <v>1589</v>
      </c>
      <c r="J914" t="s">
        <v>1568</v>
      </c>
      <c r="K914" t="s">
        <v>1578</v>
      </c>
      <c r="L914" t="s">
        <v>1570</v>
      </c>
      <c r="M914" t="s">
        <v>1571</v>
      </c>
      <c r="Q914" t="s">
        <v>57</v>
      </c>
      <c r="R914" t="s">
        <v>1605</v>
      </c>
      <c r="Y914" t="s">
        <v>1606</v>
      </c>
      <c r="Z914">
        <v>8536</v>
      </c>
      <c r="AE914">
        <v>153</v>
      </c>
      <c r="AF914" s="4">
        <v>0.5</v>
      </c>
      <c r="AG914">
        <f t="shared" si="93"/>
        <v>76.5</v>
      </c>
      <c r="AH914" s="4">
        <v>0.18</v>
      </c>
      <c r="AI914">
        <f t="shared" si="88"/>
        <v>90.27</v>
      </c>
      <c r="AJ914" s="4">
        <v>0.2</v>
      </c>
      <c r="AK914">
        <f t="shared" si="89"/>
        <v>18.05</v>
      </c>
      <c r="AL914">
        <f t="shared" si="90"/>
        <v>108.32</v>
      </c>
      <c r="AM914">
        <f t="shared" si="91"/>
        <v>44.68</v>
      </c>
      <c r="AN914" s="4">
        <f t="shared" si="92"/>
        <v>0.29202614379085</v>
      </c>
      <c r="AO914" t="s">
        <v>221</v>
      </c>
      <c r="AQ914" t="s">
        <v>217</v>
      </c>
      <c r="AT914" t="s">
        <v>1508</v>
      </c>
    </row>
    <row r="915" ht="15.75" customHeight="1" spans="1:46">
      <c r="A915" s="15" t="s">
        <v>1607</v>
      </c>
      <c r="B915" s="15" t="s">
        <v>46</v>
      </c>
      <c r="C915" s="15" t="s">
        <v>1499</v>
      </c>
      <c r="D915" s="15" t="s">
        <v>1563</v>
      </c>
      <c r="E915" s="15" t="s">
        <v>1593</v>
      </c>
      <c r="F915" s="15" t="s">
        <v>1608</v>
      </c>
      <c r="G915" s="15"/>
      <c r="H915" s="15" t="s">
        <v>1566</v>
      </c>
      <c r="I915" s="15" t="s">
        <v>1567</v>
      </c>
      <c r="J915" s="15" t="s">
        <v>1568</v>
      </c>
      <c r="K915" s="15" t="s">
        <v>1569</v>
      </c>
      <c r="L915" s="15" t="s">
        <v>1570</v>
      </c>
      <c r="M915" s="15" t="s">
        <v>1571</v>
      </c>
      <c r="N915" s="15"/>
      <c r="O915" s="15"/>
      <c r="P915" s="15"/>
      <c r="Q915" s="15" t="s">
        <v>57</v>
      </c>
      <c r="R915" s="15">
        <v>68001</v>
      </c>
      <c r="S915" s="15"/>
      <c r="T915" s="15"/>
      <c r="U915" s="15"/>
      <c r="V915" s="15"/>
      <c r="W915" s="15"/>
      <c r="X915" s="15"/>
      <c r="Y915" s="15" t="s">
        <v>1609</v>
      </c>
      <c r="Z915" s="15">
        <v>8536</v>
      </c>
      <c r="AA915" s="15"/>
      <c r="AB915" s="15"/>
      <c r="AC915" s="15"/>
      <c r="AD915" s="15"/>
      <c r="AE915" s="15">
        <v>32</v>
      </c>
      <c r="AF915" s="16">
        <v>0.5</v>
      </c>
      <c r="AG915" s="15">
        <f t="shared" si="93"/>
        <v>16</v>
      </c>
      <c r="AH915" s="16">
        <v>0.18</v>
      </c>
      <c r="AI915" s="15">
        <f t="shared" si="88"/>
        <v>18.88</v>
      </c>
      <c r="AJ915" s="16">
        <v>0.2</v>
      </c>
      <c r="AK915" s="15">
        <f t="shared" si="89"/>
        <v>3.78</v>
      </c>
      <c r="AL915" s="15">
        <f t="shared" si="90"/>
        <v>22.66</v>
      </c>
      <c r="AM915" s="15">
        <f t="shared" si="91"/>
        <v>9.34</v>
      </c>
      <c r="AN915" s="16">
        <f t="shared" si="92"/>
        <v>0.291875</v>
      </c>
      <c r="AO915" s="15" t="s">
        <v>221</v>
      </c>
      <c r="AP915" s="15"/>
      <c r="AQ915" s="15" t="s">
        <v>217</v>
      </c>
      <c r="AR915" s="15"/>
      <c r="AS915" s="15"/>
      <c r="AT915" t="s">
        <v>869</v>
      </c>
    </row>
    <row r="916" ht="15.75" customHeight="1" spans="1:46">
      <c r="A916" s="15" t="s">
        <v>1607</v>
      </c>
      <c r="B916" s="15" t="s">
        <v>67</v>
      </c>
      <c r="C916" s="15" t="s">
        <v>1499</v>
      </c>
      <c r="D916" s="15" t="s">
        <v>1563</v>
      </c>
      <c r="E916" s="15" t="s">
        <v>1593</v>
      </c>
      <c r="F916" s="15" t="s">
        <v>1608</v>
      </c>
      <c r="G916" s="15"/>
      <c r="H916" s="15" t="s">
        <v>1566</v>
      </c>
      <c r="I916" s="15" t="s">
        <v>1567</v>
      </c>
      <c r="J916" s="15" t="s">
        <v>1568</v>
      </c>
      <c r="K916" s="15" t="s">
        <v>1574</v>
      </c>
      <c r="L916" s="15" t="s">
        <v>1570</v>
      </c>
      <c r="M916" s="15" t="s">
        <v>1575</v>
      </c>
      <c r="N916" s="15"/>
      <c r="O916" s="15"/>
      <c r="P916" s="15"/>
      <c r="Q916" s="15" t="s">
        <v>57</v>
      </c>
      <c r="R916" s="15">
        <v>68077</v>
      </c>
      <c r="S916" s="15"/>
      <c r="T916" s="15"/>
      <c r="U916" s="15"/>
      <c r="V916" s="15"/>
      <c r="W916" s="15"/>
      <c r="X916" s="15"/>
      <c r="Y916" s="15" t="s">
        <v>1610</v>
      </c>
      <c r="Z916" s="15">
        <v>8536</v>
      </c>
      <c r="AA916" s="15"/>
      <c r="AB916" s="15"/>
      <c r="AC916" s="15"/>
      <c r="AD916" s="15"/>
      <c r="AE916" s="15">
        <v>84</v>
      </c>
      <c r="AF916" s="16">
        <v>0.5</v>
      </c>
      <c r="AG916" s="15">
        <f t="shared" si="93"/>
        <v>42</v>
      </c>
      <c r="AH916" s="16">
        <v>0.18</v>
      </c>
      <c r="AI916" s="15">
        <f t="shared" si="88"/>
        <v>49.56</v>
      </c>
      <c r="AJ916" s="16">
        <v>0.2</v>
      </c>
      <c r="AK916" s="15">
        <f t="shared" si="89"/>
        <v>9.91</v>
      </c>
      <c r="AL916" s="15">
        <f t="shared" si="90"/>
        <v>59.47</v>
      </c>
      <c r="AM916" s="15">
        <f t="shared" si="91"/>
        <v>24.53</v>
      </c>
      <c r="AN916" s="16">
        <f t="shared" si="92"/>
        <v>0.29202380952381</v>
      </c>
      <c r="AO916" s="15" t="s">
        <v>221</v>
      </c>
      <c r="AP916" s="15"/>
      <c r="AQ916" s="15" t="s">
        <v>217</v>
      </c>
      <c r="AR916" s="15"/>
      <c r="AS916" s="15"/>
      <c r="AT916" t="s">
        <v>869</v>
      </c>
    </row>
    <row r="917" ht="15.75" customHeight="1" spans="1:46">
      <c r="A917" s="15" t="s">
        <v>1607</v>
      </c>
      <c r="B917" s="15" t="s">
        <v>71</v>
      </c>
      <c r="C917" s="15" t="s">
        <v>1499</v>
      </c>
      <c r="D917" s="15" t="s">
        <v>1563</v>
      </c>
      <c r="E917" s="15" t="s">
        <v>1593</v>
      </c>
      <c r="F917" s="15" t="s">
        <v>1608</v>
      </c>
      <c r="G917" s="15"/>
      <c r="H917" s="15" t="s">
        <v>1566</v>
      </c>
      <c r="I917" s="15" t="s">
        <v>1567</v>
      </c>
      <c r="J917" s="15" t="s">
        <v>1568</v>
      </c>
      <c r="K917" s="15" t="s">
        <v>1578</v>
      </c>
      <c r="L917" s="15" t="s">
        <v>1570</v>
      </c>
      <c r="M917" s="15" t="s">
        <v>1571</v>
      </c>
      <c r="N917" s="15"/>
      <c r="O917" s="15"/>
      <c r="P917" s="15"/>
      <c r="Q917" s="15" t="s">
        <v>57</v>
      </c>
      <c r="R917" s="15">
        <v>68003</v>
      </c>
      <c r="S917" s="15"/>
      <c r="T917" s="15"/>
      <c r="U917" s="15"/>
      <c r="V917" s="15"/>
      <c r="W917" s="15"/>
      <c r="X917" s="15"/>
      <c r="Y917" s="15" t="s">
        <v>1611</v>
      </c>
      <c r="Z917" s="15">
        <v>8536</v>
      </c>
      <c r="AA917" s="15"/>
      <c r="AB917" s="15"/>
      <c r="AC917" s="15"/>
      <c r="AD917" s="15"/>
      <c r="AE917" s="15">
        <v>64</v>
      </c>
      <c r="AF917" s="16">
        <v>0.5</v>
      </c>
      <c r="AG917" s="15">
        <f t="shared" si="93"/>
        <v>32</v>
      </c>
      <c r="AH917" s="16">
        <v>0.18</v>
      </c>
      <c r="AI917" s="15">
        <f t="shared" si="88"/>
        <v>37.76</v>
      </c>
      <c r="AJ917" s="16">
        <v>0.2</v>
      </c>
      <c r="AK917" s="15">
        <f t="shared" si="89"/>
        <v>7.55</v>
      </c>
      <c r="AL917" s="15">
        <f t="shared" si="90"/>
        <v>45.31</v>
      </c>
      <c r="AM917" s="15">
        <f t="shared" si="91"/>
        <v>18.69</v>
      </c>
      <c r="AN917" s="16">
        <f t="shared" si="92"/>
        <v>0.29203125</v>
      </c>
      <c r="AO917" s="15" t="s">
        <v>221</v>
      </c>
      <c r="AP917" s="15"/>
      <c r="AQ917" s="15" t="s">
        <v>217</v>
      </c>
      <c r="AR917" s="15"/>
      <c r="AS917" s="15"/>
      <c r="AT917" t="s">
        <v>869</v>
      </c>
    </row>
    <row r="918" ht="15.75" customHeight="1" spans="1:46">
      <c r="A918" s="15" t="s">
        <v>1607</v>
      </c>
      <c r="B918" s="15" t="s">
        <v>75</v>
      </c>
      <c r="C918" s="15" t="s">
        <v>1499</v>
      </c>
      <c r="D918" s="15" t="s">
        <v>1563</v>
      </c>
      <c r="E918" s="15" t="s">
        <v>1593</v>
      </c>
      <c r="F918" s="15" t="s">
        <v>1608</v>
      </c>
      <c r="G918" s="15"/>
      <c r="H918" s="15" t="s">
        <v>1566</v>
      </c>
      <c r="I918" s="15" t="s">
        <v>1589</v>
      </c>
      <c r="J918" s="15" t="s">
        <v>1568</v>
      </c>
      <c r="K918" s="15" t="s">
        <v>1578</v>
      </c>
      <c r="L918" s="15" t="s">
        <v>1570</v>
      </c>
      <c r="M918" s="15" t="s">
        <v>1571</v>
      </c>
      <c r="N918" s="15"/>
      <c r="O918" s="15"/>
      <c r="P918" s="15"/>
      <c r="Q918" s="15" t="s">
        <v>57</v>
      </c>
      <c r="R918" s="15">
        <v>68032</v>
      </c>
      <c r="S918" s="15"/>
      <c r="T918" s="15"/>
      <c r="U918" s="15"/>
      <c r="V918" s="15"/>
      <c r="W918" s="15"/>
      <c r="X918" s="15"/>
      <c r="Y918" s="15" t="s">
        <v>1612</v>
      </c>
      <c r="Z918" s="15">
        <v>8536</v>
      </c>
      <c r="AA918" s="15"/>
      <c r="AB918" s="15"/>
      <c r="AC918" s="15"/>
      <c r="AD918" s="15"/>
      <c r="AE918" s="15">
        <v>184</v>
      </c>
      <c r="AF918" s="16">
        <v>0.5</v>
      </c>
      <c r="AG918" s="15">
        <f t="shared" si="93"/>
        <v>92</v>
      </c>
      <c r="AH918" s="16">
        <v>0.18</v>
      </c>
      <c r="AI918" s="15">
        <f t="shared" si="88"/>
        <v>108.56</v>
      </c>
      <c r="AJ918" s="16">
        <v>0.2</v>
      </c>
      <c r="AK918" s="15">
        <f t="shared" si="89"/>
        <v>21.71</v>
      </c>
      <c r="AL918" s="15">
        <f t="shared" si="90"/>
        <v>130.27</v>
      </c>
      <c r="AM918" s="15">
        <f t="shared" si="91"/>
        <v>53.73</v>
      </c>
      <c r="AN918" s="16">
        <f t="shared" si="92"/>
        <v>0.292010869565217</v>
      </c>
      <c r="AO918" s="15" t="s">
        <v>221</v>
      </c>
      <c r="AP918" s="15"/>
      <c r="AQ918" s="15" t="s">
        <v>217</v>
      </c>
      <c r="AR918" s="15"/>
      <c r="AS918" s="15"/>
      <c r="AT918" t="s">
        <v>869</v>
      </c>
    </row>
    <row r="919" ht="15.75" customHeight="1" spans="1:46">
      <c r="A919" s="15" t="s">
        <v>1613</v>
      </c>
      <c r="B919" s="15" t="s">
        <v>46</v>
      </c>
      <c r="C919" s="15" t="s">
        <v>1499</v>
      </c>
      <c r="D919" s="15" t="s">
        <v>1563</v>
      </c>
      <c r="E919" s="15" t="s">
        <v>1593</v>
      </c>
      <c r="F919" s="15" t="s">
        <v>1614</v>
      </c>
      <c r="G919" s="15"/>
      <c r="H919" s="15" t="s">
        <v>1566</v>
      </c>
      <c r="I919" s="15" t="s">
        <v>1567</v>
      </c>
      <c r="J919" s="15" t="s">
        <v>1568</v>
      </c>
      <c r="K919" s="15" t="s">
        <v>1569</v>
      </c>
      <c r="L919" s="15" t="s">
        <v>1570</v>
      </c>
      <c r="M919" s="15" t="s">
        <v>1571</v>
      </c>
      <c r="N919" s="15"/>
      <c r="O919" s="15"/>
      <c r="P919" s="15"/>
      <c r="Q919" s="15" t="s">
        <v>57</v>
      </c>
      <c r="R919" s="15"/>
      <c r="S919" s="15"/>
      <c r="T919" s="15"/>
      <c r="U919" s="15"/>
      <c r="V919" s="15"/>
      <c r="W919" s="15"/>
      <c r="X919" s="15"/>
      <c r="Y919" s="15" t="s">
        <v>1615</v>
      </c>
      <c r="Z919" s="15">
        <v>8536</v>
      </c>
      <c r="AA919" s="15"/>
      <c r="AB919" s="15"/>
      <c r="AC919" s="15"/>
      <c r="AD919" s="15"/>
      <c r="AE919" s="15">
        <v>184</v>
      </c>
      <c r="AF919" s="16">
        <v>0.5</v>
      </c>
      <c r="AG919" s="15">
        <f t="shared" si="93"/>
        <v>92</v>
      </c>
      <c r="AH919" s="16">
        <v>0.18</v>
      </c>
      <c r="AI919" s="15">
        <f t="shared" si="88"/>
        <v>108.56</v>
      </c>
      <c r="AJ919" s="16">
        <v>0.2</v>
      </c>
      <c r="AK919" s="15">
        <f t="shared" si="89"/>
        <v>21.71</v>
      </c>
      <c r="AL919" s="15">
        <f t="shared" si="90"/>
        <v>130.27</v>
      </c>
      <c r="AM919" s="15">
        <f t="shared" si="91"/>
        <v>53.73</v>
      </c>
      <c r="AN919" s="16">
        <f t="shared" si="92"/>
        <v>0.292010869565217</v>
      </c>
      <c r="AO919" s="15" t="s">
        <v>221</v>
      </c>
      <c r="AP919" s="15"/>
      <c r="AQ919" s="15" t="s">
        <v>217</v>
      </c>
      <c r="AR919" s="15"/>
      <c r="AS919" s="15"/>
      <c r="AT919" t="s">
        <v>869</v>
      </c>
    </row>
    <row r="920" ht="15.75" customHeight="1" spans="1:46">
      <c r="A920" s="15" t="s">
        <v>1613</v>
      </c>
      <c r="B920" s="15" t="s">
        <v>67</v>
      </c>
      <c r="C920" s="15" t="s">
        <v>1499</v>
      </c>
      <c r="D920" s="15" t="s">
        <v>1563</v>
      </c>
      <c r="E920" s="15" t="s">
        <v>1593</v>
      </c>
      <c r="F920" s="15" t="s">
        <v>1614</v>
      </c>
      <c r="G920" s="15"/>
      <c r="H920" s="15" t="s">
        <v>1566</v>
      </c>
      <c r="I920" s="15" t="s">
        <v>1567</v>
      </c>
      <c r="J920" s="15" t="s">
        <v>1568</v>
      </c>
      <c r="K920" s="15" t="s">
        <v>1574</v>
      </c>
      <c r="L920" s="15" t="s">
        <v>1570</v>
      </c>
      <c r="M920" s="15" t="s">
        <v>1575</v>
      </c>
      <c r="N920" s="15"/>
      <c r="O920" s="15"/>
      <c r="P920" s="15"/>
      <c r="Q920" s="15" t="s">
        <v>57</v>
      </c>
      <c r="R920" s="15"/>
      <c r="S920" s="15"/>
      <c r="T920" s="15"/>
      <c r="U920" s="15"/>
      <c r="V920" s="15"/>
      <c r="W920" s="15"/>
      <c r="X920" s="15"/>
      <c r="Y920" s="15" t="s">
        <v>1616</v>
      </c>
      <c r="Z920" s="15">
        <v>8536</v>
      </c>
      <c r="AA920" s="15"/>
      <c r="AB920" s="15"/>
      <c r="AC920" s="15"/>
      <c r="AD920" s="15"/>
      <c r="AE920" s="15">
        <v>184</v>
      </c>
      <c r="AF920" s="16">
        <v>0.5</v>
      </c>
      <c r="AG920" s="15">
        <f t="shared" si="93"/>
        <v>92</v>
      </c>
      <c r="AH920" s="16">
        <v>0.18</v>
      </c>
      <c r="AI920" s="15">
        <f t="shared" si="88"/>
        <v>108.56</v>
      </c>
      <c r="AJ920" s="16">
        <v>0.2</v>
      </c>
      <c r="AK920" s="15">
        <f t="shared" si="89"/>
        <v>21.71</v>
      </c>
      <c r="AL920" s="15">
        <f t="shared" si="90"/>
        <v>130.27</v>
      </c>
      <c r="AM920" s="15">
        <f t="shared" si="91"/>
        <v>53.73</v>
      </c>
      <c r="AN920" s="16">
        <f t="shared" si="92"/>
        <v>0.292010869565217</v>
      </c>
      <c r="AO920" s="15" t="s">
        <v>221</v>
      </c>
      <c r="AP920" s="15"/>
      <c r="AQ920" s="15" t="s">
        <v>217</v>
      </c>
      <c r="AR920" s="15"/>
      <c r="AS920" s="15"/>
      <c r="AT920" t="s">
        <v>869</v>
      </c>
    </row>
    <row r="921" ht="15.75" customHeight="1" spans="1:46">
      <c r="A921" s="15" t="s">
        <v>1613</v>
      </c>
      <c r="B921" s="15" t="s">
        <v>71</v>
      </c>
      <c r="C921" s="15" t="s">
        <v>1499</v>
      </c>
      <c r="D921" s="15" t="s">
        <v>1563</v>
      </c>
      <c r="E921" s="15" t="s">
        <v>1593</v>
      </c>
      <c r="F921" s="15" t="s">
        <v>1614</v>
      </c>
      <c r="G921" s="15"/>
      <c r="H921" s="15" t="s">
        <v>1566</v>
      </c>
      <c r="I921" s="15" t="s">
        <v>1567</v>
      </c>
      <c r="J921" s="15" t="s">
        <v>1568</v>
      </c>
      <c r="K921" s="15" t="s">
        <v>1578</v>
      </c>
      <c r="L921" s="15" t="s">
        <v>1570</v>
      </c>
      <c r="M921" s="15" t="s">
        <v>1571</v>
      </c>
      <c r="N921" s="15"/>
      <c r="O921" s="15"/>
      <c r="P921" s="15"/>
      <c r="Q921" s="15" t="s">
        <v>57</v>
      </c>
      <c r="R921" s="15"/>
      <c r="S921" s="15"/>
      <c r="T921" s="15"/>
      <c r="U921" s="15"/>
      <c r="V921" s="15"/>
      <c r="W921" s="15"/>
      <c r="X921" s="15"/>
      <c r="Y921" s="15" t="s">
        <v>1617</v>
      </c>
      <c r="Z921" s="15">
        <v>8536</v>
      </c>
      <c r="AA921" s="15"/>
      <c r="AB921" s="15"/>
      <c r="AC921" s="15"/>
      <c r="AD921" s="15"/>
      <c r="AE921" s="15">
        <v>184</v>
      </c>
      <c r="AF921" s="16">
        <v>0.5</v>
      </c>
      <c r="AG921" s="15">
        <f t="shared" si="93"/>
        <v>92</v>
      </c>
      <c r="AH921" s="16">
        <v>0.18</v>
      </c>
      <c r="AI921" s="15">
        <f t="shared" si="88"/>
        <v>108.56</v>
      </c>
      <c r="AJ921" s="16">
        <v>0.2</v>
      </c>
      <c r="AK921" s="15">
        <f t="shared" si="89"/>
        <v>21.71</v>
      </c>
      <c r="AL921" s="15">
        <f t="shared" si="90"/>
        <v>130.27</v>
      </c>
      <c r="AM921" s="15">
        <f t="shared" si="91"/>
        <v>53.73</v>
      </c>
      <c r="AN921" s="16">
        <f t="shared" si="92"/>
        <v>0.292010869565217</v>
      </c>
      <c r="AO921" s="15" t="s">
        <v>221</v>
      </c>
      <c r="AP921" s="15"/>
      <c r="AQ921" s="15" t="s">
        <v>217</v>
      </c>
      <c r="AR921" s="15"/>
      <c r="AS921" s="15"/>
      <c r="AT921" t="s">
        <v>869</v>
      </c>
    </row>
    <row r="922" ht="15.75" customHeight="1" spans="1:46">
      <c r="A922" s="15" t="s">
        <v>1613</v>
      </c>
      <c r="B922" s="15" t="s">
        <v>75</v>
      </c>
      <c r="C922" s="15" t="s">
        <v>1499</v>
      </c>
      <c r="D922" s="15" t="s">
        <v>1563</v>
      </c>
      <c r="E922" s="15" t="s">
        <v>1593</v>
      </c>
      <c r="F922" s="15" t="s">
        <v>1614</v>
      </c>
      <c r="G922" s="15"/>
      <c r="H922" s="15" t="s">
        <v>1566</v>
      </c>
      <c r="I922" s="15" t="s">
        <v>1589</v>
      </c>
      <c r="J922" s="15" t="s">
        <v>1568</v>
      </c>
      <c r="K922" s="15" t="s">
        <v>1578</v>
      </c>
      <c r="L922" s="15" t="s">
        <v>1570</v>
      </c>
      <c r="M922" s="15" t="s">
        <v>1571</v>
      </c>
      <c r="N922" s="15"/>
      <c r="O922" s="15"/>
      <c r="P922" s="15"/>
      <c r="Q922" s="15" t="s">
        <v>57</v>
      </c>
      <c r="R922" s="15"/>
      <c r="S922" s="15"/>
      <c r="T922" s="15"/>
      <c r="U922" s="15"/>
      <c r="V922" s="15"/>
      <c r="W922" s="15"/>
      <c r="X922" s="15"/>
      <c r="Y922" s="15" t="s">
        <v>1618</v>
      </c>
      <c r="Z922" s="15">
        <v>8536</v>
      </c>
      <c r="AA922" s="15"/>
      <c r="AB922" s="15"/>
      <c r="AC922" s="15"/>
      <c r="AD922" s="15"/>
      <c r="AE922" s="15">
        <v>184</v>
      </c>
      <c r="AF922" s="16">
        <v>0.5</v>
      </c>
      <c r="AG922" s="15">
        <f t="shared" si="93"/>
        <v>92</v>
      </c>
      <c r="AH922" s="16">
        <v>0.18</v>
      </c>
      <c r="AI922" s="15">
        <f t="shared" si="88"/>
        <v>108.56</v>
      </c>
      <c r="AJ922" s="16">
        <v>0.2</v>
      </c>
      <c r="AK922" s="15">
        <f t="shared" si="89"/>
        <v>21.71</v>
      </c>
      <c r="AL922" s="15">
        <f t="shared" si="90"/>
        <v>130.27</v>
      </c>
      <c r="AM922" s="15">
        <f t="shared" si="91"/>
        <v>53.73</v>
      </c>
      <c r="AN922" s="16">
        <f t="shared" si="92"/>
        <v>0.292010869565217</v>
      </c>
      <c r="AO922" s="15" t="s">
        <v>221</v>
      </c>
      <c r="AP922" s="15"/>
      <c r="AQ922" s="15" t="s">
        <v>217</v>
      </c>
      <c r="AR922" s="15"/>
      <c r="AS922" s="15"/>
      <c r="AT922" t="s">
        <v>869</v>
      </c>
    </row>
    <row r="923" ht="15.75" customHeight="1" spans="1:46">
      <c r="A923" t="s">
        <v>1619</v>
      </c>
      <c r="B923" t="s">
        <v>46</v>
      </c>
      <c r="C923" t="s">
        <v>1499</v>
      </c>
      <c r="D923" t="s">
        <v>1563</v>
      </c>
      <c r="E923" t="s">
        <v>1593</v>
      </c>
      <c r="F923" t="s">
        <v>1620</v>
      </c>
      <c r="H923" t="s">
        <v>1566</v>
      </c>
      <c r="I923" t="s">
        <v>1567</v>
      </c>
      <c r="J923" t="s">
        <v>1568</v>
      </c>
      <c r="K923" t="s">
        <v>1569</v>
      </c>
      <c r="L923" t="s">
        <v>1570</v>
      </c>
      <c r="M923" t="s">
        <v>1571</v>
      </c>
      <c r="Q923" t="s">
        <v>57</v>
      </c>
      <c r="R923">
        <v>47101</v>
      </c>
      <c r="Y923" t="s">
        <v>1621</v>
      </c>
      <c r="Z923">
        <v>8536</v>
      </c>
      <c r="AE923">
        <v>56</v>
      </c>
      <c r="AF923" s="4">
        <v>0.5</v>
      </c>
      <c r="AG923">
        <f t="shared" si="93"/>
        <v>28</v>
      </c>
      <c r="AH923" s="4">
        <v>0.18</v>
      </c>
      <c r="AI923">
        <f t="shared" si="88"/>
        <v>33.04</v>
      </c>
      <c r="AJ923" s="4">
        <v>0.2</v>
      </c>
      <c r="AK923">
        <f t="shared" si="89"/>
        <v>6.61</v>
      </c>
      <c r="AL923">
        <f t="shared" si="90"/>
        <v>39.65</v>
      </c>
      <c r="AM923">
        <f t="shared" si="91"/>
        <v>16.35</v>
      </c>
      <c r="AN923" s="4">
        <f t="shared" si="92"/>
        <v>0.291964285714286</v>
      </c>
      <c r="AO923" t="s">
        <v>221</v>
      </c>
      <c r="AQ923" t="s">
        <v>217</v>
      </c>
      <c r="AT923" t="s">
        <v>1508</v>
      </c>
    </row>
    <row r="924" ht="15.75" customHeight="1" spans="1:46">
      <c r="A924" t="s">
        <v>1619</v>
      </c>
      <c r="B924" t="s">
        <v>67</v>
      </c>
      <c r="C924" t="s">
        <v>1499</v>
      </c>
      <c r="D924" t="s">
        <v>1563</v>
      </c>
      <c r="E924" t="s">
        <v>1593</v>
      </c>
      <c r="F924" t="s">
        <v>1620</v>
      </c>
      <c r="H924" t="s">
        <v>1566</v>
      </c>
      <c r="I924" t="s">
        <v>1567</v>
      </c>
      <c r="J924" t="s">
        <v>1568</v>
      </c>
      <c r="K924" t="s">
        <v>1574</v>
      </c>
      <c r="L924" t="s">
        <v>1570</v>
      </c>
      <c r="M924" t="s">
        <v>1575</v>
      </c>
      <c r="Q924" t="s">
        <v>57</v>
      </c>
      <c r="R924">
        <v>47161</v>
      </c>
      <c r="Y924" t="s">
        <v>1622</v>
      </c>
      <c r="Z924">
        <v>8536</v>
      </c>
      <c r="AE924">
        <v>111</v>
      </c>
      <c r="AF924" s="4">
        <v>0.5</v>
      </c>
      <c r="AG924">
        <f t="shared" si="93"/>
        <v>55.5</v>
      </c>
      <c r="AH924" s="4">
        <v>0.18</v>
      </c>
      <c r="AI924">
        <f t="shared" si="88"/>
        <v>65.49</v>
      </c>
      <c r="AJ924" s="4">
        <v>0.2</v>
      </c>
      <c r="AK924">
        <f t="shared" si="89"/>
        <v>13.1</v>
      </c>
      <c r="AL924">
        <f t="shared" si="90"/>
        <v>78.59</v>
      </c>
      <c r="AM924">
        <f t="shared" si="91"/>
        <v>32.41</v>
      </c>
      <c r="AN924" s="4">
        <f t="shared" si="92"/>
        <v>0.291981981981982</v>
      </c>
      <c r="AO924" t="s">
        <v>221</v>
      </c>
      <c r="AQ924" t="s">
        <v>217</v>
      </c>
      <c r="AT924" t="s">
        <v>1508</v>
      </c>
    </row>
    <row r="925" ht="15.75" customHeight="1" spans="1:46">
      <c r="A925" t="s">
        <v>1619</v>
      </c>
      <c r="B925" t="s">
        <v>71</v>
      </c>
      <c r="C925" t="s">
        <v>1499</v>
      </c>
      <c r="D925" t="s">
        <v>1563</v>
      </c>
      <c r="E925" t="s">
        <v>1593</v>
      </c>
      <c r="F925" t="s">
        <v>1620</v>
      </c>
      <c r="H925" t="s">
        <v>1566</v>
      </c>
      <c r="I925" t="s">
        <v>1567</v>
      </c>
      <c r="J925" t="s">
        <v>1568</v>
      </c>
      <c r="K925" t="s">
        <v>1578</v>
      </c>
      <c r="L925" t="s">
        <v>1570</v>
      </c>
      <c r="M925" t="s">
        <v>1571</v>
      </c>
      <c r="Q925" t="s">
        <v>57</v>
      </c>
      <c r="R925">
        <v>47104</v>
      </c>
      <c r="Y925" t="s">
        <v>1623</v>
      </c>
      <c r="Z925">
        <v>8536</v>
      </c>
      <c r="AE925">
        <v>93</v>
      </c>
      <c r="AF925" s="4">
        <v>0.5</v>
      </c>
      <c r="AG925">
        <f t="shared" si="93"/>
        <v>46.5</v>
      </c>
      <c r="AH925" s="4">
        <v>0.18</v>
      </c>
      <c r="AI925">
        <f t="shared" si="88"/>
        <v>54.87</v>
      </c>
      <c r="AJ925" s="4">
        <v>0.2</v>
      </c>
      <c r="AK925">
        <f t="shared" si="89"/>
        <v>10.97</v>
      </c>
      <c r="AL925">
        <f t="shared" si="90"/>
        <v>65.84</v>
      </c>
      <c r="AM925">
        <f t="shared" si="91"/>
        <v>27.16</v>
      </c>
      <c r="AN925" s="4">
        <f t="shared" si="92"/>
        <v>0.292043010752688</v>
      </c>
      <c r="AO925" t="s">
        <v>221</v>
      </c>
      <c r="AQ925" t="s">
        <v>217</v>
      </c>
      <c r="AT925" t="s">
        <v>1508</v>
      </c>
    </row>
    <row r="926" ht="15.75" customHeight="1" spans="1:46">
      <c r="A926" t="s">
        <v>1619</v>
      </c>
      <c r="B926" t="s">
        <v>75</v>
      </c>
      <c r="C926" t="s">
        <v>1499</v>
      </c>
      <c r="D926" t="s">
        <v>1563</v>
      </c>
      <c r="E926" t="s">
        <v>1593</v>
      </c>
      <c r="F926" t="s">
        <v>1620</v>
      </c>
      <c r="H926" t="s">
        <v>1566</v>
      </c>
      <c r="I926" t="s">
        <v>1589</v>
      </c>
      <c r="J926" t="s">
        <v>1568</v>
      </c>
      <c r="K926" t="s">
        <v>1578</v>
      </c>
      <c r="L926" t="s">
        <v>1570</v>
      </c>
      <c r="M926" t="s">
        <v>1571</v>
      </c>
      <c r="Q926" t="s">
        <v>57</v>
      </c>
      <c r="R926">
        <v>47204</v>
      </c>
      <c r="Y926" t="s">
        <v>1624</v>
      </c>
      <c r="Z926">
        <v>8536</v>
      </c>
      <c r="AE926">
        <v>110</v>
      </c>
      <c r="AF926" s="4">
        <v>0.5</v>
      </c>
      <c r="AG926">
        <f t="shared" si="93"/>
        <v>55</v>
      </c>
      <c r="AH926" s="4">
        <v>0.18</v>
      </c>
      <c r="AI926">
        <f t="shared" si="88"/>
        <v>64.9</v>
      </c>
      <c r="AJ926" s="4">
        <v>0.2</v>
      </c>
      <c r="AK926">
        <f t="shared" si="89"/>
        <v>12.98</v>
      </c>
      <c r="AL926">
        <f t="shared" si="90"/>
        <v>77.88</v>
      </c>
      <c r="AM926">
        <f t="shared" si="91"/>
        <v>32.12</v>
      </c>
      <c r="AN926" s="4">
        <f t="shared" si="92"/>
        <v>0.292</v>
      </c>
      <c r="AO926" t="s">
        <v>221</v>
      </c>
      <c r="AQ926" t="s">
        <v>217</v>
      </c>
      <c r="AT926" t="s">
        <v>1508</v>
      </c>
    </row>
    <row r="927" ht="15.75" customHeight="1" spans="1:46">
      <c r="A927" t="s">
        <v>1625</v>
      </c>
      <c r="B927" t="s">
        <v>46</v>
      </c>
      <c r="C927" t="s">
        <v>1499</v>
      </c>
      <c r="D927" t="s">
        <v>1563</v>
      </c>
      <c r="E927" t="s">
        <v>1626</v>
      </c>
      <c r="F927" t="s">
        <v>1627</v>
      </c>
      <c r="H927" t="s">
        <v>1566</v>
      </c>
      <c r="I927" t="s">
        <v>1567</v>
      </c>
      <c r="J927" t="s">
        <v>1568</v>
      </c>
      <c r="K927" t="s">
        <v>1569</v>
      </c>
      <c r="L927" t="s">
        <v>1570</v>
      </c>
      <c r="M927" t="s">
        <v>1571</v>
      </c>
      <c r="N927" t="s">
        <v>1628</v>
      </c>
      <c r="Q927" t="s">
        <v>57</v>
      </c>
      <c r="Y927" t="s">
        <v>1629</v>
      </c>
      <c r="Z927">
        <v>8536</v>
      </c>
      <c r="AE927">
        <v>148</v>
      </c>
      <c r="AF927" s="4">
        <v>0.5</v>
      </c>
      <c r="AG927">
        <f t="shared" si="93"/>
        <v>74</v>
      </c>
      <c r="AH927" s="4">
        <v>0.18</v>
      </c>
      <c r="AI927">
        <f t="shared" si="88"/>
        <v>87.32</v>
      </c>
      <c r="AJ927" s="4">
        <v>0.2</v>
      </c>
      <c r="AK927">
        <f t="shared" si="89"/>
        <v>17.46</v>
      </c>
      <c r="AL927">
        <f t="shared" si="90"/>
        <v>104.78</v>
      </c>
      <c r="AM927">
        <f t="shared" si="91"/>
        <v>43.22</v>
      </c>
      <c r="AN927" s="4">
        <f t="shared" si="92"/>
        <v>0.292027027027027</v>
      </c>
      <c r="AO927" t="s">
        <v>221</v>
      </c>
      <c r="AQ927" t="s">
        <v>217</v>
      </c>
      <c r="AT927" t="s">
        <v>1508</v>
      </c>
    </row>
    <row r="928" ht="15.75" customHeight="1" spans="1:46">
      <c r="A928" t="s">
        <v>1625</v>
      </c>
      <c r="B928" t="s">
        <v>67</v>
      </c>
      <c r="C928" t="s">
        <v>1499</v>
      </c>
      <c r="D928" t="s">
        <v>1563</v>
      </c>
      <c r="E928" t="s">
        <v>1626</v>
      </c>
      <c r="F928" t="s">
        <v>1627</v>
      </c>
      <c r="H928" t="s">
        <v>1566</v>
      </c>
      <c r="I928" t="s">
        <v>1567</v>
      </c>
      <c r="J928" t="s">
        <v>1568</v>
      </c>
      <c r="K928" t="s">
        <v>1574</v>
      </c>
      <c r="L928" t="s">
        <v>1570</v>
      </c>
      <c r="M928" t="s">
        <v>1575</v>
      </c>
      <c r="N928" s="17">
        <v>1787012</v>
      </c>
      <c r="Q928" t="s">
        <v>57</v>
      </c>
      <c r="Y928" t="s">
        <v>1630</v>
      </c>
      <c r="Z928">
        <v>8536</v>
      </c>
      <c r="AE928">
        <v>346</v>
      </c>
      <c r="AF928" s="4">
        <v>0.5</v>
      </c>
      <c r="AG928">
        <f t="shared" si="93"/>
        <v>173</v>
      </c>
      <c r="AH928" s="4">
        <v>0.18</v>
      </c>
      <c r="AI928">
        <f t="shared" si="88"/>
        <v>204.14</v>
      </c>
      <c r="AJ928" s="4">
        <v>0.2</v>
      </c>
      <c r="AK928">
        <f t="shared" si="89"/>
        <v>40.83</v>
      </c>
      <c r="AL928">
        <f t="shared" si="90"/>
        <v>244.97</v>
      </c>
      <c r="AM928">
        <f t="shared" si="91"/>
        <v>101.03</v>
      </c>
      <c r="AN928" s="4">
        <f t="shared" si="92"/>
        <v>0.291994219653179</v>
      </c>
      <c r="AO928" t="s">
        <v>221</v>
      </c>
      <c r="AQ928" t="s">
        <v>217</v>
      </c>
      <c r="AT928" t="s">
        <v>1508</v>
      </c>
    </row>
    <row r="929" ht="15.75" customHeight="1" spans="1:46">
      <c r="A929" t="s">
        <v>1625</v>
      </c>
      <c r="B929" t="s">
        <v>71</v>
      </c>
      <c r="C929" t="s">
        <v>1499</v>
      </c>
      <c r="D929" t="s">
        <v>1563</v>
      </c>
      <c r="E929" t="s">
        <v>1626</v>
      </c>
      <c r="F929" t="s">
        <v>1627</v>
      </c>
      <c r="H929" t="s">
        <v>1566</v>
      </c>
      <c r="I929" t="s">
        <v>1567</v>
      </c>
      <c r="J929" t="s">
        <v>1568</v>
      </c>
      <c r="K929" t="s">
        <v>1578</v>
      </c>
      <c r="L929" t="s">
        <v>1570</v>
      </c>
      <c r="M929" t="s">
        <v>1571</v>
      </c>
      <c r="N929" t="s">
        <v>1631</v>
      </c>
      <c r="Q929" t="s">
        <v>57</v>
      </c>
      <c r="Y929" t="s">
        <v>1632</v>
      </c>
      <c r="Z929">
        <v>8536</v>
      </c>
      <c r="AE929">
        <v>290</v>
      </c>
      <c r="AF929" s="4">
        <v>0.5</v>
      </c>
      <c r="AG929">
        <f t="shared" si="93"/>
        <v>145</v>
      </c>
      <c r="AH929" s="4">
        <v>0.18</v>
      </c>
      <c r="AI929">
        <f t="shared" si="88"/>
        <v>171.1</v>
      </c>
      <c r="AJ929" s="4">
        <v>0.2</v>
      </c>
      <c r="AK929">
        <f t="shared" si="89"/>
        <v>34.22</v>
      </c>
      <c r="AL929">
        <f t="shared" si="90"/>
        <v>205.32</v>
      </c>
      <c r="AM929">
        <f t="shared" si="91"/>
        <v>84.68</v>
      </c>
      <c r="AN929" s="4">
        <f t="shared" si="92"/>
        <v>0.292</v>
      </c>
      <c r="AO929" t="s">
        <v>221</v>
      </c>
      <c r="AQ929" t="s">
        <v>217</v>
      </c>
      <c r="AT929" t="s">
        <v>1508</v>
      </c>
    </row>
    <row r="930" ht="15.75" customHeight="1" spans="1:46">
      <c r="A930" t="s">
        <v>1625</v>
      </c>
      <c r="B930" t="s">
        <v>75</v>
      </c>
      <c r="C930" t="s">
        <v>1499</v>
      </c>
      <c r="D930" t="s">
        <v>1563</v>
      </c>
      <c r="E930" t="s">
        <v>1626</v>
      </c>
      <c r="F930" t="s">
        <v>1627</v>
      </c>
      <c r="H930" t="s">
        <v>1566</v>
      </c>
      <c r="I930" t="s">
        <v>1589</v>
      </c>
      <c r="J930" t="s">
        <v>1568</v>
      </c>
      <c r="K930" t="s">
        <v>1578</v>
      </c>
      <c r="L930" t="s">
        <v>1570</v>
      </c>
      <c r="M930" t="s">
        <v>1571</v>
      </c>
      <c r="N930" t="s">
        <v>1633</v>
      </c>
      <c r="Q930" t="s">
        <v>57</v>
      </c>
      <c r="Y930" t="s">
        <v>1634</v>
      </c>
      <c r="Z930">
        <v>8536</v>
      </c>
      <c r="AE930">
        <v>440</v>
      </c>
      <c r="AF930" s="4">
        <v>0.5</v>
      </c>
      <c r="AG930">
        <f t="shared" si="93"/>
        <v>220</v>
      </c>
      <c r="AH930" s="4">
        <v>0.18</v>
      </c>
      <c r="AI930">
        <f t="shared" si="88"/>
        <v>259.6</v>
      </c>
      <c r="AJ930" s="4">
        <v>0.2</v>
      </c>
      <c r="AK930">
        <f t="shared" si="89"/>
        <v>51.92</v>
      </c>
      <c r="AL930">
        <f t="shared" si="90"/>
        <v>311.52</v>
      </c>
      <c r="AM930">
        <f t="shared" si="91"/>
        <v>128.48</v>
      </c>
      <c r="AN930" s="4">
        <f t="shared" si="92"/>
        <v>0.292</v>
      </c>
      <c r="AO930" t="s">
        <v>221</v>
      </c>
      <c r="AQ930" t="s">
        <v>217</v>
      </c>
      <c r="AT930" t="s">
        <v>1508</v>
      </c>
    </row>
    <row r="931" ht="15.75" customHeight="1" spans="1:46">
      <c r="A931" t="s">
        <v>1635</v>
      </c>
      <c r="B931" t="s">
        <v>46</v>
      </c>
      <c r="C931" t="s">
        <v>1499</v>
      </c>
      <c r="D931" t="s">
        <v>1563</v>
      </c>
      <c r="E931" t="s">
        <v>1636</v>
      </c>
      <c r="F931" t="s">
        <v>1637</v>
      </c>
      <c r="H931" t="s">
        <v>1566</v>
      </c>
      <c r="I931" t="s">
        <v>1567</v>
      </c>
      <c r="J931" t="s">
        <v>1568</v>
      </c>
      <c r="K931" t="s">
        <v>1569</v>
      </c>
      <c r="L931" t="s">
        <v>1570</v>
      </c>
      <c r="M931" t="s">
        <v>1571</v>
      </c>
      <c r="N931" t="s">
        <v>1638</v>
      </c>
      <c r="Q931" t="s">
        <v>57</v>
      </c>
      <c r="Y931" t="s">
        <v>1639</v>
      </c>
      <c r="Z931">
        <v>8536</v>
      </c>
      <c r="AE931">
        <v>150</v>
      </c>
      <c r="AF931" s="4">
        <v>0.5</v>
      </c>
      <c r="AG931">
        <f t="shared" si="93"/>
        <v>75</v>
      </c>
      <c r="AH931" s="4">
        <v>0.18</v>
      </c>
      <c r="AI931">
        <f t="shared" si="88"/>
        <v>88.5</v>
      </c>
      <c r="AJ931" s="4">
        <v>0.2</v>
      </c>
      <c r="AK931">
        <f t="shared" si="89"/>
        <v>17.7</v>
      </c>
      <c r="AL931">
        <f t="shared" si="90"/>
        <v>106.2</v>
      </c>
      <c r="AM931">
        <f t="shared" si="91"/>
        <v>43.8</v>
      </c>
      <c r="AN931" s="4">
        <f t="shared" si="92"/>
        <v>0.292</v>
      </c>
      <c r="AO931" t="s">
        <v>221</v>
      </c>
      <c r="AQ931" t="s">
        <v>217</v>
      </c>
      <c r="AT931" t="s">
        <v>1508</v>
      </c>
    </row>
    <row r="932" ht="15.75" customHeight="1" spans="1:46">
      <c r="A932" t="s">
        <v>1635</v>
      </c>
      <c r="B932" t="s">
        <v>67</v>
      </c>
      <c r="C932" t="s">
        <v>1499</v>
      </c>
      <c r="D932" t="s">
        <v>1563</v>
      </c>
      <c r="E932" t="s">
        <v>1636</v>
      </c>
      <c r="F932" t="s">
        <v>1637</v>
      </c>
      <c r="H932" t="s">
        <v>1566</v>
      </c>
      <c r="I932" t="s">
        <v>1567</v>
      </c>
      <c r="J932" t="s">
        <v>1568</v>
      </c>
      <c r="K932" t="s">
        <v>1574</v>
      </c>
      <c r="L932" t="s">
        <v>1570</v>
      </c>
      <c r="M932" t="s">
        <v>1575</v>
      </c>
      <c r="N932" t="s">
        <v>1640</v>
      </c>
      <c r="Q932" t="s">
        <v>57</v>
      </c>
      <c r="Y932" t="s">
        <v>1641</v>
      </c>
      <c r="Z932">
        <v>8536</v>
      </c>
      <c r="AE932">
        <v>255</v>
      </c>
      <c r="AF932" s="4">
        <v>0.5</v>
      </c>
      <c r="AG932">
        <f t="shared" si="93"/>
        <v>127.5</v>
      </c>
      <c r="AH932" s="4">
        <v>0.18</v>
      </c>
      <c r="AI932">
        <f t="shared" si="88"/>
        <v>150.45</v>
      </c>
      <c r="AJ932" s="4">
        <v>0.2</v>
      </c>
      <c r="AK932">
        <f t="shared" si="89"/>
        <v>30.09</v>
      </c>
      <c r="AL932">
        <f t="shared" si="90"/>
        <v>180.54</v>
      </c>
      <c r="AM932">
        <f t="shared" si="91"/>
        <v>74.46</v>
      </c>
      <c r="AN932" s="4">
        <f t="shared" si="92"/>
        <v>0.292</v>
      </c>
      <c r="AO932" t="s">
        <v>221</v>
      </c>
      <c r="AQ932" t="s">
        <v>217</v>
      </c>
      <c r="AT932" t="s">
        <v>1508</v>
      </c>
    </row>
    <row r="933" ht="15.75" customHeight="1" spans="1:46">
      <c r="A933" t="s">
        <v>1635</v>
      </c>
      <c r="B933" t="s">
        <v>71</v>
      </c>
      <c r="C933" t="s">
        <v>1499</v>
      </c>
      <c r="D933" t="s">
        <v>1563</v>
      </c>
      <c r="E933" t="s">
        <v>1636</v>
      </c>
      <c r="F933" t="s">
        <v>1637</v>
      </c>
      <c r="H933" t="s">
        <v>1566</v>
      </c>
      <c r="I933" t="s">
        <v>1567</v>
      </c>
      <c r="J933" t="s">
        <v>1568</v>
      </c>
      <c r="K933" t="s">
        <v>1578</v>
      </c>
      <c r="L933" t="s">
        <v>1570</v>
      </c>
      <c r="M933" t="s">
        <v>1571</v>
      </c>
      <c r="N933" t="s">
        <v>1642</v>
      </c>
      <c r="Q933" t="s">
        <v>57</v>
      </c>
      <c r="Y933" t="s">
        <v>1643</v>
      </c>
      <c r="Z933">
        <v>8536</v>
      </c>
      <c r="AE933">
        <v>230</v>
      </c>
      <c r="AF933" s="4">
        <v>0.5</v>
      </c>
      <c r="AG933">
        <f t="shared" si="93"/>
        <v>115</v>
      </c>
      <c r="AH933" s="4">
        <v>0.18</v>
      </c>
      <c r="AI933">
        <f t="shared" si="88"/>
        <v>135.7</v>
      </c>
      <c r="AJ933" s="4">
        <v>0.2</v>
      </c>
      <c r="AK933">
        <f t="shared" si="89"/>
        <v>27.14</v>
      </c>
      <c r="AL933">
        <f t="shared" si="90"/>
        <v>162.84</v>
      </c>
      <c r="AM933">
        <f t="shared" si="91"/>
        <v>67.16</v>
      </c>
      <c r="AN933" s="4">
        <f t="shared" si="92"/>
        <v>0.292</v>
      </c>
      <c r="AO933" t="s">
        <v>221</v>
      </c>
      <c r="AQ933" t="s">
        <v>217</v>
      </c>
      <c r="AT933" t="s">
        <v>1508</v>
      </c>
    </row>
    <row r="934" ht="15.75" customHeight="1" spans="1:46">
      <c r="A934" t="s">
        <v>1635</v>
      </c>
      <c r="B934" t="s">
        <v>75</v>
      </c>
      <c r="C934" t="s">
        <v>1499</v>
      </c>
      <c r="D934" t="s">
        <v>1563</v>
      </c>
      <c r="E934" t="s">
        <v>1636</v>
      </c>
      <c r="F934" t="s">
        <v>1637</v>
      </c>
      <c r="H934" t="s">
        <v>1566</v>
      </c>
      <c r="I934" t="s">
        <v>1589</v>
      </c>
      <c r="J934" t="s">
        <v>1568</v>
      </c>
      <c r="K934" t="s">
        <v>1578</v>
      </c>
      <c r="L934" t="s">
        <v>1570</v>
      </c>
      <c r="M934" t="s">
        <v>1571</v>
      </c>
      <c r="Q934" t="s">
        <v>57</v>
      </c>
      <c r="Y934" t="s">
        <v>1644</v>
      </c>
      <c r="Z934">
        <v>8536</v>
      </c>
      <c r="AE934">
        <v>230</v>
      </c>
      <c r="AF934" s="4">
        <v>0.5</v>
      </c>
      <c r="AG934">
        <f t="shared" si="93"/>
        <v>115</v>
      </c>
      <c r="AH934" s="4">
        <v>0.18</v>
      </c>
      <c r="AI934">
        <f t="shared" si="88"/>
        <v>135.7</v>
      </c>
      <c r="AJ934" s="4">
        <v>0.2</v>
      </c>
      <c r="AK934">
        <f t="shared" si="89"/>
        <v>27.14</v>
      </c>
      <c r="AL934">
        <f t="shared" si="90"/>
        <v>162.84</v>
      </c>
      <c r="AM934">
        <f t="shared" si="91"/>
        <v>67.16</v>
      </c>
      <c r="AN934" s="4">
        <f t="shared" si="92"/>
        <v>0.292</v>
      </c>
      <c r="AO934" t="s">
        <v>221</v>
      </c>
      <c r="AQ934" t="s">
        <v>217</v>
      </c>
      <c r="AT934" t="s">
        <v>1508</v>
      </c>
    </row>
    <row r="935" ht="15.75" customHeight="1" spans="1:46">
      <c r="A935" t="s">
        <v>1645</v>
      </c>
      <c r="B935" t="s">
        <v>46</v>
      </c>
      <c r="C935" t="s">
        <v>1499</v>
      </c>
      <c r="D935" t="s">
        <v>1563</v>
      </c>
      <c r="E935" t="s">
        <v>1646</v>
      </c>
      <c r="F935" t="s">
        <v>1647</v>
      </c>
      <c r="H935" t="s">
        <v>1566</v>
      </c>
      <c r="I935" t="s">
        <v>1567</v>
      </c>
      <c r="J935" t="s">
        <v>1568</v>
      </c>
      <c r="K935" t="s">
        <v>1569</v>
      </c>
      <c r="L935" t="s">
        <v>1570</v>
      </c>
      <c r="M935" t="s">
        <v>1571</v>
      </c>
      <c r="Q935" t="s">
        <v>57</v>
      </c>
      <c r="R935" t="s">
        <v>1648</v>
      </c>
      <c r="Y935" t="s">
        <v>1649</v>
      </c>
      <c r="Z935">
        <v>8536</v>
      </c>
      <c r="AE935">
        <v>75</v>
      </c>
      <c r="AF935" s="4">
        <v>0.5</v>
      </c>
      <c r="AG935">
        <f t="shared" si="93"/>
        <v>37.5</v>
      </c>
      <c r="AH935" s="4">
        <v>0.18</v>
      </c>
      <c r="AI935">
        <f t="shared" si="88"/>
        <v>44.25</v>
      </c>
      <c r="AJ935" s="4">
        <v>0.2</v>
      </c>
      <c r="AK935">
        <f t="shared" si="89"/>
        <v>8.85</v>
      </c>
      <c r="AL935">
        <f t="shared" si="90"/>
        <v>53.1</v>
      </c>
      <c r="AM935">
        <f t="shared" si="91"/>
        <v>21.9</v>
      </c>
      <c r="AN935" s="4">
        <f t="shared" si="92"/>
        <v>0.292</v>
      </c>
      <c r="AO935" t="s">
        <v>221</v>
      </c>
      <c r="AQ935" t="s">
        <v>217</v>
      </c>
      <c r="AT935" t="s">
        <v>1508</v>
      </c>
    </row>
    <row r="936" ht="15.75" customHeight="1" spans="1:46">
      <c r="A936" t="s">
        <v>1645</v>
      </c>
      <c r="B936" t="s">
        <v>67</v>
      </c>
      <c r="C936" t="s">
        <v>1499</v>
      </c>
      <c r="D936" t="s">
        <v>1563</v>
      </c>
      <c r="E936" t="s">
        <v>1646</v>
      </c>
      <c r="F936" t="s">
        <v>1647</v>
      </c>
      <c r="H936" t="s">
        <v>1566</v>
      </c>
      <c r="I936" t="s">
        <v>1567</v>
      </c>
      <c r="J936" t="s">
        <v>1568</v>
      </c>
      <c r="K936" t="s">
        <v>1574</v>
      </c>
      <c r="L936" t="s">
        <v>1570</v>
      </c>
      <c r="M936" t="s">
        <v>1575</v>
      </c>
      <c r="Q936" t="s">
        <v>57</v>
      </c>
      <c r="R936" t="s">
        <v>1650</v>
      </c>
      <c r="Y936" t="s">
        <v>1651</v>
      </c>
      <c r="Z936">
        <v>8536</v>
      </c>
      <c r="AE936">
        <v>179</v>
      </c>
      <c r="AF936" s="4">
        <v>0.5</v>
      </c>
      <c r="AG936">
        <f t="shared" si="93"/>
        <v>89.5</v>
      </c>
      <c r="AH936" s="4">
        <v>0.18</v>
      </c>
      <c r="AI936">
        <f t="shared" si="88"/>
        <v>105.61</v>
      </c>
      <c r="AJ936" s="4">
        <v>0.2</v>
      </c>
      <c r="AK936">
        <f t="shared" si="89"/>
        <v>21.12</v>
      </c>
      <c r="AL936">
        <f t="shared" si="90"/>
        <v>126.73</v>
      </c>
      <c r="AM936">
        <f t="shared" si="91"/>
        <v>52.27</v>
      </c>
      <c r="AN936" s="4">
        <f t="shared" si="92"/>
        <v>0.292011173184358</v>
      </c>
      <c r="AO936" t="s">
        <v>221</v>
      </c>
      <c r="AQ936" t="s">
        <v>217</v>
      </c>
      <c r="AT936" t="s">
        <v>1508</v>
      </c>
    </row>
    <row r="937" ht="15.75" customHeight="1" spans="1:46">
      <c r="A937" t="s">
        <v>1645</v>
      </c>
      <c r="B937" t="s">
        <v>71</v>
      </c>
      <c r="C937" t="s">
        <v>1499</v>
      </c>
      <c r="D937" t="s">
        <v>1563</v>
      </c>
      <c r="E937" t="s">
        <v>1646</v>
      </c>
      <c r="F937" t="s">
        <v>1647</v>
      </c>
      <c r="H937" t="s">
        <v>1566</v>
      </c>
      <c r="I937" t="s">
        <v>1567</v>
      </c>
      <c r="J937" t="s">
        <v>1568</v>
      </c>
      <c r="K937" t="s">
        <v>1578</v>
      </c>
      <c r="L937" t="s">
        <v>1570</v>
      </c>
      <c r="M937" t="s">
        <v>1571</v>
      </c>
      <c r="Q937" t="s">
        <v>57</v>
      </c>
      <c r="R937" t="s">
        <v>1652</v>
      </c>
      <c r="Y937" t="s">
        <v>1653</v>
      </c>
      <c r="Z937">
        <v>8536</v>
      </c>
      <c r="AE937">
        <v>177</v>
      </c>
      <c r="AF937" s="4">
        <v>0.5</v>
      </c>
      <c r="AG937">
        <f t="shared" si="93"/>
        <v>88.5</v>
      </c>
      <c r="AH937" s="4">
        <v>0.18</v>
      </c>
      <c r="AI937">
        <f t="shared" si="88"/>
        <v>104.43</v>
      </c>
      <c r="AJ937" s="4">
        <v>0.2</v>
      </c>
      <c r="AK937">
        <f t="shared" si="89"/>
        <v>20.89</v>
      </c>
      <c r="AL937">
        <f t="shared" si="90"/>
        <v>125.32</v>
      </c>
      <c r="AM937">
        <f t="shared" si="91"/>
        <v>51.68</v>
      </c>
      <c r="AN937" s="4">
        <f t="shared" si="92"/>
        <v>0.291977401129943</v>
      </c>
      <c r="AO937" t="s">
        <v>221</v>
      </c>
      <c r="AQ937" t="s">
        <v>217</v>
      </c>
      <c r="AT937" t="s">
        <v>1508</v>
      </c>
    </row>
    <row r="938" ht="15.75" customHeight="1" spans="1:46">
      <c r="A938" t="s">
        <v>1645</v>
      </c>
      <c r="B938" t="s">
        <v>75</v>
      </c>
      <c r="C938" t="s">
        <v>1499</v>
      </c>
      <c r="D938" t="s">
        <v>1563</v>
      </c>
      <c r="E938" t="s">
        <v>1646</v>
      </c>
      <c r="F938" t="s">
        <v>1647</v>
      </c>
      <c r="H938" t="s">
        <v>1566</v>
      </c>
      <c r="I938" t="s">
        <v>1589</v>
      </c>
      <c r="J938" t="s">
        <v>1568</v>
      </c>
      <c r="K938" t="s">
        <v>1578</v>
      </c>
      <c r="L938" t="s">
        <v>1570</v>
      </c>
      <c r="M938" t="s">
        <v>1654</v>
      </c>
      <c r="Q938" t="s">
        <v>57</v>
      </c>
      <c r="R938" t="s">
        <v>1655</v>
      </c>
      <c r="Y938" t="s">
        <v>1656</v>
      </c>
      <c r="Z938">
        <v>8536</v>
      </c>
      <c r="AE938">
        <v>222</v>
      </c>
      <c r="AF938" s="4">
        <v>0.5</v>
      </c>
      <c r="AG938">
        <f t="shared" si="93"/>
        <v>111</v>
      </c>
      <c r="AH938" s="4">
        <v>0.18</v>
      </c>
      <c r="AI938">
        <f t="shared" si="88"/>
        <v>130.98</v>
      </c>
      <c r="AJ938" s="4">
        <v>0.2</v>
      </c>
      <c r="AK938">
        <f t="shared" si="89"/>
        <v>26.2</v>
      </c>
      <c r="AL938">
        <f t="shared" si="90"/>
        <v>157.18</v>
      </c>
      <c r="AM938">
        <f t="shared" si="91"/>
        <v>64.82</v>
      </c>
      <c r="AN938" s="4">
        <f t="shared" si="92"/>
        <v>0.291981981981982</v>
      </c>
      <c r="AO938" t="s">
        <v>221</v>
      </c>
      <c r="AQ938" t="s">
        <v>217</v>
      </c>
      <c r="AT938" t="s">
        <v>1508</v>
      </c>
    </row>
    <row r="939" ht="15.75" customHeight="1" spans="1:46">
      <c r="A939" t="s">
        <v>1657</v>
      </c>
      <c r="B939" t="s">
        <v>46</v>
      </c>
      <c r="C939" t="s">
        <v>1499</v>
      </c>
      <c r="D939" t="s">
        <v>1563</v>
      </c>
      <c r="E939" t="s">
        <v>1658</v>
      </c>
      <c r="F939" t="s">
        <v>1659</v>
      </c>
      <c r="H939" t="s">
        <v>1566</v>
      </c>
      <c r="I939" t="s">
        <v>1567</v>
      </c>
      <c r="J939" t="s">
        <v>1568</v>
      </c>
      <c r="K939" t="s">
        <v>1569</v>
      </c>
      <c r="L939" t="s">
        <v>1570</v>
      </c>
      <c r="M939" t="s">
        <v>1571</v>
      </c>
      <c r="Q939" t="s">
        <v>57</v>
      </c>
      <c r="R939" t="s">
        <v>1660</v>
      </c>
      <c r="Y939" t="s">
        <v>1661</v>
      </c>
      <c r="Z939">
        <v>8536</v>
      </c>
      <c r="AE939">
        <v>29</v>
      </c>
      <c r="AF939" s="4">
        <v>0.5</v>
      </c>
      <c r="AG939">
        <f t="shared" si="93"/>
        <v>14.5</v>
      </c>
      <c r="AH939" s="4">
        <v>0.18</v>
      </c>
      <c r="AI939">
        <f t="shared" si="88"/>
        <v>17.11</v>
      </c>
      <c r="AJ939" s="4">
        <v>0.2</v>
      </c>
      <c r="AK939">
        <f t="shared" si="89"/>
        <v>3.42</v>
      </c>
      <c r="AL939">
        <f t="shared" si="90"/>
        <v>20.53</v>
      </c>
      <c r="AM939">
        <f t="shared" si="91"/>
        <v>8.47</v>
      </c>
      <c r="AN939" s="4">
        <f t="shared" si="92"/>
        <v>0.292068965517241</v>
      </c>
      <c r="AO939" t="s">
        <v>221</v>
      </c>
      <c r="AQ939" t="s">
        <v>217</v>
      </c>
      <c r="AT939" t="s">
        <v>1662</v>
      </c>
    </row>
    <row r="940" ht="15.75" customHeight="1" spans="1:46">
      <c r="A940" t="s">
        <v>1657</v>
      </c>
      <c r="B940" t="s">
        <v>67</v>
      </c>
      <c r="C940" t="s">
        <v>1499</v>
      </c>
      <c r="D940" t="s">
        <v>1563</v>
      </c>
      <c r="E940" t="s">
        <v>1658</v>
      </c>
      <c r="F940" t="s">
        <v>1659</v>
      </c>
      <c r="H940" t="s">
        <v>1566</v>
      </c>
      <c r="I940" t="s">
        <v>1567</v>
      </c>
      <c r="J940" t="s">
        <v>1568</v>
      </c>
      <c r="K940" t="s">
        <v>1574</v>
      </c>
      <c r="L940" t="s">
        <v>1570</v>
      </c>
      <c r="M940" t="s">
        <v>1575</v>
      </c>
      <c r="Q940" t="s">
        <v>57</v>
      </c>
      <c r="R940" t="s">
        <v>1663</v>
      </c>
      <c r="Y940" t="s">
        <v>1664</v>
      </c>
      <c r="Z940">
        <v>8536</v>
      </c>
      <c r="AE940">
        <v>82</v>
      </c>
      <c r="AF940" s="4">
        <v>0.5</v>
      </c>
      <c r="AG940">
        <f t="shared" si="93"/>
        <v>41</v>
      </c>
      <c r="AH940" s="4">
        <v>0.18</v>
      </c>
      <c r="AI940">
        <f t="shared" si="88"/>
        <v>48.38</v>
      </c>
      <c r="AJ940" s="4">
        <v>0.2</v>
      </c>
      <c r="AK940">
        <f t="shared" si="89"/>
        <v>9.68</v>
      </c>
      <c r="AL940">
        <f t="shared" si="90"/>
        <v>58.06</v>
      </c>
      <c r="AM940">
        <f t="shared" si="91"/>
        <v>23.94</v>
      </c>
      <c r="AN940" s="4">
        <f t="shared" si="92"/>
        <v>0.291951219512195</v>
      </c>
      <c r="AO940" t="s">
        <v>221</v>
      </c>
      <c r="AQ940" t="s">
        <v>217</v>
      </c>
      <c r="AT940" t="s">
        <v>1662</v>
      </c>
    </row>
    <row r="941" ht="15.75" customHeight="1" spans="1:46">
      <c r="A941" t="s">
        <v>1657</v>
      </c>
      <c r="B941" t="s">
        <v>71</v>
      </c>
      <c r="C941" t="s">
        <v>1499</v>
      </c>
      <c r="D941" t="s">
        <v>1563</v>
      </c>
      <c r="E941" t="s">
        <v>1658</v>
      </c>
      <c r="F941" t="s">
        <v>1659</v>
      </c>
      <c r="H941" t="s">
        <v>1566</v>
      </c>
      <c r="I941" t="s">
        <v>1567</v>
      </c>
      <c r="J941" t="s">
        <v>1568</v>
      </c>
      <c r="K941" t="s">
        <v>1578</v>
      </c>
      <c r="L941" t="s">
        <v>1570</v>
      </c>
      <c r="M941" t="s">
        <v>1571</v>
      </c>
      <c r="Q941" t="s">
        <v>57</v>
      </c>
      <c r="R941" t="s">
        <v>1665</v>
      </c>
      <c r="Y941" t="s">
        <v>1666</v>
      </c>
      <c r="Z941">
        <v>8536</v>
      </c>
      <c r="AE941">
        <v>61</v>
      </c>
      <c r="AF941" s="4">
        <v>0.5</v>
      </c>
      <c r="AG941">
        <f t="shared" si="93"/>
        <v>30.5</v>
      </c>
      <c r="AH941" s="4">
        <v>0.18</v>
      </c>
      <c r="AI941">
        <f t="shared" si="88"/>
        <v>35.99</v>
      </c>
      <c r="AJ941" s="4">
        <v>0.2</v>
      </c>
      <c r="AK941">
        <f t="shared" si="89"/>
        <v>7.2</v>
      </c>
      <c r="AL941">
        <f t="shared" si="90"/>
        <v>43.19</v>
      </c>
      <c r="AM941">
        <f t="shared" si="91"/>
        <v>17.81</v>
      </c>
      <c r="AN941" s="4">
        <f t="shared" si="92"/>
        <v>0.291967213114754</v>
      </c>
      <c r="AO941" t="s">
        <v>221</v>
      </c>
      <c r="AQ941" t="s">
        <v>217</v>
      </c>
      <c r="AT941" t="s">
        <v>1662</v>
      </c>
    </row>
    <row r="942" ht="15.75" customHeight="1" spans="1:46">
      <c r="A942" t="s">
        <v>1657</v>
      </c>
      <c r="B942" t="s">
        <v>75</v>
      </c>
      <c r="C942" t="s">
        <v>1499</v>
      </c>
      <c r="D942" t="s">
        <v>1563</v>
      </c>
      <c r="E942" t="s">
        <v>1658</v>
      </c>
      <c r="F942" t="s">
        <v>1659</v>
      </c>
      <c r="H942" t="s">
        <v>1566</v>
      </c>
      <c r="I942" t="s">
        <v>1589</v>
      </c>
      <c r="J942" t="s">
        <v>1568</v>
      </c>
      <c r="K942" t="s">
        <v>1578</v>
      </c>
      <c r="L942" t="s">
        <v>1570</v>
      </c>
      <c r="M942" t="s">
        <v>1571</v>
      </c>
      <c r="Q942" t="s">
        <v>57</v>
      </c>
      <c r="R942" t="s">
        <v>1667</v>
      </c>
      <c r="Z942">
        <v>8536</v>
      </c>
      <c r="AE942">
        <v>82</v>
      </c>
      <c r="AF942" s="4">
        <v>0.5</v>
      </c>
      <c r="AG942">
        <f t="shared" si="93"/>
        <v>41</v>
      </c>
      <c r="AH942" s="4">
        <v>0.18</v>
      </c>
      <c r="AI942">
        <f t="shared" si="88"/>
        <v>48.38</v>
      </c>
      <c r="AJ942" s="4">
        <v>0.2</v>
      </c>
      <c r="AK942">
        <f t="shared" si="89"/>
        <v>9.68</v>
      </c>
      <c r="AL942">
        <f t="shared" si="90"/>
        <v>58.06</v>
      </c>
      <c r="AM942">
        <f t="shared" si="91"/>
        <v>23.94</v>
      </c>
      <c r="AN942" s="4">
        <f t="shared" si="92"/>
        <v>0.291951219512195</v>
      </c>
      <c r="AO942" t="s">
        <v>221</v>
      </c>
      <c r="AQ942" t="s">
        <v>217</v>
      </c>
      <c r="AT942" t="s">
        <v>1662</v>
      </c>
    </row>
    <row r="943" ht="15.75" customHeight="1" spans="1:46">
      <c r="A943" t="s">
        <v>1668</v>
      </c>
      <c r="B943" t="s">
        <v>46</v>
      </c>
      <c r="C943" t="s">
        <v>1499</v>
      </c>
      <c r="D943" t="s">
        <v>1563</v>
      </c>
      <c r="E943" t="s">
        <v>1658</v>
      </c>
      <c r="F943" t="s">
        <v>1669</v>
      </c>
      <c r="H943" t="s">
        <v>1566</v>
      </c>
      <c r="I943" t="s">
        <v>1567</v>
      </c>
      <c r="J943" t="s">
        <v>1568</v>
      </c>
      <c r="K943" t="s">
        <v>1569</v>
      </c>
      <c r="L943" t="s">
        <v>1570</v>
      </c>
      <c r="M943" t="s">
        <v>1654</v>
      </c>
      <c r="Q943" t="s">
        <v>57</v>
      </c>
      <c r="R943" t="s">
        <v>1670</v>
      </c>
      <c r="Y943" t="s">
        <v>1671</v>
      </c>
      <c r="Z943">
        <v>8536</v>
      </c>
      <c r="AE943">
        <v>30</v>
      </c>
      <c r="AF943" s="4">
        <v>0.5</v>
      </c>
      <c r="AG943">
        <f t="shared" si="93"/>
        <v>15</v>
      </c>
      <c r="AH943" s="4">
        <v>0.18</v>
      </c>
      <c r="AI943">
        <f t="shared" si="88"/>
        <v>17.7</v>
      </c>
      <c r="AJ943" s="4">
        <v>0.2</v>
      </c>
      <c r="AK943">
        <f t="shared" si="89"/>
        <v>3.54</v>
      </c>
      <c r="AL943">
        <f t="shared" si="90"/>
        <v>21.24</v>
      </c>
      <c r="AM943">
        <f t="shared" si="91"/>
        <v>8.76</v>
      </c>
      <c r="AN943" s="4">
        <f t="shared" si="92"/>
        <v>0.292</v>
      </c>
      <c r="AO943" t="s">
        <v>221</v>
      </c>
      <c r="AQ943" t="s">
        <v>217</v>
      </c>
      <c r="AT943" t="s">
        <v>1662</v>
      </c>
    </row>
    <row r="944" ht="15.75" customHeight="1" spans="1:46">
      <c r="A944" t="s">
        <v>1668</v>
      </c>
      <c r="B944" t="s">
        <v>67</v>
      </c>
      <c r="C944" t="s">
        <v>1499</v>
      </c>
      <c r="D944" t="s">
        <v>1563</v>
      </c>
      <c r="E944" t="s">
        <v>1658</v>
      </c>
      <c r="F944" t="s">
        <v>1669</v>
      </c>
      <c r="H944" t="s">
        <v>1566</v>
      </c>
      <c r="I944" t="s">
        <v>1567</v>
      </c>
      <c r="J944" t="s">
        <v>1568</v>
      </c>
      <c r="K944" t="s">
        <v>1574</v>
      </c>
      <c r="L944" t="s">
        <v>1570</v>
      </c>
      <c r="M944" t="s">
        <v>1672</v>
      </c>
      <c r="Q944" t="s">
        <v>57</v>
      </c>
      <c r="R944" t="s">
        <v>1673</v>
      </c>
      <c r="Y944" t="s">
        <v>1674</v>
      </c>
      <c r="Z944">
        <v>8536</v>
      </c>
      <c r="AE944">
        <v>91</v>
      </c>
      <c r="AF944" s="4">
        <v>0.5</v>
      </c>
      <c r="AG944">
        <f t="shared" si="93"/>
        <v>45.5</v>
      </c>
      <c r="AH944" s="4">
        <v>0.18</v>
      </c>
      <c r="AI944">
        <f t="shared" si="88"/>
        <v>53.69</v>
      </c>
      <c r="AJ944" s="4">
        <v>0.2</v>
      </c>
      <c r="AK944">
        <f t="shared" si="89"/>
        <v>10.74</v>
      </c>
      <c r="AL944">
        <f t="shared" si="90"/>
        <v>64.43</v>
      </c>
      <c r="AM944">
        <f t="shared" si="91"/>
        <v>26.57</v>
      </c>
      <c r="AN944" s="4">
        <f t="shared" si="92"/>
        <v>0.291978021978022</v>
      </c>
      <c r="AO944" t="s">
        <v>221</v>
      </c>
      <c r="AQ944" t="s">
        <v>217</v>
      </c>
      <c r="AT944" t="s">
        <v>1662</v>
      </c>
    </row>
    <row r="945" ht="15.75" customHeight="1" spans="1:46">
      <c r="A945" t="s">
        <v>1668</v>
      </c>
      <c r="B945" t="s">
        <v>71</v>
      </c>
      <c r="C945" t="s">
        <v>1499</v>
      </c>
      <c r="D945" t="s">
        <v>1563</v>
      </c>
      <c r="E945" t="s">
        <v>1658</v>
      </c>
      <c r="F945" t="s">
        <v>1669</v>
      </c>
      <c r="H945" t="s">
        <v>1566</v>
      </c>
      <c r="I945" t="s">
        <v>1567</v>
      </c>
      <c r="J945" t="s">
        <v>1568</v>
      </c>
      <c r="K945" t="s">
        <v>1578</v>
      </c>
      <c r="L945" t="s">
        <v>1570</v>
      </c>
      <c r="M945" t="s">
        <v>1654</v>
      </c>
      <c r="Q945" t="s">
        <v>57</v>
      </c>
      <c r="R945" t="s">
        <v>1675</v>
      </c>
      <c r="Y945" t="s">
        <v>1676</v>
      </c>
      <c r="Z945">
        <v>8536</v>
      </c>
      <c r="AE945">
        <v>79</v>
      </c>
      <c r="AF945" s="4">
        <v>0.5</v>
      </c>
      <c r="AG945">
        <f t="shared" si="93"/>
        <v>39.5</v>
      </c>
      <c r="AH945" s="4">
        <v>0.18</v>
      </c>
      <c r="AI945">
        <f t="shared" si="88"/>
        <v>46.61</v>
      </c>
      <c r="AJ945" s="4">
        <v>0.2</v>
      </c>
      <c r="AK945">
        <f t="shared" si="89"/>
        <v>9.32</v>
      </c>
      <c r="AL945">
        <f t="shared" si="90"/>
        <v>55.93</v>
      </c>
      <c r="AM945">
        <f t="shared" si="91"/>
        <v>23.07</v>
      </c>
      <c r="AN945" s="4">
        <f t="shared" si="92"/>
        <v>0.292025316455696</v>
      </c>
      <c r="AO945" t="s">
        <v>221</v>
      </c>
      <c r="AQ945" t="s">
        <v>217</v>
      </c>
      <c r="AT945" t="s">
        <v>1662</v>
      </c>
    </row>
    <row r="946" ht="15.75" customHeight="1" spans="1:46">
      <c r="A946" t="s">
        <v>1668</v>
      </c>
      <c r="B946" t="s">
        <v>75</v>
      </c>
      <c r="C946" t="s">
        <v>1499</v>
      </c>
      <c r="D946" t="s">
        <v>1563</v>
      </c>
      <c r="E946" t="s">
        <v>1658</v>
      </c>
      <c r="F946" t="s">
        <v>1669</v>
      </c>
      <c r="H946" t="s">
        <v>1566</v>
      </c>
      <c r="I946" t="s">
        <v>1589</v>
      </c>
      <c r="J946" t="s">
        <v>1568</v>
      </c>
      <c r="K946" t="s">
        <v>1578</v>
      </c>
      <c r="L946" t="s">
        <v>1570</v>
      </c>
      <c r="M946" t="s">
        <v>1654</v>
      </c>
      <c r="Q946" t="s">
        <v>57</v>
      </c>
      <c r="R946" t="s">
        <v>1677</v>
      </c>
      <c r="Z946">
        <v>8536</v>
      </c>
      <c r="AE946">
        <v>104</v>
      </c>
      <c r="AF946" s="4">
        <v>0.5</v>
      </c>
      <c r="AG946">
        <f t="shared" si="93"/>
        <v>52</v>
      </c>
      <c r="AH946" s="4">
        <v>0.18</v>
      </c>
      <c r="AI946">
        <f t="shared" si="88"/>
        <v>61.36</v>
      </c>
      <c r="AJ946" s="4">
        <v>0.2</v>
      </c>
      <c r="AK946">
        <f t="shared" si="89"/>
        <v>12.27</v>
      </c>
      <c r="AL946">
        <f t="shared" si="90"/>
        <v>73.63</v>
      </c>
      <c r="AM946">
        <f t="shared" si="91"/>
        <v>30.37</v>
      </c>
      <c r="AN946" s="4">
        <f t="shared" si="92"/>
        <v>0.292019230769231</v>
      </c>
      <c r="AO946" t="s">
        <v>221</v>
      </c>
      <c r="AQ946" t="s">
        <v>217</v>
      </c>
      <c r="AT946" t="s">
        <v>1508</v>
      </c>
    </row>
    <row r="947" ht="15.75" customHeight="1" spans="1:46">
      <c r="A947" t="s">
        <v>1678</v>
      </c>
      <c r="B947" t="s">
        <v>46</v>
      </c>
      <c r="C947" t="s">
        <v>1499</v>
      </c>
      <c r="D947" t="s">
        <v>1563</v>
      </c>
      <c r="E947" t="s">
        <v>1679</v>
      </c>
      <c r="F947" t="s">
        <v>1680</v>
      </c>
      <c r="H947" t="s">
        <v>1566</v>
      </c>
      <c r="I947" t="s">
        <v>1567</v>
      </c>
      <c r="J947" t="s">
        <v>1568</v>
      </c>
      <c r="K947" t="s">
        <v>1569</v>
      </c>
      <c r="L947" t="s">
        <v>1570</v>
      </c>
      <c r="M947" t="s">
        <v>1654</v>
      </c>
      <c r="Q947" t="s">
        <v>57</v>
      </c>
      <c r="R947" t="s">
        <v>1681</v>
      </c>
      <c r="Y947" t="s">
        <v>1682</v>
      </c>
      <c r="Z947">
        <v>8536</v>
      </c>
      <c r="AE947">
        <v>139</v>
      </c>
      <c r="AF947" s="4">
        <v>0.5</v>
      </c>
      <c r="AG947">
        <f t="shared" si="93"/>
        <v>69.5</v>
      </c>
      <c r="AH947" s="4">
        <v>0.18</v>
      </c>
      <c r="AI947">
        <f t="shared" si="88"/>
        <v>82.01</v>
      </c>
      <c r="AJ947" s="4">
        <v>0.2</v>
      </c>
      <c r="AK947">
        <f t="shared" si="89"/>
        <v>16.4</v>
      </c>
      <c r="AL947">
        <f t="shared" si="90"/>
        <v>98.41</v>
      </c>
      <c r="AM947">
        <f t="shared" si="91"/>
        <v>40.59</v>
      </c>
      <c r="AN947" s="4">
        <f t="shared" si="92"/>
        <v>0.292014388489209</v>
      </c>
      <c r="AO947" t="s">
        <v>221</v>
      </c>
      <c r="AQ947" t="s">
        <v>217</v>
      </c>
      <c r="AT947" t="s">
        <v>1508</v>
      </c>
    </row>
    <row r="948" ht="15.75" customHeight="1" spans="1:46">
      <c r="A948" t="s">
        <v>1678</v>
      </c>
      <c r="B948" t="s">
        <v>67</v>
      </c>
      <c r="C948" t="s">
        <v>1499</v>
      </c>
      <c r="D948" t="s">
        <v>1563</v>
      </c>
      <c r="E948" t="s">
        <v>1679</v>
      </c>
      <c r="F948" t="s">
        <v>1680</v>
      </c>
      <c r="H948" t="s">
        <v>1566</v>
      </c>
      <c r="I948" t="s">
        <v>1567</v>
      </c>
      <c r="J948" t="s">
        <v>1568</v>
      </c>
      <c r="K948" t="s">
        <v>1574</v>
      </c>
      <c r="L948" t="s">
        <v>1570</v>
      </c>
      <c r="M948" t="s">
        <v>1575</v>
      </c>
      <c r="Q948" t="s">
        <v>57</v>
      </c>
      <c r="R948" t="s">
        <v>1683</v>
      </c>
      <c r="Y948" t="s">
        <v>1684</v>
      </c>
      <c r="Z948">
        <v>8536</v>
      </c>
      <c r="AE948">
        <v>246</v>
      </c>
      <c r="AF948" s="4">
        <v>0.5</v>
      </c>
      <c r="AG948">
        <f t="shared" si="93"/>
        <v>123</v>
      </c>
      <c r="AH948" s="4">
        <v>0.18</v>
      </c>
      <c r="AI948">
        <f t="shared" si="88"/>
        <v>145.14</v>
      </c>
      <c r="AJ948" s="4">
        <v>0.2</v>
      </c>
      <c r="AK948">
        <f t="shared" si="89"/>
        <v>29.03</v>
      </c>
      <c r="AL948">
        <f t="shared" si="90"/>
        <v>174.17</v>
      </c>
      <c r="AM948">
        <f t="shared" si="91"/>
        <v>71.83</v>
      </c>
      <c r="AN948" s="4">
        <f t="shared" si="92"/>
        <v>0.291991869918699</v>
      </c>
      <c r="AO948" t="s">
        <v>221</v>
      </c>
      <c r="AQ948" t="s">
        <v>217</v>
      </c>
      <c r="AT948" t="s">
        <v>1508</v>
      </c>
    </row>
    <row r="949" ht="15.75" customHeight="1" spans="1:46">
      <c r="A949" t="s">
        <v>1678</v>
      </c>
      <c r="B949" t="s">
        <v>71</v>
      </c>
      <c r="C949" t="s">
        <v>1499</v>
      </c>
      <c r="D949" t="s">
        <v>1563</v>
      </c>
      <c r="E949" t="s">
        <v>1679</v>
      </c>
      <c r="F949" t="s">
        <v>1680</v>
      </c>
      <c r="H949" t="s">
        <v>1566</v>
      </c>
      <c r="I949" t="s">
        <v>1567</v>
      </c>
      <c r="J949" t="s">
        <v>1568</v>
      </c>
      <c r="K949" t="s">
        <v>1578</v>
      </c>
      <c r="L949" t="s">
        <v>1570</v>
      </c>
      <c r="M949" t="s">
        <v>1654</v>
      </c>
      <c r="Q949" t="s">
        <v>57</v>
      </c>
      <c r="R949" t="s">
        <v>1685</v>
      </c>
      <c r="Y949" t="s">
        <v>1686</v>
      </c>
      <c r="Z949">
        <v>8536</v>
      </c>
      <c r="AE949">
        <v>255</v>
      </c>
      <c r="AF949" s="4">
        <v>0.5</v>
      </c>
      <c r="AG949">
        <f t="shared" si="93"/>
        <v>127.5</v>
      </c>
      <c r="AH949" s="4">
        <v>0.18</v>
      </c>
      <c r="AI949">
        <f t="shared" si="88"/>
        <v>150.45</v>
      </c>
      <c r="AJ949" s="4">
        <v>0.2</v>
      </c>
      <c r="AK949">
        <f t="shared" si="89"/>
        <v>30.09</v>
      </c>
      <c r="AL949">
        <f t="shared" si="90"/>
        <v>180.54</v>
      </c>
      <c r="AM949">
        <f t="shared" si="91"/>
        <v>74.46</v>
      </c>
      <c r="AN949" s="4">
        <f t="shared" si="92"/>
        <v>0.292</v>
      </c>
      <c r="AO949" t="s">
        <v>221</v>
      </c>
      <c r="AQ949" t="s">
        <v>217</v>
      </c>
      <c r="AT949" t="s">
        <v>1508</v>
      </c>
    </row>
    <row r="950" ht="15.75" customHeight="1" spans="1:46">
      <c r="A950" t="s">
        <v>1678</v>
      </c>
      <c r="B950" t="s">
        <v>75</v>
      </c>
      <c r="C950" t="s">
        <v>1499</v>
      </c>
      <c r="D950" t="s">
        <v>1563</v>
      </c>
      <c r="E950" t="s">
        <v>1679</v>
      </c>
      <c r="F950" t="s">
        <v>1680</v>
      </c>
      <c r="H950" t="s">
        <v>1566</v>
      </c>
      <c r="I950" t="s">
        <v>1589</v>
      </c>
      <c r="J950" t="s">
        <v>1568</v>
      </c>
      <c r="K950" t="s">
        <v>1578</v>
      </c>
      <c r="L950" t="s">
        <v>1570</v>
      </c>
      <c r="M950" t="s">
        <v>1654</v>
      </c>
      <c r="Q950" t="s">
        <v>57</v>
      </c>
      <c r="R950" t="s">
        <v>1687</v>
      </c>
      <c r="Y950" t="s">
        <v>1688</v>
      </c>
      <c r="Z950">
        <v>8536</v>
      </c>
      <c r="AE950">
        <v>343</v>
      </c>
      <c r="AF950" s="4">
        <v>0.5</v>
      </c>
      <c r="AG950">
        <f t="shared" si="93"/>
        <v>171.5</v>
      </c>
      <c r="AH950" s="4">
        <v>0.18</v>
      </c>
      <c r="AI950">
        <f t="shared" si="88"/>
        <v>202.37</v>
      </c>
      <c r="AJ950" s="4">
        <v>0.2</v>
      </c>
      <c r="AK950">
        <f t="shared" si="89"/>
        <v>40.47</v>
      </c>
      <c r="AL950">
        <f t="shared" si="90"/>
        <v>242.84</v>
      </c>
      <c r="AM950">
        <f t="shared" si="91"/>
        <v>100.16</v>
      </c>
      <c r="AN950" s="4">
        <f t="shared" si="92"/>
        <v>0.29201166180758</v>
      </c>
      <c r="AO950" t="s">
        <v>221</v>
      </c>
      <c r="AQ950" t="s">
        <v>217</v>
      </c>
      <c r="AT950" t="s">
        <v>1508</v>
      </c>
    </row>
    <row r="951" ht="15.75" customHeight="1" spans="1:46">
      <c r="A951" s="15" t="s">
        <v>1689</v>
      </c>
      <c r="B951" s="15" t="s">
        <v>46</v>
      </c>
      <c r="C951" s="15" t="s">
        <v>1499</v>
      </c>
      <c r="D951" s="15" t="s">
        <v>1690</v>
      </c>
      <c r="E951" s="15" t="s">
        <v>1564</v>
      </c>
      <c r="F951" s="15" t="s">
        <v>1565</v>
      </c>
      <c r="G951" s="15"/>
      <c r="H951" s="15" t="s">
        <v>1566</v>
      </c>
      <c r="I951" s="15" t="s">
        <v>1567</v>
      </c>
      <c r="J951" s="15"/>
      <c r="K951" s="15"/>
      <c r="L951" s="15"/>
      <c r="M951" s="15"/>
      <c r="N951" s="15"/>
      <c r="O951" s="15"/>
      <c r="P951" s="15"/>
      <c r="Q951" s="15" t="s">
        <v>57</v>
      </c>
      <c r="R951" s="15" t="s">
        <v>1691</v>
      </c>
      <c r="S951" s="15"/>
      <c r="T951" s="15"/>
      <c r="U951" s="15"/>
      <c r="V951" s="15"/>
      <c r="W951" s="15"/>
      <c r="X951" s="15"/>
      <c r="Y951" s="15" t="s">
        <v>1692</v>
      </c>
      <c r="Z951" s="15">
        <v>8536</v>
      </c>
      <c r="AA951" s="15"/>
      <c r="AB951" s="15"/>
      <c r="AC951" s="15"/>
      <c r="AD951" s="15"/>
      <c r="AE951" s="15">
        <v>517</v>
      </c>
      <c r="AF951" s="16">
        <v>0.5</v>
      </c>
      <c r="AG951" s="15">
        <f t="shared" si="93"/>
        <v>258.5</v>
      </c>
      <c r="AH951" s="16">
        <v>0.18</v>
      </c>
      <c r="AI951" s="15">
        <f t="shared" si="88"/>
        <v>305.03</v>
      </c>
      <c r="AJ951" s="16">
        <v>0.2</v>
      </c>
      <c r="AK951" s="15">
        <f t="shared" si="89"/>
        <v>61.01</v>
      </c>
      <c r="AL951" s="15">
        <f t="shared" si="90"/>
        <v>366.04</v>
      </c>
      <c r="AM951" s="15">
        <f t="shared" si="91"/>
        <v>150.96</v>
      </c>
      <c r="AN951" s="16">
        <f t="shared" si="92"/>
        <v>0.291992263056093</v>
      </c>
      <c r="AO951" s="15" t="s">
        <v>221</v>
      </c>
      <c r="AP951" s="15"/>
      <c r="AQ951" s="15" t="s">
        <v>217</v>
      </c>
      <c r="AR951" s="15"/>
      <c r="AS951" s="15"/>
      <c r="AT951" t="s">
        <v>869</v>
      </c>
    </row>
    <row r="952" ht="15.75" customHeight="1" spans="1:46">
      <c r="A952" s="15" t="s">
        <v>1689</v>
      </c>
      <c r="B952" s="15" t="s">
        <v>67</v>
      </c>
      <c r="C952" s="15" t="s">
        <v>1499</v>
      </c>
      <c r="D952" s="15" t="s">
        <v>1690</v>
      </c>
      <c r="E952" s="15" t="s">
        <v>1564</v>
      </c>
      <c r="F952" s="15" t="s">
        <v>1565</v>
      </c>
      <c r="G952" s="15"/>
      <c r="H952" s="15" t="s">
        <v>1566</v>
      </c>
      <c r="I952" s="15" t="s">
        <v>1589</v>
      </c>
      <c r="J952" s="15"/>
      <c r="K952" s="15"/>
      <c r="L952" s="15"/>
      <c r="M952" s="15"/>
      <c r="N952" s="15"/>
      <c r="O952" s="15"/>
      <c r="P952" s="15"/>
      <c r="Q952" s="15" t="s">
        <v>57</v>
      </c>
      <c r="R952" s="15" t="s">
        <v>1693</v>
      </c>
      <c r="S952" s="15"/>
      <c r="T952" s="15"/>
      <c r="U952" s="15"/>
      <c r="V952" s="15"/>
      <c r="W952" s="15"/>
      <c r="X952" s="15"/>
      <c r="Y952" s="15" t="s">
        <v>1694</v>
      </c>
      <c r="Z952" s="15">
        <v>8536</v>
      </c>
      <c r="AA952" s="15"/>
      <c r="AB952" s="15"/>
      <c r="AC952" s="15"/>
      <c r="AD952" s="15"/>
      <c r="AE952" s="15">
        <v>693</v>
      </c>
      <c r="AF952" s="16">
        <v>0.5</v>
      </c>
      <c r="AG952" s="15">
        <f t="shared" si="93"/>
        <v>346.5</v>
      </c>
      <c r="AH952" s="16">
        <v>0.18</v>
      </c>
      <c r="AI952" s="15">
        <f t="shared" si="88"/>
        <v>408.87</v>
      </c>
      <c r="AJ952" s="16">
        <v>0.2</v>
      </c>
      <c r="AK952" s="15">
        <f t="shared" si="89"/>
        <v>81.77</v>
      </c>
      <c r="AL952" s="15">
        <f t="shared" si="90"/>
        <v>490.64</v>
      </c>
      <c r="AM952" s="15">
        <f t="shared" si="91"/>
        <v>202.36</v>
      </c>
      <c r="AN952" s="16">
        <f t="shared" si="92"/>
        <v>0.292005772005772</v>
      </c>
      <c r="AO952" s="15" t="s">
        <v>221</v>
      </c>
      <c r="AP952" s="15"/>
      <c r="AQ952" s="15" t="s">
        <v>217</v>
      </c>
      <c r="AR952" s="15"/>
      <c r="AS952" s="15"/>
      <c r="AT952" t="s">
        <v>869</v>
      </c>
    </row>
    <row r="953" ht="15.75" customHeight="1" spans="1:46">
      <c r="A953" t="s">
        <v>1695</v>
      </c>
      <c r="B953" t="s">
        <v>46</v>
      </c>
      <c r="C953" t="s">
        <v>1499</v>
      </c>
      <c r="D953" t="s">
        <v>1690</v>
      </c>
      <c r="E953" t="s">
        <v>1564</v>
      </c>
      <c r="F953" t="s">
        <v>1582</v>
      </c>
      <c r="H953" t="s">
        <v>1566</v>
      </c>
      <c r="I953" t="s">
        <v>1567</v>
      </c>
      <c r="Q953" t="s">
        <v>57</v>
      </c>
      <c r="R953" t="s">
        <v>1696</v>
      </c>
      <c r="Y953" t="s">
        <v>1697</v>
      </c>
      <c r="Z953">
        <v>8536</v>
      </c>
      <c r="AE953">
        <v>425</v>
      </c>
      <c r="AF953" s="4">
        <v>0.5</v>
      </c>
      <c r="AG953">
        <f t="shared" si="93"/>
        <v>212.5</v>
      </c>
      <c r="AH953" s="4">
        <v>0.18</v>
      </c>
      <c r="AI953">
        <f t="shared" si="88"/>
        <v>250.75</v>
      </c>
      <c r="AJ953" s="4">
        <v>0.2</v>
      </c>
      <c r="AK953">
        <f t="shared" si="89"/>
        <v>50.15</v>
      </c>
      <c r="AL953">
        <f t="shared" si="90"/>
        <v>300.9</v>
      </c>
      <c r="AM953">
        <f t="shared" si="91"/>
        <v>124.1</v>
      </c>
      <c r="AN953" s="4">
        <f t="shared" si="92"/>
        <v>0.292</v>
      </c>
      <c r="AO953" t="s">
        <v>221</v>
      </c>
      <c r="AQ953" t="s">
        <v>217</v>
      </c>
      <c r="AT953" t="s">
        <v>1508</v>
      </c>
    </row>
    <row r="954" ht="15.75" customHeight="1" spans="1:46">
      <c r="A954" t="s">
        <v>1695</v>
      </c>
      <c r="B954" t="s">
        <v>67</v>
      </c>
      <c r="C954" t="s">
        <v>1499</v>
      </c>
      <c r="D954" t="s">
        <v>1690</v>
      </c>
      <c r="E954" t="s">
        <v>1564</v>
      </c>
      <c r="F954" t="s">
        <v>1582</v>
      </c>
      <c r="H954" t="s">
        <v>1566</v>
      </c>
      <c r="I954" t="s">
        <v>1589</v>
      </c>
      <c r="Q954" t="s">
        <v>57</v>
      </c>
      <c r="R954" t="s">
        <v>1698</v>
      </c>
      <c r="Y954" t="s">
        <v>1699</v>
      </c>
      <c r="Z954">
        <v>8536</v>
      </c>
      <c r="AE954">
        <v>575</v>
      </c>
      <c r="AF954" s="4">
        <v>0.5</v>
      </c>
      <c r="AG954">
        <f t="shared" si="93"/>
        <v>287.5</v>
      </c>
      <c r="AH954" s="4">
        <v>0.18</v>
      </c>
      <c r="AI954">
        <f t="shared" si="88"/>
        <v>339.25</v>
      </c>
      <c r="AJ954" s="4">
        <v>0.2</v>
      </c>
      <c r="AK954">
        <f t="shared" si="89"/>
        <v>67.85</v>
      </c>
      <c r="AL954">
        <f t="shared" si="90"/>
        <v>407.1</v>
      </c>
      <c r="AM954">
        <f t="shared" si="91"/>
        <v>167.9</v>
      </c>
      <c r="AN954" s="4">
        <f t="shared" si="92"/>
        <v>0.292</v>
      </c>
      <c r="AO954" t="s">
        <v>221</v>
      </c>
      <c r="AQ954" t="s">
        <v>217</v>
      </c>
      <c r="AT954" t="s">
        <v>1508</v>
      </c>
    </row>
    <row r="955" ht="15.75" customHeight="1" spans="1:46">
      <c r="A955" t="s">
        <v>1700</v>
      </c>
      <c r="B955" t="s">
        <v>46</v>
      </c>
      <c r="C955" t="s">
        <v>1499</v>
      </c>
      <c r="D955" t="s">
        <v>1690</v>
      </c>
      <c r="E955" t="s">
        <v>1593</v>
      </c>
      <c r="F955" t="s">
        <v>1594</v>
      </c>
      <c r="H955" t="s">
        <v>1566</v>
      </c>
      <c r="I955" t="s">
        <v>1567</v>
      </c>
      <c r="Q955" t="s">
        <v>57</v>
      </c>
      <c r="R955">
        <v>65301</v>
      </c>
      <c r="Y955" t="s">
        <v>1701</v>
      </c>
      <c r="Z955">
        <v>8536</v>
      </c>
      <c r="AE955">
        <v>342</v>
      </c>
      <c r="AF955" s="4">
        <v>0.5</v>
      </c>
      <c r="AG955">
        <f t="shared" si="93"/>
        <v>171</v>
      </c>
      <c r="AH955" s="4">
        <v>0.18</v>
      </c>
      <c r="AI955">
        <f t="shared" si="88"/>
        <v>201.78</v>
      </c>
      <c r="AJ955" s="4">
        <v>0.2</v>
      </c>
      <c r="AK955">
        <f t="shared" si="89"/>
        <v>40.36</v>
      </c>
      <c r="AL955">
        <f t="shared" si="90"/>
        <v>242.14</v>
      </c>
      <c r="AM955">
        <f t="shared" si="91"/>
        <v>99.86</v>
      </c>
      <c r="AN955" s="4">
        <f t="shared" si="92"/>
        <v>0.291988304093567</v>
      </c>
      <c r="AO955" t="s">
        <v>221</v>
      </c>
      <c r="AQ955" t="s">
        <v>217</v>
      </c>
      <c r="AT955" t="s">
        <v>1508</v>
      </c>
    </row>
    <row r="956" ht="15.75" customHeight="1" spans="1:46">
      <c r="A956" t="s">
        <v>1700</v>
      </c>
      <c r="B956" t="s">
        <v>67</v>
      </c>
      <c r="C956" t="s">
        <v>1499</v>
      </c>
      <c r="D956" t="s">
        <v>1690</v>
      </c>
      <c r="E956" t="s">
        <v>1593</v>
      </c>
      <c r="F956" t="s">
        <v>1594</v>
      </c>
      <c r="H956" t="s">
        <v>1566</v>
      </c>
      <c r="I956" t="s">
        <v>1589</v>
      </c>
      <c r="Q956" t="s">
        <v>57</v>
      </c>
      <c r="R956">
        <v>65302</v>
      </c>
      <c r="Y956" t="s">
        <v>1702</v>
      </c>
      <c r="Z956">
        <v>8536</v>
      </c>
      <c r="AE956">
        <v>405</v>
      </c>
      <c r="AF956" s="4">
        <v>0.5</v>
      </c>
      <c r="AG956">
        <f t="shared" si="93"/>
        <v>202.5</v>
      </c>
      <c r="AH956" s="4">
        <v>0.18</v>
      </c>
      <c r="AI956">
        <f t="shared" si="88"/>
        <v>238.95</v>
      </c>
      <c r="AJ956" s="4">
        <v>0.2</v>
      </c>
      <c r="AK956">
        <f t="shared" si="89"/>
        <v>47.79</v>
      </c>
      <c r="AL956">
        <f t="shared" si="90"/>
        <v>286.74</v>
      </c>
      <c r="AM956">
        <f t="shared" si="91"/>
        <v>118.26</v>
      </c>
      <c r="AN956" s="4">
        <f t="shared" si="92"/>
        <v>0.292</v>
      </c>
      <c r="AO956" t="s">
        <v>221</v>
      </c>
      <c r="AQ956" t="s">
        <v>217</v>
      </c>
      <c r="AT956" t="s">
        <v>1508</v>
      </c>
    </row>
    <row r="957" ht="15.75" customHeight="1" spans="1:46">
      <c r="A957" t="s">
        <v>1703</v>
      </c>
      <c r="B957" t="s">
        <v>46</v>
      </c>
      <c r="C957" t="s">
        <v>1499</v>
      </c>
      <c r="D957" t="s">
        <v>1690</v>
      </c>
      <c r="E957" t="s">
        <v>1593</v>
      </c>
      <c r="F957" t="s">
        <v>1600</v>
      </c>
      <c r="H957" t="s">
        <v>1566</v>
      </c>
      <c r="I957" t="s">
        <v>1567</v>
      </c>
      <c r="Q957" t="s">
        <v>57</v>
      </c>
      <c r="R957" t="s">
        <v>1704</v>
      </c>
      <c r="Y957" t="s">
        <v>1705</v>
      </c>
      <c r="Z957">
        <v>8536</v>
      </c>
      <c r="AE957">
        <v>427</v>
      </c>
      <c r="AF957" s="4">
        <v>0.5</v>
      </c>
      <c r="AG957">
        <f t="shared" si="93"/>
        <v>213.5</v>
      </c>
      <c r="AH957" s="4">
        <v>0.18</v>
      </c>
      <c r="AI957">
        <f t="shared" si="88"/>
        <v>251.93</v>
      </c>
      <c r="AJ957" s="4">
        <v>0.2</v>
      </c>
      <c r="AK957">
        <f t="shared" si="89"/>
        <v>50.39</v>
      </c>
      <c r="AL957">
        <f t="shared" si="90"/>
        <v>302.32</v>
      </c>
      <c r="AM957">
        <f t="shared" si="91"/>
        <v>124.68</v>
      </c>
      <c r="AN957" s="4">
        <f t="shared" si="92"/>
        <v>0.291990632318501</v>
      </c>
      <c r="AO957" t="s">
        <v>221</v>
      </c>
      <c r="AQ957" t="s">
        <v>217</v>
      </c>
      <c r="AT957" t="s">
        <v>1508</v>
      </c>
    </row>
    <row r="958" ht="15.75" customHeight="1" spans="1:46">
      <c r="A958" t="s">
        <v>1703</v>
      </c>
      <c r="B958" t="s">
        <v>67</v>
      </c>
      <c r="C958" t="s">
        <v>1499</v>
      </c>
      <c r="D958" t="s">
        <v>1690</v>
      </c>
      <c r="E958" t="s">
        <v>1593</v>
      </c>
      <c r="F958" t="s">
        <v>1600</v>
      </c>
      <c r="H958" t="s">
        <v>1566</v>
      </c>
      <c r="I958" t="s">
        <v>1589</v>
      </c>
      <c r="Q958" t="s">
        <v>57</v>
      </c>
      <c r="R958" t="s">
        <v>1706</v>
      </c>
      <c r="Y958" t="s">
        <v>1707</v>
      </c>
      <c r="Z958">
        <v>8536</v>
      </c>
      <c r="AE958">
        <v>455</v>
      </c>
      <c r="AF958" s="4">
        <v>0.5</v>
      </c>
      <c r="AG958">
        <f t="shared" si="93"/>
        <v>227.5</v>
      </c>
      <c r="AH958" s="4">
        <v>0.18</v>
      </c>
      <c r="AI958">
        <f t="shared" si="88"/>
        <v>268.45</v>
      </c>
      <c r="AJ958" s="4">
        <v>0.2</v>
      </c>
      <c r="AK958">
        <f t="shared" si="89"/>
        <v>53.69</v>
      </c>
      <c r="AL958">
        <f t="shared" si="90"/>
        <v>322.14</v>
      </c>
      <c r="AM958">
        <f t="shared" si="91"/>
        <v>132.86</v>
      </c>
      <c r="AN958" s="4">
        <f t="shared" si="92"/>
        <v>0.292</v>
      </c>
      <c r="AO958" t="s">
        <v>221</v>
      </c>
      <c r="AQ958" t="s">
        <v>217</v>
      </c>
      <c r="AT958" t="s">
        <v>1508</v>
      </c>
    </row>
    <row r="959" ht="15.75" customHeight="1" spans="1:46">
      <c r="A959" s="15" t="s">
        <v>1708</v>
      </c>
      <c r="B959" s="15" t="s">
        <v>46</v>
      </c>
      <c r="C959" s="15" t="s">
        <v>1499</v>
      </c>
      <c r="D959" s="15" t="s">
        <v>1690</v>
      </c>
      <c r="E959" s="15" t="s">
        <v>1593</v>
      </c>
      <c r="F959" s="15" t="s">
        <v>1608</v>
      </c>
      <c r="G959" s="15"/>
      <c r="H959" s="15" t="s">
        <v>1566</v>
      </c>
      <c r="I959" s="15" t="s">
        <v>1567</v>
      </c>
      <c r="J959" s="15"/>
      <c r="K959" s="15"/>
      <c r="L959" s="15"/>
      <c r="M959" s="15"/>
      <c r="N959" s="15"/>
      <c r="O959" s="15"/>
      <c r="P959" s="15"/>
      <c r="Q959" s="15" t="s">
        <v>57</v>
      </c>
      <c r="R959" s="15">
        <v>68301</v>
      </c>
      <c r="S959" s="15"/>
      <c r="T959" s="15"/>
      <c r="U959" s="15"/>
      <c r="V959" s="15"/>
      <c r="W959" s="15"/>
      <c r="X959" s="15"/>
      <c r="Y959" s="15" t="s">
        <v>1709</v>
      </c>
      <c r="Z959" s="15">
        <v>8536</v>
      </c>
      <c r="AA959" s="15"/>
      <c r="AB959" s="15"/>
      <c r="AC959" s="15"/>
      <c r="AD959" s="15"/>
      <c r="AE959" s="15">
        <v>281</v>
      </c>
      <c r="AF959" s="16">
        <v>0.5</v>
      </c>
      <c r="AG959" s="15">
        <f t="shared" si="93"/>
        <v>140.5</v>
      </c>
      <c r="AH959" s="16">
        <v>0.18</v>
      </c>
      <c r="AI959" s="15">
        <f t="shared" si="88"/>
        <v>165.79</v>
      </c>
      <c r="AJ959" s="16">
        <v>0.2</v>
      </c>
      <c r="AK959" s="15">
        <f t="shared" si="89"/>
        <v>33.16</v>
      </c>
      <c r="AL959" s="15">
        <f t="shared" si="90"/>
        <v>198.95</v>
      </c>
      <c r="AM959" s="15">
        <f t="shared" si="91"/>
        <v>82.05</v>
      </c>
      <c r="AN959" s="16">
        <f t="shared" si="92"/>
        <v>0.291992882562278</v>
      </c>
      <c r="AO959" s="15" t="s">
        <v>221</v>
      </c>
      <c r="AP959" s="15"/>
      <c r="AQ959" s="15" t="s">
        <v>217</v>
      </c>
      <c r="AR959" s="15"/>
      <c r="AS959" s="15"/>
      <c r="AT959" t="s">
        <v>869</v>
      </c>
    </row>
    <row r="960" ht="15.75" customHeight="1" spans="1:46">
      <c r="A960" s="15" t="s">
        <v>1708</v>
      </c>
      <c r="B960" s="15" t="s">
        <v>67</v>
      </c>
      <c r="C960" s="15" t="s">
        <v>1499</v>
      </c>
      <c r="D960" s="15" t="s">
        <v>1690</v>
      </c>
      <c r="E960" s="15" t="s">
        <v>1593</v>
      </c>
      <c r="F960" s="15" t="s">
        <v>1608</v>
      </c>
      <c r="G960" s="15"/>
      <c r="H960" s="15" t="s">
        <v>1566</v>
      </c>
      <c r="I960" s="15" t="s">
        <v>1589</v>
      </c>
      <c r="J960" s="15"/>
      <c r="K960" s="15"/>
      <c r="L960" s="15"/>
      <c r="M960" s="15"/>
      <c r="N960" s="15"/>
      <c r="O960" s="15"/>
      <c r="P960" s="15"/>
      <c r="Q960" s="15" t="s">
        <v>57</v>
      </c>
      <c r="R960" s="15">
        <v>68302</v>
      </c>
      <c r="S960" s="15"/>
      <c r="T960" s="15"/>
      <c r="U960" s="15"/>
      <c r="V960" s="15"/>
      <c r="W960" s="15"/>
      <c r="X960" s="15"/>
      <c r="Y960" s="15" t="s">
        <v>1710</v>
      </c>
      <c r="Z960" s="15">
        <v>8536</v>
      </c>
      <c r="AA960" s="15"/>
      <c r="AB960" s="15"/>
      <c r="AC960" s="15"/>
      <c r="AD960" s="15"/>
      <c r="AE960" s="15">
        <v>324</v>
      </c>
      <c r="AF960" s="16">
        <v>0.5</v>
      </c>
      <c r="AG960" s="15">
        <f t="shared" si="93"/>
        <v>162</v>
      </c>
      <c r="AH960" s="16">
        <v>0.18</v>
      </c>
      <c r="AI960" s="15">
        <f t="shared" si="88"/>
        <v>191.16</v>
      </c>
      <c r="AJ960" s="16">
        <v>0.2</v>
      </c>
      <c r="AK960" s="15">
        <f t="shared" si="89"/>
        <v>38.23</v>
      </c>
      <c r="AL960" s="15">
        <f t="shared" si="90"/>
        <v>229.39</v>
      </c>
      <c r="AM960" s="15">
        <f t="shared" si="91"/>
        <v>94.61</v>
      </c>
      <c r="AN960" s="16">
        <f t="shared" si="92"/>
        <v>0.292006172839506</v>
      </c>
      <c r="AO960" s="15" t="s">
        <v>221</v>
      </c>
      <c r="AP960" s="15"/>
      <c r="AQ960" s="15" t="s">
        <v>217</v>
      </c>
      <c r="AR960" s="15"/>
      <c r="AS960" s="15"/>
      <c r="AT960" t="s">
        <v>869</v>
      </c>
    </row>
    <row r="961" ht="15.75" customHeight="1" spans="1:46">
      <c r="A961" s="15" t="s">
        <v>1711</v>
      </c>
      <c r="B961" s="15" t="s">
        <v>46</v>
      </c>
      <c r="C961" s="15" t="s">
        <v>1499</v>
      </c>
      <c r="D961" s="15" t="s">
        <v>1690</v>
      </c>
      <c r="E961" s="15" t="s">
        <v>1593</v>
      </c>
      <c r="F961" s="15" t="s">
        <v>1614</v>
      </c>
      <c r="G961" s="15"/>
      <c r="H961" s="15" t="s">
        <v>1566</v>
      </c>
      <c r="I961" s="15" t="s">
        <v>1567</v>
      </c>
      <c r="J961" s="15"/>
      <c r="K961" s="15"/>
      <c r="L961" s="15"/>
      <c r="M961" s="15"/>
      <c r="N961" s="15"/>
      <c r="O961" s="15"/>
      <c r="P961" s="15"/>
      <c r="Q961" s="15" t="s">
        <v>57</v>
      </c>
      <c r="R961" s="15"/>
      <c r="S961" s="15"/>
      <c r="T961" s="15"/>
      <c r="U961" s="15"/>
      <c r="V961" s="15"/>
      <c r="W961" s="15"/>
      <c r="X961" s="15"/>
      <c r="Y961" s="15" t="s">
        <v>1712</v>
      </c>
      <c r="Z961" s="15">
        <v>8536</v>
      </c>
      <c r="AA961" s="15"/>
      <c r="AB961" s="15"/>
      <c r="AC961" s="15"/>
      <c r="AD961" s="15"/>
      <c r="AE961" s="15">
        <v>324</v>
      </c>
      <c r="AF961" s="16">
        <v>0.5</v>
      </c>
      <c r="AG961" s="15">
        <f t="shared" si="93"/>
        <v>162</v>
      </c>
      <c r="AH961" s="16">
        <v>0.18</v>
      </c>
      <c r="AI961" s="15">
        <f t="shared" si="88"/>
        <v>191.16</v>
      </c>
      <c r="AJ961" s="16">
        <v>0.2</v>
      </c>
      <c r="AK961" s="15">
        <f t="shared" si="89"/>
        <v>38.23</v>
      </c>
      <c r="AL961" s="15">
        <f t="shared" si="90"/>
        <v>229.39</v>
      </c>
      <c r="AM961" s="15">
        <f t="shared" si="91"/>
        <v>94.61</v>
      </c>
      <c r="AN961" s="16">
        <f t="shared" si="92"/>
        <v>0.292006172839506</v>
      </c>
      <c r="AO961" s="15" t="s">
        <v>221</v>
      </c>
      <c r="AP961" s="15"/>
      <c r="AQ961" s="15" t="s">
        <v>217</v>
      </c>
      <c r="AR961" s="15"/>
      <c r="AS961" s="15"/>
      <c r="AT961" t="s">
        <v>869</v>
      </c>
    </row>
    <row r="962" ht="15.75" customHeight="1" spans="1:46">
      <c r="A962" s="15" t="s">
        <v>1711</v>
      </c>
      <c r="B962" s="15" t="s">
        <v>67</v>
      </c>
      <c r="C962" s="15" t="s">
        <v>1499</v>
      </c>
      <c r="D962" s="15" t="s">
        <v>1690</v>
      </c>
      <c r="E962" s="15" t="s">
        <v>1593</v>
      </c>
      <c r="F962" s="15" t="s">
        <v>1614</v>
      </c>
      <c r="G962" s="15"/>
      <c r="H962" s="15" t="s">
        <v>1566</v>
      </c>
      <c r="I962" s="15" t="s">
        <v>1589</v>
      </c>
      <c r="J962" s="15"/>
      <c r="K962" s="15"/>
      <c r="L962" s="15"/>
      <c r="M962" s="15"/>
      <c r="N962" s="15"/>
      <c r="O962" s="15"/>
      <c r="P962" s="15"/>
      <c r="Q962" s="15" t="s">
        <v>57</v>
      </c>
      <c r="R962" s="15"/>
      <c r="S962" s="15"/>
      <c r="T962" s="15"/>
      <c r="U962" s="15"/>
      <c r="V962" s="15"/>
      <c r="W962" s="15"/>
      <c r="X962" s="15"/>
      <c r="Y962" s="15" t="s">
        <v>1713</v>
      </c>
      <c r="Z962" s="15">
        <v>8536</v>
      </c>
      <c r="AA962" s="15"/>
      <c r="AB962" s="15"/>
      <c r="AC962" s="15"/>
      <c r="AD962" s="15"/>
      <c r="AE962" s="15">
        <v>324</v>
      </c>
      <c r="AF962" s="16">
        <v>0.5</v>
      </c>
      <c r="AG962" s="15">
        <f t="shared" si="93"/>
        <v>162</v>
      </c>
      <c r="AH962" s="16">
        <v>0.18</v>
      </c>
      <c r="AI962" s="15">
        <f t="shared" ref="AI962:AI1025" si="94">ROUND(AG962+(AG962*AH962),2)</f>
        <v>191.16</v>
      </c>
      <c r="AJ962" s="16">
        <v>0.2</v>
      </c>
      <c r="AK962" s="15">
        <f t="shared" ref="AK962:AK1025" si="95">ROUND(AI962*AJ962,2)</f>
        <v>38.23</v>
      </c>
      <c r="AL962" s="15">
        <f t="shared" ref="AL962:AL1025" si="96">AI962+AK962</f>
        <v>229.39</v>
      </c>
      <c r="AM962" s="15">
        <f t="shared" ref="AM962:AM1025" si="97">AE962-AL962</f>
        <v>94.61</v>
      </c>
      <c r="AN962" s="16">
        <f t="shared" ref="AN962:AN1025" si="98">AM962/AE962</f>
        <v>0.292006172839506</v>
      </c>
      <c r="AO962" s="15" t="s">
        <v>221</v>
      </c>
      <c r="AP962" s="15"/>
      <c r="AQ962" s="15" t="s">
        <v>217</v>
      </c>
      <c r="AR962" s="15"/>
      <c r="AS962" s="15"/>
      <c r="AT962" t="s">
        <v>869</v>
      </c>
    </row>
    <row r="963" ht="15.75" customHeight="1" spans="1:46">
      <c r="A963" t="s">
        <v>1714</v>
      </c>
      <c r="B963" t="s">
        <v>46</v>
      </c>
      <c r="C963" t="s">
        <v>1499</v>
      </c>
      <c r="D963" t="s">
        <v>1690</v>
      </c>
      <c r="E963" t="s">
        <v>1593</v>
      </c>
      <c r="F963" t="s">
        <v>1620</v>
      </c>
      <c r="H963" t="s">
        <v>1566</v>
      </c>
      <c r="I963" t="s">
        <v>1567</v>
      </c>
      <c r="Q963" t="s">
        <v>57</v>
      </c>
      <c r="R963">
        <v>47513</v>
      </c>
      <c r="Y963" t="s">
        <v>1715</v>
      </c>
      <c r="Z963">
        <v>8536</v>
      </c>
      <c r="AE963">
        <v>364</v>
      </c>
      <c r="AF963" s="4">
        <v>0.5</v>
      </c>
      <c r="AG963">
        <f t="shared" si="93"/>
        <v>182</v>
      </c>
      <c r="AH963" s="4">
        <v>0.18</v>
      </c>
      <c r="AI963">
        <f t="shared" si="94"/>
        <v>214.76</v>
      </c>
      <c r="AJ963" s="4">
        <v>0.2</v>
      </c>
      <c r="AK963">
        <f t="shared" si="95"/>
        <v>42.95</v>
      </c>
      <c r="AL963">
        <f t="shared" si="96"/>
        <v>257.71</v>
      </c>
      <c r="AM963">
        <f t="shared" si="97"/>
        <v>106.29</v>
      </c>
      <c r="AN963" s="4">
        <f t="shared" si="98"/>
        <v>0.292005494505495</v>
      </c>
      <c r="AO963" t="s">
        <v>221</v>
      </c>
      <c r="AQ963" t="s">
        <v>217</v>
      </c>
      <c r="AT963" t="s">
        <v>1508</v>
      </c>
    </row>
    <row r="964" ht="15.75" customHeight="1" spans="1:46">
      <c r="A964" t="s">
        <v>1714</v>
      </c>
      <c r="B964" t="s">
        <v>67</v>
      </c>
      <c r="C964" t="s">
        <v>1499</v>
      </c>
      <c r="D964" t="s">
        <v>1690</v>
      </c>
      <c r="E964" t="s">
        <v>1593</v>
      </c>
      <c r="F964" t="s">
        <v>1620</v>
      </c>
      <c r="H964" t="s">
        <v>1566</v>
      </c>
      <c r="I964" t="s">
        <v>1589</v>
      </c>
      <c r="Q964" t="s">
        <v>57</v>
      </c>
      <c r="R964">
        <v>47500</v>
      </c>
      <c r="Y964" t="s">
        <v>1716</v>
      </c>
      <c r="Z964">
        <v>8536</v>
      </c>
      <c r="AE964">
        <v>419</v>
      </c>
      <c r="AF964" s="4">
        <v>0.5</v>
      </c>
      <c r="AG964">
        <f t="shared" ref="AG964:AG1027" si="99">ROUND(AE964-(AE964*AF964),2)</f>
        <v>209.5</v>
      </c>
      <c r="AH964" s="4">
        <v>0.18</v>
      </c>
      <c r="AI964">
        <f t="shared" si="94"/>
        <v>247.21</v>
      </c>
      <c r="AJ964" s="4">
        <v>0.2</v>
      </c>
      <c r="AK964">
        <f t="shared" si="95"/>
        <v>49.44</v>
      </c>
      <c r="AL964">
        <f t="shared" si="96"/>
        <v>296.65</v>
      </c>
      <c r="AM964">
        <f t="shared" si="97"/>
        <v>122.35</v>
      </c>
      <c r="AN964" s="4">
        <f t="shared" si="98"/>
        <v>0.29200477326969</v>
      </c>
      <c r="AO964" t="s">
        <v>221</v>
      </c>
      <c r="AQ964" t="s">
        <v>217</v>
      </c>
      <c r="AT964" t="s">
        <v>1508</v>
      </c>
    </row>
    <row r="965" ht="15.75" customHeight="1" spans="1:46">
      <c r="A965" t="s">
        <v>1717</v>
      </c>
      <c r="B965" t="s">
        <v>46</v>
      </c>
      <c r="C965" t="s">
        <v>1499</v>
      </c>
      <c r="D965" t="s">
        <v>1690</v>
      </c>
      <c r="E965" t="s">
        <v>1626</v>
      </c>
      <c r="F965" t="s">
        <v>1627</v>
      </c>
      <c r="H965" t="s">
        <v>1566</v>
      </c>
      <c r="I965" t="s">
        <v>1567</v>
      </c>
      <c r="Q965" t="s">
        <v>57</v>
      </c>
      <c r="R965" t="s">
        <v>1718</v>
      </c>
      <c r="Y965" t="s">
        <v>1719</v>
      </c>
      <c r="Z965">
        <v>8536</v>
      </c>
      <c r="AE965">
        <v>884</v>
      </c>
      <c r="AF965" s="4">
        <v>0.5</v>
      </c>
      <c r="AG965">
        <f t="shared" si="99"/>
        <v>442</v>
      </c>
      <c r="AH965" s="4">
        <v>0.18</v>
      </c>
      <c r="AI965">
        <f t="shared" si="94"/>
        <v>521.56</v>
      </c>
      <c r="AJ965" s="4">
        <v>0.2</v>
      </c>
      <c r="AK965">
        <f t="shared" si="95"/>
        <v>104.31</v>
      </c>
      <c r="AL965">
        <f t="shared" si="96"/>
        <v>625.87</v>
      </c>
      <c r="AM965">
        <f t="shared" si="97"/>
        <v>258.13</v>
      </c>
      <c r="AN965" s="4">
        <f t="shared" si="98"/>
        <v>0.292002262443439</v>
      </c>
      <c r="AO965" t="s">
        <v>221</v>
      </c>
      <c r="AQ965" t="s">
        <v>217</v>
      </c>
      <c r="AT965" t="s">
        <v>1508</v>
      </c>
    </row>
    <row r="966" ht="15.75" customHeight="1" spans="1:46">
      <c r="A966" t="s">
        <v>1717</v>
      </c>
      <c r="B966" t="s">
        <v>67</v>
      </c>
      <c r="C966" t="s">
        <v>1499</v>
      </c>
      <c r="D966" t="s">
        <v>1690</v>
      </c>
      <c r="E966" t="s">
        <v>1626</v>
      </c>
      <c r="F966" t="s">
        <v>1627</v>
      </c>
      <c r="H966" t="s">
        <v>1566</v>
      </c>
      <c r="I966" t="s">
        <v>1589</v>
      </c>
      <c r="Q966" t="s">
        <v>57</v>
      </c>
      <c r="R966" t="s">
        <v>1720</v>
      </c>
      <c r="Y966" t="s">
        <v>1721</v>
      </c>
      <c r="Z966">
        <v>8536</v>
      </c>
      <c r="AE966">
        <v>1012</v>
      </c>
      <c r="AF966" s="4">
        <v>0.5</v>
      </c>
      <c r="AG966">
        <f t="shared" si="99"/>
        <v>506</v>
      </c>
      <c r="AH966" s="4">
        <v>0.18</v>
      </c>
      <c r="AI966">
        <f t="shared" si="94"/>
        <v>597.08</v>
      </c>
      <c r="AJ966" s="4">
        <v>0.2</v>
      </c>
      <c r="AK966">
        <f t="shared" si="95"/>
        <v>119.42</v>
      </c>
      <c r="AL966">
        <f t="shared" si="96"/>
        <v>716.5</v>
      </c>
      <c r="AM966">
        <f t="shared" si="97"/>
        <v>295.5</v>
      </c>
      <c r="AN966" s="4">
        <f t="shared" si="98"/>
        <v>0.29199604743083</v>
      </c>
      <c r="AO966" t="s">
        <v>221</v>
      </c>
      <c r="AQ966" t="s">
        <v>217</v>
      </c>
      <c r="AT966" t="s">
        <v>1508</v>
      </c>
    </row>
    <row r="967" ht="15.75" customHeight="1" spans="1:46">
      <c r="A967" t="s">
        <v>1722</v>
      </c>
      <c r="B967" t="s">
        <v>46</v>
      </c>
      <c r="C967" t="s">
        <v>1499</v>
      </c>
      <c r="D967" t="s">
        <v>1690</v>
      </c>
      <c r="E967" t="s">
        <v>1636</v>
      </c>
      <c r="F967" t="s">
        <v>1637</v>
      </c>
      <c r="H967" t="s">
        <v>1566</v>
      </c>
      <c r="I967" t="s">
        <v>1567</v>
      </c>
      <c r="Q967" t="s">
        <v>57</v>
      </c>
      <c r="R967" t="s">
        <v>1723</v>
      </c>
      <c r="Y967" t="s">
        <v>1724</v>
      </c>
      <c r="Z967">
        <v>8536</v>
      </c>
      <c r="AE967">
        <v>710</v>
      </c>
      <c r="AF967" s="4">
        <v>0.5</v>
      </c>
      <c r="AG967">
        <f t="shared" si="99"/>
        <v>355</v>
      </c>
      <c r="AH967" s="4">
        <v>0.18</v>
      </c>
      <c r="AI967">
        <f t="shared" si="94"/>
        <v>418.9</v>
      </c>
      <c r="AJ967" s="4">
        <v>0.2</v>
      </c>
      <c r="AK967">
        <f t="shared" si="95"/>
        <v>83.78</v>
      </c>
      <c r="AL967">
        <f t="shared" si="96"/>
        <v>502.68</v>
      </c>
      <c r="AM967">
        <f t="shared" si="97"/>
        <v>207.32</v>
      </c>
      <c r="AN967" s="4">
        <f t="shared" si="98"/>
        <v>0.292</v>
      </c>
      <c r="AO967" t="s">
        <v>221</v>
      </c>
      <c r="AQ967" t="s">
        <v>217</v>
      </c>
      <c r="AT967" t="s">
        <v>1508</v>
      </c>
    </row>
    <row r="968" ht="15.75" customHeight="1" spans="1:46">
      <c r="A968" t="s">
        <v>1722</v>
      </c>
      <c r="B968" t="s">
        <v>67</v>
      </c>
      <c r="C968" t="s">
        <v>1499</v>
      </c>
      <c r="D968" t="s">
        <v>1690</v>
      </c>
      <c r="E968" t="s">
        <v>1636</v>
      </c>
      <c r="F968" t="s">
        <v>1637</v>
      </c>
      <c r="H968" t="s">
        <v>1566</v>
      </c>
      <c r="I968" t="s">
        <v>1589</v>
      </c>
      <c r="Q968" t="s">
        <v>57</v>
      </c>
      <c r="R968" t="s">
        <v>1725</v>
      </c>
      <c r="Y968" t="s">
        <v>1726</v>
      </c>
      <c r="Z968">
        <v>8536</v>
      </c>
      <c r="AE968">
        <v>965</v>
      </c>
      <c r="AF968" s="4">
        <v>0.5</v>
      </c>
      <c r="AG968">
        <f t="shared" si="99"/>
        <v>482.5</v>
      </c>
      <c r="AH968" s="4">
        <v>0.18</v>
      </c>
      <c r="AI968">
        <f t="shared" si="94"/>
        <v>569.35</v>
      </c>
      <c r="AJ968" s="4">
        <v>0.2</v>
      </c>
      <c r="AK968">
        <f t="shared" si="95"/>
        <v>113.87</v>
      </c>
      <c r="AL968">
        <f t="shared" si="96"/>
        <v>683.22</v>
      </c>
      <c r="AM968">
        <f t="shared" si="97"/>
        <v>281.78</v>
      </c>
      <c r="AN968" s="4">
        <f t="shared" si="98"/>
        <v>0.292</v>
      </c>
      <c r="AO968" t="s">
        <v>221</v>
      </c>
      <c r="AQ968" t="s">
        <v>217</v>
      </c>
      <c r="AT968" t="s">
        <v>1508</v>
      </c>
    </row>
    <row r="969" ht="15.75" customHeight="1" spans="1:46">
      <c r="A969" t="s">
        <v>1727</v>
      </c>
      <c r="B969" t="s">
        <v>46</v>
      </c>
      <c r="C969" t="s">
        <v>1499</v>
      </c>
      <c r="D969" t="s">
        <v>1690</v>
      </c>
      <c r="E969" t="s">
        <v>1646</v>
      </c>
      <c r="F969" t="s">
        <v>1647</v>
      </c>
      <c r="H969" t="s">
        <v>1566</v>
      </c>
      <c r="I969" t="s">
        <v>1567</v>
      </c>
      <c r="Q969" t="s">
        <v>57</v>
      </c>
      <c r="R969" t="s">
        <v>1728</v>
      </c>
      <c r="Y969" t="s">
        <v>1729</v>
      </c>
      <c r="Z969">
        <v>8536</v>
      </c>
      <c r="AE969">
        <v>524</v>
      </c>
      <c r="AF969" s="4">
        <v>0.5</v>
      </c>
      <c r="AG969">
        <f t="shared" si="99"/>
        <v>262</v>
      </c>
      <c r="AH969" s="4">
        <v>0.18</v>
      </c>
      <c r="AI969">
        <f t="shared" si="94"/>
        <v>309.16</v>
      </c>
      <c r="AJ969" s="4">
        <v>0.2</v>
      </c>
      <c r="AK969">
        <f t="shared" si="95"/>
        <v>61.83</v>
      </c>
      <c r="AL969">
        <f t="shared" si="96"/>
        <v>370.99</v>
      </c>
      <c r="AM969">
        <f t="shared" si="97"/>
        <v>153.01</v>
      </c>
      <c r="AN969" s="4">
        <f t="shared" si="98"/>
        <v>0.292003816793893</v>
      </c>
      <c r="AO969" t="s">
        <v>221</v>
      </c>
      <c r="AQ969" t="s">
        <v>217</v>
      </c>
      <c r="AT969" t="s">
        <v>1508</v>
      </c>
    </row>
    <row r="970" ht="15.75" customHeight="1" spans="1:46">
      <c r="A970" t="s">
        <v>1727</v>
      </c>
      <c r="B970" t="s">
        <v>67</v>
      </c>
      <c r="C970" t="s">
        <v>1499</v>
      </c>
      <c r="D970" t="s">
        <v>1690</v>
      </c>
      <c r="E970" t="s">
        <v>1646</v>
      </c>
      <c r="F970" t="s">
        <v>1647</v>
      </c>
      <c r="H970" t="s">
        <v>1566</v>
      </c>
      <c r="I970" t="s">
        <v>1589</v>
      </c>
      <c r="Q970" t="s">
        <v>57</v>
      </c>
      <c r="R970" t="s">
        <v>1730</v>
      </c>
      <c r="Y970" t="s">
        <v>1731</v>
      </c>
      <c r="Z970">
        <v>8536</v>
      </c>
      <c r="AE970">
        <v>597</v>
      </c>
      <c r="AF970" s="4">
        <v>0.5</v>
      </c>
      <c r="AG970">
        <f t="shared" si="99"/>
        <v>298.5</v>
      </c>
      <c r="AH970" s="4">
        <v>0.18</v>
      </c>
      <c r="AI970">
        <f t="shared" si="94"/>
        <v>352.23</v>
      </c>
      <c r="AJ970" s="4">
        <v>0.2</v>
      </c>
      <c r="AK970">
        <f t="shared" si="95"/>
        <v>70.45</v>
      </c>
      <c r="AL970">
        <f t="shared" si="96"/>
        <v>422.68</v>
      </c>
      <c r="AM970">
        <f t="shared" si="97"/>
        <v>174.32</v>
      </c>
      <c r="AN970" s="4">
        <f t="shared" si="98"/>
        <v>0.291993299832496</v>
      </c>
      <c r="AO970" t="s">
        <v>221</v>
      </c>
      <c r="AQ970" t="s">
        <v>217</v>
      </c>
      <c r="AT970" t="s">
        <v>1508</v>
      </c>
    </row>
    <row r="971" ht="15.75" customHeight="1" spans="1:46">
      <c r="A971" t="s">
        <v>1732</v>
      </c>
      <c r="B971" t="s">
        <v>46</v>
      </c>
      <c r="C971" t="s">
        <v>1499</v>
      </c>
      <c r="D971" t="s">
        <v>1690</v>
      </c>
      <c r="E971" t="s">
        <v>1658</v>
      </c>
      <c r="F971" t="s">
        <v>1659</v>
      </c>
      <c r="H971" t="s">
        <v>1566</v>
      </c>
      <c r="I971" t="s">
        <v>1567</v>
      </c>
      <c r="Q971" t="s">
        <v>57</v>
      </c>
      <c r="R971" t="s">
        <v>1733</v>
      </c>
      <c r="Y971" t="s">
        <v>1734</v>
      </c>
      <c r="Z971">
        <v>8536</v>
      </c>
      <c r="AE971">
        <v>273</v>
      </c>
      <c r="AF971" s="4">
        <v>0.5</v>
      </c>
      <c r="AG971">
        <f t="shared" si="99"/>
        <v>136.5</v>
      </c>
      <c r="AH971" s="4">
        <v>0.18</v>
      </c>
      <c r="AI971">
        <f t="shared" si="94"/>
        <v>161.07</v>
      </c>
      <c r="AJ971" s="4">
        <v>0.2</v>
      </c>
      <c r="AK971">
        <f t="shared" si="95"/>
        <v>32.21</v>
      </c>
      <c r="AL971">
        <f t="shared" si="96"/>
        <v>193.28</v>
      </c>
      <c r="AM971">
        <f t="shared" si="97"/>
        <v>79.72</v>
      </c>
      <c r="AN971" s="4">
        <f t="shared" si="98"/>
        <v>0.292014652014652</v>
      </c>
      <c r="AO971" t="s">
        <v>221</v>
      </c>
      <c r="AQ971" t="s">
        <v>217</v>
      </c>
      <c r="AT971" t="s">
        <v>1662</v>
      </c>
    </row>
    <row r="972" ht="15.75" customHeight="1" spans="1:46">
      <c r="A972" t="s">
        <v>1732</v>
      </c>
      <c r="B972" t="s">
        <v>67</v>
      </c>
      <c r="C972" t="s">
        <v>1499</v>
      </c>
      <c r="D972" t="s">
        <v>1690</v>
      </c>
      <c r="E972" t="s">
        <v>1658</v>
      </c>
      <c r="F972" t="s">
        <v>1659</v>
      </c>
      <c r="H972" t="s">
        <v>1566</v>
      </c>
      <c r="I972" t="s">
        <v>1589</v>
      </c>
      <c r="Q972" t="s">
        <v>57</v>
      </c>
      <c r="R972" t="s">
        <v>1735</v>
      </c>
      <c r="Y972" t="s">
        <v>1736</v>
      </c>
      <c r="Z972">
        <v>8536</v>
      </c>
      <c r="AE972">
        <v>316</v>
      </c>
      <c r="AF972" s="4">
        <v>0.5</v>
      </c>
      <c r="AG972">
        <f t="shared" si="99"/>
        <v>158</v>
      </c>
      <c r="AH972" s="4">
        <v>0.18</v>
      </c>
      <c r="AI972">
        <f t="shared" si="94"/>
        <v>186.44</v>
      </c>
      <c r="AJ972" s="4">
        <v>0.2</v>
      </c>
      <c r="AK972">
        <f t="shared" si="95"/>
        <v>37.29</v>
      </c>
      <c r="AL972">
        <f t="shared" si="96"/>
        <v>223.73</v>
      </c>
      <c r="AM972">
        <f t="shared" si="97"/>
        <v>92.27</v>
      </c>
      <c r="AN972" s="4">
        <f t="shared" si="98"/>
        <v>0.291993670886076</v>
      </c>
      <c r="AO972" t="s">
        <v>221</v>
      </c>
      <c r="AQ972" t="s">
        <v>217</v>
      </c>
      <c r="AT972" t="s">
        <v>1662</v>
      </c>
    </row>
    <row r="973" ht="15.75" customHeight="1" spans="1:46">
      <c r="A973" t="s">
        <v>1737</v>
      </c>
      <c r="B973" t="s">
        <v>46</v>
      </c>
      <c r="C973" t="s">
        <v>1499</v>
      </c>
      <c r="D973" t="s">
        <v>1690</v>
      </c>
      <c r="E973" t="s">
        <v>1658</v>
      </c>
      <c r="F973" t="s">
        <v>1669</v>
      </c>
      <c r="H973" t="s">
        <v>1566</v>
      </c>
      <c r="I973" t="s">
        <v>1567</v>
      </c>
      <c r="Q973" t="s">
        <v>57</v>
      </c>
      <c r="R973" t="s">
        <v>1738</v>
      </c>
      <c r="Y973" t="s">
        <v>1739</v>
      </c>
      <c r="Z973">
        <v>8536</v>
      </c>
      <c r="AE973">
        <v>290</v>
      </c>
      <c r="AF973" s="4">
        <v>0.5</v>
      </c>
      <c r="AG973">
        <f t="shared" si="99"/>
        <v>145</v>
      </c>
      <c r="AH973" s="4">
        <v>0.18</v>
      </c>
      <c r="AI973">
        <f t="shared" si="94"/>
        <v>171.1</v>
      </c>
      <c r="AJ973" s="4">
        <v>0.2</v>
      </c>
      <c r="AK973">
        <f t="shared" si="95"/>
        <v>34.22</v>
      </c>
      <c r="AL973">
        <f t="shared" si="96"/>
        <v>205.32</v>
      </c>
      <c r="AM973">
        <f t="shared" si="97"/>
        <v>84.68</v>
      </c>
      <c r="AN973" s="4">
        <f t="shared" si="98"/>
        <v>0.292</v>
      </c>
      <c r="AO973" t="s">
        <v>221</v>
      </c>
      <c r="AQ973" t="s">
        <v>217</v>
      </c>
      <c r="AT973" t="s">
        <v>1662</v>
      </c>
    </row>
    <row r="974" ht="15.75" customHeight="1" spans="1:46">
      <c r="A974" t="s">
        <v>1737</v>
      </c>
      <c r="B974" t="s">
        <v>67</v>
      </c>
      <c r="C974" t="s">
        <v>1499</v>
      </c>
      <c r="D974" t="s">
        <v>1690</v>
      </c>
      <c r="E974" t="s">
        <v>1658</v>
      </c>
      <c r="F974" t="s">
        <v>1669</v>
      </c>
      <c r="H974" t="s">
        <v>1566</v>
      </c>
      <c r="I974" t="s">
        <v>1589</v>
      </c>
      <c r="Q974" t="s">
        <v>57</v>
      </c>
      <c r="R974" t="s">
        <v>1740</v>
      </c>
      <c r="Y974" t="s">
        <v>1741</v>
      </c>
      <c r="Z974">
        <v>8536</v>
      </c>
      <c r="AE974">
        <v>331</v>
      </c>
      <c r="AF974" s="4">
        <v>0.5</v>
      </c>
      <c r="AG974">
        <f t="shared" si="99"/>
        <v>165.5</v>
      </c>
      <c r="AH974" s="4">
        <v>0.18</v>
      </c>
      <c r="AI974">
        <f t="shared" si="94"/>
        <v>195.29</v>
      </c>
      <c r="AJ974" s="4">
        <v>0.2</v>
      </c>
      <c r="AK974">
        <f t="shared" si="95"/>
        <v>39.06</v>
      </c>
      <c r="AL974">
        <f t="shared" si="96"/>
        <v>234.35</v>
      </c>
      <c r="AM974">
        <f t="shared" si="97"/>
        <v>96.65</v>
      </c>
      <c r="AN974" s="4">
        <f t="shared" si="98"/>
        <v>0.291993957703927</v>
      </c>
      <c r="AO974" t="s">
        <v>221</v>
      </c>
      <c r="AQ974" t="s">
        <v>217</v>
      </c>
      <c r="AT974" t="s">
        <v>1662</v>
      </c>
    </row>
    <row r="975" ht="15.75" customHeight="1" spans="1:46">
      <c r="A975" t="s">
        <v>1742</v>
      </c>
      <c r="B975" t="s">
        <v>46</v>
      </c>
      <c r="C975" t="s">
        <v>1499</v>
      </c>
      <c r="D975" t="s">
        <v>1690</v>
      </c>
      <c r="E975" t="s">
        <v>1679</v>
      </c>
      <c r="F975" t="s">
        <v>1680</v>
      </c>
      <c r="H975" t="s">
        <v>1566</v>
      </c>
      <c r="I975" t="s">
        <v>1567</v>
      </c>
      <c r="Q975" t="s">
        <v>57</v>
      </c>
      <c r="R975" t="s">
        <v>1743</v>
      </c>
      <c r="Y975" t="s">
        <v>1744</v>
      </c>
      <c r="Z975">
        <v>8536</v>
      </c>
      <c r="AE975">
        <v>788</v>
      </c>
      <c r="AF975" s="4">
        <v>0.5</v>
      </c>
      <c r="AG975">
        <f t="shared" si="99"/>
        <v>394</v>
      </c>
      <c r="AH975" s="4">
        <v>0.18</v>
      </c>
      <c r="AI975">
        <f t="shared" si="94"/>
        <v>464.92</v>
      </c>
      <c r="AJ975" s="4">
        <v>0.2</v>
      </c>
      <c r="AK975">
        <f t="shared" si="95"/>
        <v>92.98</v>
      </c>
      <c r="AL975">
        <f t="shared" si="96"/>
        <v>557.9</v>
      </c>
      <c r="AM975">
        <f t="shared" si="97"/>
        <v>230.1</v>
      </c>
      <c r="AN975" s="4">
        <f t="shared" si="98"/>
        <v>0.292005076142132</v>
      </c>
      <c r="AO975" t="s">
        <v>221</v>
      </c>
      <c r="AQ975" t="s">
        <v>217</v>
      </c>
      <c r="AT975" t="s">
        <v>1662</v>
      </c>
    </row>
    <row r="976" ht="15.75" customHeight="1" spans="1:46">
      <c r="A976" t="s">
        <v>1742</v>
      </c>
      <c r="B976" t="s">
        <v>67</v>
      </c>
      <c r="C976" t="s">
        <v>1499</v>
      </c>
      <c r="D976" t="s">
        <v>1690</v>
      </c>
      <c r="E976" t="s">
        <v>1679</v>
      </c>
      <c r="F976" t="s">
        <v>1680</v>
      </c>
      <c r="H976" t="s">
        <v>1566</v>
      </c>
      <c r="I976" t="s">
        <v>1589</v>
      </c>
      <c r="Q976" t="s">
        <v>57</v>
      </c>
      <c r="R976" t="s">
        <v>1745</v>
      </c>
      <c r="Y976" t="s">
        <v>1746</v>
      </c>
      <c r="Z976">
        <v>8536</v>
      </c>
      <c r="AE976">
        <v>916</v>
      </c>
      <c r="AF976" s="4">
        <v>0.5</v>
      </c>
      <c r="AG976">
        <f t="shared" si="99"/>
        <v>458</v>
      </c>
      <c r="AH976" s="4">
        <v>0.18</v>
      </c>
      <c r="AI976">
        <f t="shared" si="94"/>
        <v>540.44</v>
      </c>
      <c r="AJ976" s="4">
        <v>0.2</v>
      </c>
      <c r="AK976">
        <f t="shared" si="95"/>
        <v>108.09</v>
      </c>
      <c r="AL976">
        <f t="shared" si="96"/>
        <v>648.53</v>
      </c>
      <c r="AM976">
        <f t="shared" si="97"/>
        <v>267.47</v>
      </c>
      <c r="AN976" s="4">
        <f t="shared" si="98"/>
        <v>0.291997816593886</v>
      </c>
      <c r="AO976" t="s">
        <v>221</v>
      </c>
      <c r="AQ976" t="s">
        <v>217</v>
      </c>
      <c r="AT976" t="s">
        <v>1662</v>
      </c>
    </row>
    <row r="977" ht="15.75" customHeight="1" spans="1:46">
      <c r="A977" s="15" t="s">
        <v>1747</v>
      </c>
      <c r="B977" s="15" t="s">
        <v>46</v>
      </c>
      <c r="C977" s="15" t="s">
        <v>1499</v>
      </c>
      <c r="D977" s="15" t="s">
        <v>1748</v>
      </c>
      <c r="E977" s="15" t="s">
        <v>1564</v>
      </c>
      <c r="F977" s="15" t="s">
        <v>1565</v>
      </c>
      <c r="G977" s="15"/>
      <c r="H977" s="15" t="s">
        <v>1566</v>
      </c>
      <c r="I977" s="15" t="s">
        <v>1567</v>
      </c>
      <c r="J977" s="15" t="s">
        <v>1570</v>
      </c>
      <c r="K977" s="15" t="s">
        <v>1571</v>
      </c>
      <c r="L977" s="15"/>
      <c r="M977" s="15"/>
      <c r="N977" s="15"/>
      <c r="O977" s="15"/>
      <c r="P977" s="15"/>
      <c r="Q977" s="15" t="s">
        <v>57</v>
      </c>
      <c r="R977" s="15" t="s">
        <v>1749</v>
      </c>
      <c r="S977" s="15"/>
      <c r="T977" s="15"/>
      <c r="U977" s="15"/>
      <c r="V977" s="15"/>
      <c r="W977" s="15"/>
      <c r="X977" s="15"/>
      <c r="Y977" s="15"/>
      <c r="Z977" s="15">
        <v>8536</v>
      </c>
      <c r="AA977" s="15"/>
      <c r="AB977" s="15"/>
      <c r="AC977" s="15"/>
      <c r="AD977" s="15"/>
      <c r="AE977" s="15">
        <v>173</v>
      </c>
      <c r="AF977" s="16">
        <v>0.5</v>
      </c>
      <c r="AG977" s="15">
        <f t="shared" si="99"/>
        <v>86.5</v>
      </c>
      <c r="AH977" s="16">
        <v>0.18</v>
      </c>
      <c r="AI977" s="15">
        <f t="shared" si="94"/>
        <v>102.07</v>
      </c>
      <c r="AJ977" s="16">
        <v>0.2</v>
      </c>
      <c r="AK977" s="15">
        <f t="shared" si="95"/>
        <v>20.41</v>
      </c>
      <c r="AL977" s="15">
        <f t="shared" si="96"/>
        <v>122.48</v>
      </c>
      <c r="AM977" s="15">
        <f t="shared" si="97"/>
        <v>50.52</v>
      </c>
      <c r="AN977" s="16">
        <f t="shared" si="98"/>
        <v>0.292023121387283</v>
      </c>
      <c r="AO977" s="15" t="s">
        <v>221</v>
      </c>
      <c r="AP977" s="15"/>
      <c r="AQ977" s="15" t="s">
        <v>217</v>
      </c>
      <c r="AR977" s="15"/>
      <c r="AS977" s="15"/>
      <c r="AT977" t="s">
        <v>869</v>
      </c>
    </row>
    <row r="978" ht="15.75" customHeight="1" spans="1:46">
      <c r="A978" s="15" t="s">
        <v>1747</v>
      </c>
      <c r="B978" s="15" t="s">
        <v>67</v>
      </c>
      <c r="C978" s="15" t="s">
        <v>1499</v>
      </c>
      <c r="D978" s="15" t="s">
        <v>1748</v>
      </c>
      <c r="E978" s="15" t="s">
        <v>1564</v>
      </c>
      <c r="F978" s="15" t="s">
        <v>1565</v>
      </c>
      <c r="G978" s="15"/>
      <c r="H978" s="15" t="s">
        <v>1566</v>
      </c>
      <c r="I978" s="15" t="s">
        <v>1589</v>
      </c>
      <c r="J978" s="15" t="s">
        <v>1570</v>
      </c>
      <c r="K978" s="15" t="s">
        <v>1575</v>
      </c>
      <c r="L978" s="15"/>
      <c r="M978" s="15"/>
      <c r="N978" s="15"/>
      <c r="O978" s="15"/>
      <c r="P978" s="15"/>
      <c r="Q978" s="15" t="s">
        <v>57</v>
      </c>
      <c r="R978" s="15" t="s">
        <v>1750</v>
      </c>
      <c r="S978" s="15"/>
      <c r="T978" s="15"/>
      <c r="U978" s="15"/>
      <c r="V978" s="15"/>
      <c r="W978" s="15"/>
      <c r="X978" s="15"/>
      <c r="Y978" s="15" t="s">
        <v>1751</v>
      </c>
      <c r="Z978" s="15">
        <v>8536</v>
      </c>
      <c r="AA978" s="15"/>
      <c r="AB978" s="15"/>
      <c r="AC978" s="15"/>
      <c r="AD978" s="15"/>
      <c r="AE978" s="15">
        <v>299</v>
      </c>
      <c r="AF978" s="16">
        <v>0.5</v>
      </c>
      <c r="AG978" s="15">
        <f t="shared" si="99"/>
        <v>149.5</v>
      </c>
      <c r="AH978" s="16">
        <v>0.18</v>
      </c>
      <c r="AI978" s="15">
        <f t="shared" si="94"/>
        <v>176.41</v>
      </c>
      <c r="AJ978" s="16">
        <v>0.2</v>
      </c>
      <c r="AK978" s="15">
        <f t="shared" si="95"/>
        <v>35.28</v>
      </c>
      <c r="AL978" s="15">
        <f t="shared" si="96"/>
        <v>211.69</v>
      </c>
      <c r="AM978" s="15">
        <f t="shared" si="97"/>
        <v>87.31</v>
      </c>
      <c r="AN978" s="16">
        <f t="shared" si="98"/>
        <v>0.292006688963211</v>
      </c>
      <c r="AO978" s="15" t="s">
        <v>221</v>
      </c>
      <c r="AP978" s="15"/>
      <c r="AQ978" s="15" t="s">
        <v>217</v>
      </c>
      <c r="AR978" s="15"/>
      <c r="AS978" s="15"/>
      <c r="AT978" t="s">
        <v>869</v>
      </c>
    </row>
    <row r="979" ht="15.75" customHeight="1" spans="1:46">
      <c r="A979" t="s">
        <v>1752</v>
      </c>
      <c r="B979" t="s">
        <v>46</v>
      </c>
      <c r="C979" t="s">
        <v>1499</v>
      </c>
      <c r="D979" t="s">
        <v>1748</v>
      </c>
      <c r="E979" t="s">
        <v>1564</v>
      </c>
      <c r="F979" t="s">
        <v>1582</v>
      </c>
      <c r="H979" t="s">
        <v>1566</v>
      </c>
      <c r="I979" t="s">
        <v>1567</v>
      </c>
      <c r="J979" t="s">
        <v>1570</v>
      </c>
      <c r="K979" t="s">
        <v>1571</v>
      </c>
      <c r="Q979" t="s">
        <v>57</v>
      </c>
      <c r="R979" t="s">
        <v>1753</v>
      </c>
      <c r="Z979">
        <v>8536</v>
      </c>
      <c r="AE979">
        <v>170</v>
      </c>
      <c r="AF979" s="4">
        <v>0.5</v>
      </c>
      <c r="AG979">
        <f t="shared" si="99"/>
        <v>85</v>
      </c>
      <c r="AH979" s="4">
        <v>0.18</v>
      </c>
      <c r="AI979">
        <f t="shared" si="94"/>
        <v>100.3</v>
      </c>
      <c r="AJ979" s="4">
        <v>0.2</v>
      </c>
      <c r="AK979">
        <f t="shared" si="95"/>
        <v>20.06</v>
      </c>
      <c r="AL979">
        <f t="shared" si="96"/>
        <v>120.36</v>
      </c>
      <c r="AM979">
        <f t="shared" si="97"/>
        <v>49.64</v>
      </c>
      <c r="AN979" s="4">
        <f t="shared" si="98"/>
        <v>0.292</v>
      </c>
      <c r="AO979" t="s">
        <v>221</v>
      </c>
      <c r="AQ979" t="s">
        <v>217</v>
      </c>
      <c r="AT979" t="s">
        <v>1662</v>
      </c>
    </row>
    <row r="980" ht="15.75" customHeight="1" spans="1:46">
      <c r="A980" t="s">
        <v>1752</v>
      </c>
      <c r="B980" t="s">
        <v>67</v>
      </c>
      <c r="C980" t="s">
        <v>1499</v>
      </c>
      <c r="D980" t="s">
        <v>1748</v>
      </c>
      <c r="E980" t="s">
        <v>1564</v>
      </c>
      <c r="F980" t="s">
        <v>1582</v>
      </c>
      <c r="H980" t="s">
        <v>1566</v>
      </c>
      <c r="I980" t="s">
        <v>1589</v>
      </c>
      <c r="J980" t="s">
        <v>1570</v>
      </c>
      <c r="K980" t="s">
        <v>1575</v>
      </c>
      <c r="Q980" t="s">
        <v>57</v>
      </c>
      <c r="R980" t="s">
        <v>1754</v>
      </c>
      <c r="Y980" t="s">
        <v>1755</v>
      </c>
      <c r="Z980">
        <v>8536</v>
      </c>
      <c r="AE980">
        <v>260</v>
      </c>
      <c r="AF980" s="4">
        <v>0.5</v>
      </c>
      <c r="AG980">
        <f t="shared" si="99"/>
        <v>130</v>
      </c>
      <c r="AH980" s="4">
        <v>0.18</v>
      </c>
      <c r="AI980">
        <f t="shared" si="94"/>
        <v>153.4</v>
      </c>
      <c r="AJ980" s="4">
        <v>0.2</v>
      </c>
      <c r="AK980">
        <f t="shared" si="95"/>
        <v>30.68</v>
      </c>
      <c r="AL980">
        <f t="shared" si="96"/>
        <v>184.08</v>
      </c>
      <c r="AM980">
        <f t="shared" si="97"/>
        <v>75.92</v>
      </c>
      <c r="AN980" s="4">
        <f t="shared" si="98"/>
        <v>0.292</v>
      </c>
      <c r="AO980" t="s">
        <v>221</v>
      </c>
      <c r="AQ980" t="s">
        <v>217</v>
      </c>
      <c r="AT980" t="s">
        <v>1662</v>
      </c>
    </row>
    <row r="981" ht="15.75" customHeight="1" spans="1:46">
      <c r="A981" t="s">
        <v>1756</v>
      </c>
      <c r="B981" t="s">
        <v>46</v>
      </c>
      <c r="C981" t="s">
        <v>1499</v>
      </c>
      <c r="D981" t="s">
        <v>1748</v>
      </c>
      <c r="E981" t="s">
        <v>1593</v>
      </c>
      <c r="F981" t="s">
        <v>1594</v>
      </c>
      <c r="H981" t="s">
        <v>1566</v>
      </c>
      <c r="I981" t="s">
        <v>1567</v>
      </c>
      <c r="J981" t="s">
        <v>1570</v>
      </c>
      <c r="K981" t="s">
        <v>1571</v>
      </c>
      <c r="Q981" t="s">
        <v>57</v>
      </c>
      <c r="R981">
        <v>65208</v>
      </c>
      <c r="Y981" t="s">
        <v>1757</v>
      </c>
      <c r="Z981">
        <v>8536</v>
      </c>
      <c r="AE981">
        <v>116</v>
      </c>
      <c r="AF981" s="4">
        <v>0.5</v>
      </c>
      <c r="AG981">
        <f t="shared" si="99"/>
        <v>58</v>
      </c>
      <c r="AH981" s="4">
        <v>0.18</v>
      </c>
      <c r="AI981">
        <f t="shared" si="94"/>
        <v>68.44</v>
      </c>
      <c r="AJ981" s="4">
        <v>0.2</v>
      </c>
      <c r="AK981">
        <f t="shared" si="95"/>
        <v>13.69</v>
      </c>
      <c r="AL981">
        <f t="shared" si="96"/>
        <v>82.13</v>
      </c>
      <c r="AM981">
        <f t="shared" si="97"/>
        <v>33.87</v>
      </c>
      <c r="AN981" s="4">
        <f t="shared" si="98"/>
        <v>0.29198275862069</v>
      </c>
      <c r="AO981" t="s">
        <v>221</v>
      </c>
      <c r="AQ981" t="s">
        <v>217</v>
      </c>
      <c r="AT981" t="s">
        <v>1662</v>
      </c>
    </row>
    <row r="982" ht="15.75" customHeight="1" spans="1:46">
      <c r="A982" t="s">
        <v>1756</v>
      </c>
      <c r="B982" t="s">
        <v>67</v>
      </c>
      <c r="C982" t="s">
        <v>1499</v>
      </c>
      <c r="D982" t="s">
        <v>1748</v>
      </c>
      <c r="E982" t="s">
        <v>1593</v>
      </c>
      <c r="F982" t="s">
        <v>1594</v>
      </c>
      <c r="H982" t="s">
        <v>1566</v>
      </c>
      <c r="I982" t="s">
        <v>1589</v>
      </c>
      <c r="J982" t="s">
        <v>1570</v>
      </c>
      <c r="K982" t="s">
        <v>1575</v>
      </c>
      <c r="Q982" t="s">
        <v>57</v>
      </c>
      <c r="R982">
        <v>65204</v>
      </c>
      <c r="Y982" t="s">
        <v>1758</v>
      </c>
      <c r="Z982">
        <v>8536</v>
      </c>
      <c r="AE982">
        <v>193</v>
      </c>
      <c r="AF982" s="4">
        <v>0.5</v>
      </c>
      <c r="AG982">
        <f t="shared" si="99"/>
        <v>96.5</v>
      </c>
      <c r="AH982" s="4">
        <v>0.18</v>
      </c>
      <c r="AI982">
        <f t="shared" si="94"/>
        <v>113.87</v>
      </c>
      <c r="AJ982" s="4">
        <v>0.2</v>
      </c>
      <c r="AK982">
        <f t="shared" si="95"/>
        <v>22.77</v>
      </c>
      <c r="AL982">
        <f t="shared" si="96"/>
        <v>136.64</v>
      </c>
      <c r="AM982">
        <f t="shared" si="97"/>
        <v>56.36</v>
      </c>
      <c r="AN982" s="4">
        <f t="shared" si="98"/>
        <v>0.292020725388601</v>
      </c>
      <c r="AO982" t="s">
        <v>221</v>
      </c>
      <c r="AQ982" t="s">
        <v>217</v>
      </c>
      <c r="AT982" t="s">
        <v>1662</v>
      </c>
    </row>
    <row r="983" ht="15.75" customHeight="1" spans="1:46">
      <c r="A983" t="s">
        <v>1759</v>
      </c>
      <c r="B983" t="s">
        <v>46</v>
      </c>
      <c r="C983" t="s">
        <v>1499</v>
      </c>
      <c r="D983" t="s">
        <v>1748</v>
      </c>
      <c r="E983" t="s">
        <v>1593</v>
      </c>
      <c r="F983" t="s">
        <v>1600</v>
      </c>
      <c r="H983" t="s">
        <v>1566</v>
      </c>
      <c r="I983" t="s">
        <v>1567</v>
      </c>
      <c r="J983" t="s">
        <v>1570</v>
      </c>
      <c r="K983" t="s">
        <v>1571</v>
      </c>
      <c r="Q983" t="s">
        <v>57</v>
      </c>
      <c r="R983" t="s">
        <v>1760</v>
      </c>
      <c r="Y983" t="s">
        <v>1761</v>
      </c>
      <c r="Z983">
        <v>8536</v>
      </c>
      <c r="AE983">
        <v>141</v>
      </c>
      <c r="AF983" s="4">
        <v>0.5</v>
      </c>
      <c r="AG983">
        <f t="shared" si="99"/>
        <v>70.5</v>
      </c>
      <c r="AH983" s="4">
        <v>0.18</v>
      </c>
      <c r="AI983">
        <f t="shared" si="94"/>
        <v>83.19</v>
      </c>
      <c r="AJ983" s="4">
        <v>0.2</v>
      </c>
      <c r="AK983">
        <f t="shared" si="95"/>
        <v>16.64</v>
      </c>
      <c r="AL983">
        <f t="shared" si="96"/>
        <v>99.83</v>
      </c>
      <c r="AM983">
        <f t="shared" si="97"/>
        <v>41.17</v>
      </c>
      <c r="AN983" s="4">
        <f t="shared" si="98"/>
        <v>0.291985815602837</v>
      </c>
      <c r="AO983" t="s">
        <v>221</v>
      </c>
      <c r="AQ983" t="s">
        <v>217</v>
      </c>
      <c r="AT983" t="s">
        <v>1662</v>
      </c>
    </row>
    <row r="984" ht="15.75" customHeight="1" spans="1:46">
      <c r="A984" t="s">
        <v>1759</v>
      </c>
      <c r="B984" t="s">
        <v>67</v>
      </c>
      <c r="C984" t="s">
        <v>1499</v>
      </c>
      <c r="D984" t="s">
        <v>1748</v>
      </c>
      <c r="E984" t="s">
        <v>1593</v>
      </c>
      <c r="F984" t="s">
        <v>1600</v>
      </c>
      <c r="H984" t="s">
        <v>1566</v>
      </c>
      <c r="I984" t="s">
        <v>1589</v>
      </c>
      <c r="J984" t="s">
        <v>1570</v>
      </c>
      <c r="K984" t="s">
        <v>1575</v>
      </c>
      <c r="Q984" t="s">
        <v>57</v>
      </c>
      <c r="R984" t="s">
        <v>1762</v>
      </c>
      <c r="Y984" t="s">
        <v>1763</v>
      </c>
      <c r="Z984">
        <v>8536</v>
      </c>
      <c r="AE984">
        <v>234</v>
      </c>
      <c r="AF984" s="4">
        <v>0.5</v>
      </c>
      <c r="AG984">
        <f t="shared" si="99"/>
        <v>117</v>
      </c>
      <c r="AH984" s="4">
        <v>0.18</v>
      </c>
      <c r="AI984">
        <f t="shared" si="94"/>
        <v>138.06</v>
      </c>
      <c r="AJ984" s="4">
        <v>0.2</v>
      </c>
      <c r="AK984">
        <f t="shared" si="95"/>
        <v>27.61</v>
      </c>
      <c r="AL984">
        <f t="shared" si="96"/>
        <v>165.67</v>
      </c>
      <c r="AM984">
        <f t="shared" si="97"/>
        <v>68.33</v>
      </c>
      <c r="AN984" s="4">
        <f t="shared" si="98"/>
        <v>0.292008547008547</v>
      </c>
      <c r="AO984" t="s">
        <v>221</v>
      </c>
      <c r="AQ984" t="s">
        <v>217</v>
      </c>
      <c r="AT984" t="s">
        <v>1662</v>
      </c>
    </row>
    <row r="985" ht="15.75" customHeight="1" spans="1:46">
      <c r="A985" s="15" t="s">
        <v>1764</v>
      </c>
      <c r="B985" s="15" t="s">
        <v>46</v>
      </c>
      <c r="C985" s="15" t="s">
        <v>1499</v>
      </c>
      <c r="D985" s="15" t="s">
        <v>1748</v>
      </c>
      <c r="E985" s="15" t="s">
        <v>1593</v>
      </c>
      <c r="F985" s="15" t="s">
        <v>1608</v>
      </c>
      <c r="G985" s="15"/>
      <c r="H985" s="15" t="s">
        <v>1566</v>
      </c>
      <c r="I985" s="15" t="s">
        <v>1567</v>
      </c>
      <c r="J985" s="15" t="s">
        <v>1570</v>
      </c>
      <c r="K985" s="15" t="s">
        <v>1571</v>
      </c>
      <c r="L985" s="15"/>
      <c r="M985" s="15"/>
      <c r="N985" s="15"/>
      <c r="O985" s="15"/>
      <c r="P985" s="15"/>
      <c r="Q985" s="15" t="s">
        <v>57</v>
      </c>
      <c r="R985" s="15">
        <v>68208</v>
      </c>
      <c r="S985" s="15"/>
      <c r="T985" s="15"/>
      <c r="U985" s="15"/>
      <c r="V985" s="15"/>
      <c r="W985" s="15"/>
      <c r="X985" s="15"/>
      <c r="Y985" s="15" t="s">
        <v>1765</v>
      </c>
      <c r="Z985" s="15">
        <v>8536</v>
      </c>
      <c r="AA985" s="15"/>
      <c r="AB985" s="15"/>
      <c r="AC985" s="15"/>
      <c r="AD985" s="15"/>
      <c r="AE985" s="15">
        <v>62</v>
      </c>
      <c r="AF985" s="16">
        <v>0.5</v>
      </c>
      <c r="AG985" s="15">
        <f t="shared" si="99"/>
        <v>31</v>
      </c>
      <c r="AH985" s="16">
        <v>0.18</v>
      </c>
      <c r="AI985" s="15">
        <f t="shared" si="94"/>
        <v>36.58</v>
      </c>
      <c r="AJ985" s="16">
        <v>0.2</v>
      </c>
      <c r="AK985" s="15">
        <f t="shared" si="95"/>
        <v>7.32</v>
      </c>
      <c r="AL985" s="15">
        <f t="shared" si="96"/>
        <v>43.9</v>
      </c>
      <c r="AM985" s="15">
        <f t="shared" si="97"/>
        <v>18.1</v>
      </c>
      <c r="AN985" s="16">
        <f t="shared" si="98"/>
        <v>0.291935483870968</v>
      </c>
      <c r="AO985" s="15" t="s">
        <v>221</v>
      </c>
      <c r="AP985" s="15"/>
      <c r="AQ985" s="15" t="s">
        <v>217</v>
      </c>
      <c r="AR985" s="15"/>
      <c r="AS985" s="15"/>
      <c r="AT985" t="s">
        <v>869</v>
      </c>
    </row>
    <row r="986" ht="15.75" customHeight="1" spans="1:46">
      <c r="A986" s="15" t="s">
        <v>1764</v>
      </c>
      <c r="B986" s="15" t="s">
        <v>67</v>
      </c>
      <c r="C986" s="15" t="s">
        <v>1499</v>
      </c>
      <c r="D986" s="15" t="s">
        <v>1748</v>
      </c>
      <c r="E986" s="15" t="s">
        <v>1593</v>
      </c>
      <c r="F986" s="15" t="s">
        <v>1608</v>
      </c>
      <c r="G986" s="15"/>
      <c r="H986" s="15" t="s">
        <v>1566</v>
      </c>
      <c r="I986" s="15" t="s">
        <v>1589</v>
      </c>
      <c r="J986" s="15" t="s">
        <v>1570</v>
      </c>
      <c r="K986" s="15" t="s">
        <v>1575</v>
      </c>
      <c r="L986" s="15"/>
      <c r="M986" s="15"/>
      <c r="N986" s="15"/>
      <c r="O986" s="15"/>
      <c r="P986" s="15"/>
      <c r="Q986" s="15" t="s">
        <v>57</v>
      </c>
      <c r="R986" s="15">
        <v>68205</v>
      </c>
      <c r="S986" s="15"/>
      <c r="T986" s="15"/>
      <c r="U986" s="15"/>
      <c r="V986" s="15"/>
      <c r="W986" s="15"/>
      <c r="X986" s="15"/>
      <c r="Y986" s="15" t="s">
        <v>1765</v>
      </c>
      <c r="Z986" s="15">
        <v>8536</v>
      </c>
      <c r="AA986" s="15"/>
      <c r="AB986" s="15"/>
      <c r="AC986" s="15"/>
      <c r="AD986" s="15"/>
      <c r="AE986" s="15">
        <v>135</v>
      </c>
      <c r="AF986" s="16">
        <v>0.5</v>
      </c>
      <c r="AG986" s="15">
        <f t="shared" si="99"/>
        <v>67.5</v>
      </c>
      <c r="AH986" s="16">
        <v>0.18</v>
      </c>
      <c r="AI986" s="15">
        <f t="shared" si="94"/>
        <v>79.65</v>
      </c>
      <c r="AJ986" s="16">
        <v>0.2</v>
      </c>
      <c r="AK986" s="15">
        <f t="shared" si="95"/>
        <v>15.93</v>
      </c>
      <c r="AL986" s="15">
        <f t="shared" si="96"/>
        <v>95.58</v>
      </c>
      <c r="AM986" s="15">
        <f t="shared" si="97"/>
        <v>39.42</v>
      </c>
      <c r="AN986" s="16">
        <f t="shared" si="98"/>
        <v>0.292</v>
      </c>
      <c r="AO986" s="15" t="s">
        <v>221</v>
      </c>
      <c r="AP986" s="15"/>
      <c r="AQ986" s="15" t="s">
        <v>217</v>
      </c>
      <c r="AR986" s="15"/>
      <c r="AS986" s="15"/>
      <c r="AT986" t="s">
        <v>869</v>
      </c>
    </row>
    <row r="987" ht="15.75" customHeight="1" spans="1:46">
      <c r="A987" s="15" t="s">
        <v>1766</v>
      </c>
      <c r="B987" s="15" t="s">
        <v>46</v>
      </c>
      <c r="C987" s="15" t="s">
        <v>1499</v>
      </c>
      <c r="D987" s="15" t="s">
        <v>1748</v>
      </c>
      <c r="E987" s="15" t="s">
        <v>1593</v>
      </c>
      <c r="F987" s="15" t="s">
        <v>1614</v>
      </c>
      <c r="G987" s="15"/>
      <c r="H987" s="15" t="s">
        <v>1566</v>
      </c>
      <c r="I987" s="15" t="s">
        <v>1567</v>
      </c>
      <c r="J987" s="15" t="s">
        <v>1570</v>
      </c>
      <c r="K987" s="15" t="s">
        <v>1571</v>
      </c>
      <c r="L987" s="15"/>
      <c r="M987" s="15"/>
      <c r="N987" s="15"/>
      <c r="O987" s="15"/>
      <c r="P987" s="15"/>
      <c r="Q987" s="15" t="s">
        <v>57</v>
      </c>
      <c r="R987" s="15"/>
      <c r="S987" s="15"/>
      <c r="T987" s="15"/>
      <c r="U987" s="15"/>
      <c r="V987" s="15"/>
      <c r="W987" s="15"/>
      <c r="X987" s="15"/>
      <c r="Y987" s="15" t="s">
        <v>1767</v>
      </c>
      <c r="Z987" s="15">
        <v>8536</v>
      </c>
      <c r="AA987" s="15"/>
      <c r="AB987" s="15"/>
      <c r="AC987" s="15"/>
      <c r="AD987" s="15"/>
      <c r="AE987" s="15">
        <v>135</v>
      </c>
      <c r="AF987" s="16">
        <v>0.5</v>
      </c>
      <c r="AG987" s="15">
        <f t="shared" si="99"/>
        <v>67.5</v>
      </c>
      <c r="AH987" s="16">
        <v>0.18</v>
      </c>
      <c r="AI987" s="15">
        <f t="shared" si="94"/>
        <v>79.65</v>
      </c>
      <c r="AJ987" s="16">
        <v>0.2</v>
      </c>
      <c r="AK987" s="15">
        <f t="shared" si="95"/>
        <v>15.93</v>
      </c>
      <c r="AL987" s="15">
        <f t="shared" si="96"/>
        <v>95.58</v>
      </c>
      <c r="AM987" s="15">
        <f t="shared" si="97"/>
        <v>39.42</v>
      </c>
      <c r="AN987" s="16">
        <f t="shared" si="98"/>
        <v>0.292</v>
      </c>
      <c r="AO987" s="15" t="s">
        <v>221</v>
      </c>
      <c r="AP987" s="15"/>
      <c r="AQ987" s="15" t="s">
        <v>217</v>
      </c>
      <c r="AR987" s="15"/>
      <c r="AS987" s="15"/>
      <c r="AT987" t="s">
        <v>869</v>
      </c>
    </row>
    <row r="988" ht="15.75" customHeight="1" spans="1:46">
      <c r="A988" s="15" t="s">
        <v>1766</v>
      </c>
      <c r="B988" s="15" t="s">
        <v>67</v>
      </c>
      <c r="C988" s="15" t="s">
        <v>1499</v>
      </c>
      <c r="D988" s="15" t="s">
        <v>1748</v>
      </c>
      <c r="E988" s="15" t="s">
        <v>1593</v>
      </c>
      <c r="F988" s="15" t="s">
        <v>1614</v>
      </c>
      <c r="G988" s="15"/>
      <c r="H988" s="15" t="s">
        <v>1566</v>
      </c>
      <c r="I988" s="15" t="s">
        <v>1589</v>
      </c>
      <c r="J988" s="15" t="s">
        <v>1570</v>
      </c>
      <c r="K988" s="15" t="s">
        <v>1575</v>
      </c>
      <c r="L988" s="15"/>
      <c r="M988" s="15"/>
      <c r="N988" s="15"/>
      <c r="O988" s="15"/>
      <c r="P988" s="15"/>
      <c r="Q988" s="15" t="s">
        <v>57</v>
      </c>
      <c r="R988" s="15"/>
      <c r="S988" s="15"/>
      <c r="T988" s="15"/>
      <c r="U988" s="15"/>
      <c r="V988" s="15"/>
      <c r="W988" s="15"/>
      <c r="X988" s="15"/>
      <c r="Y988" s="15" t="s">
        <v>1767</v>
      </c>
      <c r="Z988" s="15">
        <v>8536</v>
      </c>
      <c r="AA988" s="15"/>
      <c r="AB988" s="15"/>
      <c r="AC988" s="15"/>
      <c r="AD988" s="15"/>
      <c r="AE988" s="15">
        <v>135</v>
      </c>
      <c r="AF988" s="16">
        <v>0.5</v>
      </c>
      <c r="AG988" s="15">
        <f t="shared" si="99"/>
        <v>67.5</v>
      </c>
      <c r="AH988" s="16">
        <v>0.18</v>
      </c>
      <c r="AI988" s="15">
        <f t="shared" si="94"/>
        <v>79.65</v>
      </c>
      <c r="AJ988" s="16">
        <v>0.2</v>
      </c>
      <c r="AK988" s="15">
        <f t="shared" si="95"/>
        <v>15.93</v>
      </c>
      <c r="AL988" s="15">
        <f t="shared" si="96"/>
        <v>95.58</v>
      </c>
      <c r="AM988" s="15">
        <f t="shared" si="97"/>
        <v>39.42</v>
      </c>
      <c r="AN988" s="16">
        <f t="shared" si="98"/>
        <v>0.292</v>
      </c>
      <c r="AO988" s="15" t="s">
        <v>221</v>
      </c>
      <c r="AP988" s="15"/>
      <c r="AQ988" s="15" t="s">
        <v>217</v>
      </c>
      <c r="AR988" s="15"/>
      <c r="AS988" s="15"/>
      <c r="AT988" t="s">
        <v>869</v>
      </c>
    </row>
    <row r="989" ht="15.75" customHeight="1" spans="1:46">
      <c r="A989" t="s">
        <v>1768</v>
      </c>
      <c r="B989" t="s">
        <v>46</v>
      </c>
      <c r="C989" t="s">
        <v>1499</v>
      </c>
      <c r="D989" t="s">
        <v>1748</v>
      </c>
      <c r="E989" t="s">
        <v>1593</v>
      </c>
      <c r="F989" t="s">
        <v>1620</v>
      </c>
      <c r="H989" t="s">
        <v>1566</v>
      </c>
      <c r="I989" t="s">
        <v>1567</v>
      </c>
      <c r="J989" t="s">
        <v>1570</v>
      </c>
      <c r="K989" t="s">
        <v>1571</v>
      </c>
      <c r="Q989" t="s">
        <v>57</v>
      </c>
      <c r="R989">
        <v>47369</v>
      </c>
      <c r="Y989" t="s">
        <v>1769</v>
      </c>
      <c r="Z989">
        <v>8536</v>
      </c>
      <c r="AE989">
        <v>132</v>
      </c>
      <c r="AF989" s="4">
        <v>0.5</v>
      </c>
      <c r="AG989">
        <f t="shared" si="99"/>
        <v>66</v>
      </c>
      <c r="AH989" s="4">
        <v>0.18</v>
      </c>
      <c r="AI989">
        <f t="shared" si="94"/>
        <v>77.88</v>
      </c>
      <c r="AJ989" s="4">
        <v>0.2</v>
      </c>
      <c r="AK989">
        <f t="shared" si="95"/>
        <v>15.58</v>
      </c>
      <c r="AL989">
        <f t="shared" si="96"/>
        <v>93.46</v>
      </c>
      <c r="AM989">
        <f t="shared" si="97"/>
        <v>38.54</v>
      </c>
      <c r="AN989" s="4">
        <f t="shared" si="98"/>
        <v>0.291969696969697</v>
      </c>
      <c r="AO989" t="s">
        <v>221</v>
      </c>
      <c r="AQ989" t="s">
        <v>217</v>
      </c>
      <c r="AT989" t="s">
        <v>1662</v>
      </c>
    </row>
    <row r="990" ht="15.75" customHeight="1" spans="1:46">
      <c r="A990" t="s">
        <v>1768</v>
      </c>
      <c r="B990" t="s">
        <v>67</v>
      </c>
      <c r="C990" t="s">
        <v>1499</v>
      </c>
      <c r="D990" t="s">
        <v>1748</v>
      </c>
      <c r="E990" t="s">
        <v>1593</v>
      </c>
      <c r="F990" t="s">
        <v>1620</v>
      </c>
      <c r="H990" t="s">
        <v>1566</v>
      </c>
      <c r="I990" t="s">
        <v>1589</v>
      </c>
      <c r="J990" t="s">
        <v>1570</v>
      </c>
      <c r="K990" t="s">
        <v>1575</v>
      </c>
      <c r="Q990" t="s">
        <v>57</v>
      </c>
      <c r="R990">
        <v>47366</v>
      </c>
      <c r="Y990" t="s">
        <v>1769</v>
      </c>
      <c r="Z990">
        <v>8536</v>
      </c>
      <c r="AE990">
        <v>198</v>
      </c>
      <c r="AF990" s="4">
        <v>0.5</v>
      </c>
      <c r="AG990">
        <f t="shared" si="99"/>
        <v>99</v>
      </c>
      <c r="AH990" s="4">
        <v>0.18</v>
      </c>
      <c r="AI990">
        <f t="shared" si="94"/>
        <v>116.82</v>
      </c>
      <c r="AJ990" s="4">
        <v>0.2</v>
      </c>
      <c r="AK990">
        <f t="shared" si="95"/>
        <v>23.36</v>
      </c>
      <c r="AL990">
        <f t="shared" si="96"/>
        <v>140.18</v>
      </c>
      <c r="AM990">
        <f t="shared" si="97"/>
        <v>57.82</v>
      </c>
      <c r="AN990" s="4">
        <f t="shared" si="98"/>
        <v>0.292020202020202</v>
      </c>
      <c r="AO990" t="s">
        <v>221</v>
      </c>
      <c r="AQ990" t="s">
        <v>217</v>
      </c>
      <c r="AT990" t="s">
        <v>1662</v>
      </c>
    </row>
    <row r="991" ht="15.75" customHeight="1" spans="1:46">
      <c r="A991" t="s">
        <v>1770</v>
      </c>
      <c r="B991" t="s">
        <v>46</v>
      </c>
      <c r="C991" t="s">
        <v>1499</v>
      </c>
      <c r="D991" t="s">
        <v>1748</v>
      </c>
      <c r="E991" t="s">
        <v>1626</v>
      </c>
      <c r="F991" t="s">
        <v>1627</v>
      </c>
      <c r="H991" t="s">
        <v>1566</v>
      </c>
      <c r="I991" t="s">
        <v>1567</v>
      </c>
      <c r="J991" t="s">
        <v>1570</v>
      </c>
      <c r="K991" t="s">
        <v>1571</v>
      </c>
      <c r="Q991" t="s">
        <v>57</v>
      </c>
      <c r="Y991" t="s">
        <v>1771</v>
      </c>
      <c r="Z991">
        <v>8536</v>
      </c>
      <c r="AE991">
        <v>338</v>
      </c>
      <c r="AF991" s="4">
        <v>0.5</v>
      </c>
      <c r="AG991">
        <f t="shared" si="99"/>
        <v>169</v>
      </c>
      <c r="AH991" s="4">
        <v>0.18</v>
      </c>
      <c r="AI991">
        <f t="shared" si="94"/>
        <v>199.42</v>
      </c>
      <c r="AJ991" s="4">
        <v>0.2</v>
      </c>
      <c r="AK991">
        <f t="shared" si="95"/>
        <v>39.88</v>
      </c>
      <c r="AL991">
        <f t="shared" si="96"/>
        <v>239.3</v>
      </c>
      <c r="AM991">
        <f t="shared" si="97"/>
        <v>98.7</v>
      </c>
      <c r="AN991" s="4">
        <f t="shared" si="98"/>
        <v>0.292011834319527</v>
      </c>
      <c r="AO991" t="s">
        <v>221</v>
      </c>
      <c r="AQ991" t="s">
        <v>217</v>
      </c>
      <c r="AT991" t="s">
        <v>1662</v>
      </c>
    </row>
    <row r="992" ht="15.75" customHeight="1" spans="1:46">
      <c r="A992" t="s">
        <v>1770</v>
      </c>
      <c r="B992" t="s">
        <v>67</v>
      </c>
      <c r="C992" t="s">
        <v>1499</v>
      </c>
      <c r="D992" t="s">
        <v>1748</v>
      </c>
      <c r="E992" t="s">
        <v>1626</v>
      </c>
      <c r="F992" t="s">
        <v>1627</v>
      </c>
      <c r="H992" t="s">
        <v>1566</v>
      </c>
      <c r="I992" t="s">
        <v>1589</v>
      </c>
      <c r="J992" t="s">
        <v>1570</v>
      </c>
      <c r="K992" t="s">
        <v>1575</v>
      </c>
      <c r="Q992" t="s">
        <v>57</v>
      </c>
      <c r="R992" t="s">
        <v>1772</v>
      </c>
      <c r="Y992" t="s">
        <v>1771</v>
      </c>
      <c r="Z992">
        <v>8536</v>
      </c>
      <c r="AE992">
        <v>546</v>
      </c>
      <c r="AF992" s="4">
        <v>0.5</v>
      </c>
      <c r="AG992">
        <f t="shared" si="99"/>
        <v>273</v>
      </c>
      <c r="AH992" s="4">
        <v>0.18</v>
      </c>
      <c r="AI992">
        <f t="shared" si="94"/>
        <v>322.14</v>
      </c>
      <c r="AJ992" s="4">
        <v>0.2</v>
      </c>
      <c r="AK992">
        <f t="shared" si="95"/>
        <v>64.43</v>
      </c>
      <c r="AL992">
        <f t="shared" si="96"/>
        <v>386.57</v>
      </c>
      <c r="AM992">
        <f t="shared" si="97"/>
        <v>159.43</v>
      </c>
      <c r="AN992" s="4">
        <f t="shared" si="98"/>
        <v>0.291996336996337</v>
      </c>
      <c r="AO992" t="s">
        <v>221</v>
      </c>
      <c r="AQ992" t="s">
        <v>217</v>
      </c>
      <c r="AT992" t="s">
        <v>1662</v>
      </c>
    </row>
    <row r="993" ht="15.75" customHeight="1" spans="1:46">
      <c r="A993" t="s">
        <v>1773</v>
      </c>
      <c r="B993" t="s">
        <v>46</v>
      </c>
      <c r="C993" t="s">
        <v>1499</v>
      </c>
      <c r="D993" t="s">
        <v>1748</v>
      </c>
      <c r="E993" t="s">
        <v>1636</v>
      </c>
      <c r="F993" t="s">
        <v>1637</v>
      </c>
      <c r="H993" t="s">
        <v>1566</v>
      </c>
      <c r="I993" t="s">
        <v>1567</v>
      </c>
      <c r="J993" t="s">
        <v>1570</v>
      </c>
      <c r="K993" t="s">
        <v>1571</v>
      </c>
      <c r="Q993" t="s">
        <v>57</v>
      </c>
      <c r="R993" t="s">
        <v>1774</v>
      </c>
      <c r="Y993" t="s">
        <v>1775</v>
      </c>
      <c r="Z993">
        <v>8536</v>
      </c>
      <c r="AE993">
        <v>280</v>
      </c>
      <c r="AF993" s="4">
        <v>0.5</v>
      </c>
      <c r="AG993">
        <f t="shared" si="99"/>
        <v>140</v>
      </c>
      <c r="AH993" s="4">
        <v>0.18</v>
      </c>
      <c r="AI993">
        <f t="shared" si="94"/>
        <v>165.2</v>
      </c>
      <c r="AJ993" s="4">
        <v>0.2</v>
      </c>
      <c r="AK993">
        <f t="shared" si="95"/>
        <v>33.04</v>
      </c>
      <c r="AL993">
        <f t="shared" si="96"/>
        <v>198.24</v>
      </c>
      <c r="AM993">
        <f t="shared" si="97"/>
        <v>81.76</v>
      </c>
      <c r="AN993" s="4">
        <f t="shared" si="98"/>
        <v>0.292</v>
      </c>
      <c r="AO993" t="s">
        <v>221</v>
      </c>
      <c r="AQ993" t="s">
        <v>217</v>
      </c>
      <c r="AT993" t="s">
        <v>1662</v>
      </c>
    </row>
    <row r="994" ht="15.75" customHeight="1" spans="1:46">
      <c r="A994" t="s">
        <v>1773</v>
      </c>
      <c r="B994" t="s">
        <v>67</v>
      </c>
      <c r="C994" t="s">
        <v>1499</v>
      </c>
      <c r="D994" t="s">
        <v>1748</v>
      </c>
      <c r="E994" t="s">
        <v>1636</v>
      </c>
      <c r="F994" t="s">
        <v>1637</v>
      </c>
      <c r="H994" t="s">
        <v>1566</v>
      </c>
      <c r="I994" t="s">
        <v>1589</v>
      </c>
      <c r="J994" t="s">
        <v>1570</v>
      </c>
      <c r="K994" t="s">
        <v>1575</v>
      </c>
      <c r="Q994" t="s">
        <v>57</v>
      </c>
      <c r="R994" t="s">
        <v>1776</v>
      </c>
      <c r="Y994" t="s">
        <v>1777</v>
      </c>
      <c r="Z994">
        <v>8536</v>
      </c>
      <c r="AE994">
        <v>410</v>
      </c>
      <c r="AF994" s="4">
        <v>0.5</v>
      </c>
      <c r="AG994">
        <f t="shared" si="99"/>
        <v>205</v>
      </c>
      <c r="AH994" s="4">
        <v>0.18</v>
      </c>
      <c r="AI994">
        <f t="shared" si="94"/>
        <v>241.9</v>
      </c>
      <c r="AJ994" s="4">
        <v>0.2</v>
      </c>
      <c r="AK994">
        <f t="shared" si="95"/>
        <v>48.38</v>
      </c>
      <c r="AL994">
        <f t="shared" si="96"/>
        <v>290.28</v>
      </c>
      <c r="AM994">
        <f t="shared" si="97"/>
        <v>119.72</v>
      </c>
      <c r="AN994" s="4">
        <f t="shared" si="98"/>
        <v>0.292</v>
      </c>
      <c r="AO994" t="s">
        <v>221</v>
      </c>
      <c r="AQ994" t="s">
        <v>217</v>
      </c>
      <c r="AT994" t="s">
        <v>1662</v>
      </c>
    </row>
    <row r="995" ht="15.75" customHeight="1" spans="1:46">
      <c r="A995" t="s">
        <v>1778</v>
      </c>
      <c r="B995" t="s">
        <v>46</v>
      </c>
      <c r="C995" t="s">
        <v>1499</v>
      </c>
      <c r="D995" t="s">
        <v>1748</v>
      </c>
      <c r="E995" t="s">
        <v>1646</v>
      </c>
      <c r="F995" t="s">
        <v>1647</v>
      </c>
      <c r="H995" t="s">
        <v>1566</v>
      </c>
      <c r="I995" t="s">
        <v>1567</v>
      </c>
      <c r="J995" t="s">
        <v>1570</v>
      </c>
      <c r="K995" t="s">
        <v>1571</v>
      </c>
      <c r="Q995" t="s">
        <v>57</v>
      </c>
      <c r="R995" t="s">
        <v>1779</v>
      </c>
      <c r="Y995" t="s">
        <v>1780</v>
      </c>
      <c r="Z995">
        <v>8536</v>
      </c>
      <c r="AE995">
        <v>171</v>
      </c>
      <c r="AF995" s="4">
        <v>0.5</v>
      </c>
      <c r="AG995">
        <f t="shared" si="99"/>
        <v>85.5</v>
      </c>
      <c r="AH995" s="4">
        <v>0.18</v>
      </c>
      <c r="AI995">
        <f t="shared" si="94"/>
        <v>100.89</v>
      </c>
      <c r="AJ995" s="4">
        <v>0.2</v>
      </c>
      <c r="AK995">
        <f t="shared" si="95"/>
        <v>20.18</v>
      </c>
      <c r="AL995">
        <f t="shared" si="96"/>
        <v>121.07</v>
      </c>
      <c r="AM995">
        <f t="shared" si="97"/>
        <v>49.93</v>
      </c>
      <c r="AN995" s="4">
        <f t="shared" si="98"/>
        <v>0.291988304093567</v>
      </c>
      <c r="AO995" t="s">
        <v>221</v>
      </c>
      <c r="AQ995" t="s">
        <v>217</v>
      </c>
      <c r="AT995" t="s">
        <v>1662</v>
      </c>
    </row>
    <row r="996" ht="15.75" customHeight="1" spans="1:46">
      <c r="A996" t="s">
        <v>1778</v>
      </c>
      <c r="B996" t="s">
        <v>67</v>
      </c>
      <c r="C996" t="s">
        <v>1499</v>
      </c>
      <c r="D996" t="s">
        <v>1748</v>
      </c>
      <c r="E996" t="s">
        <v>1646</v>
      </c>
      <c r="F996" t="s">
        <v>1647</v>
      </c>
      <c r="H996" t="s">
        <v>1566</v>
      </c>
      <c r="I996" t="s">
        <v>1589</v>
      </c>
      <c r="J996" t="s">
        <v>1570</v>
      </c>
      <c r="K996" t="s">
        <v>1575</v>
      </c>
      <c r="Q996" t="s">
        <v>57</v>
      </c>
      <c r="R996" t="s">
        <v>1781</v>
      </c>
      <c r="Y996" t="s">
        <v>1780</v>
      </c>
      <c r="Z996">
        <v>8536</v>
      </c>
      <c r="AE996">
        <v>264</v>
      </c>
      <c r="AF996" s="4">
        <v>0.5</v>
      </c>
      <c r="AG996">
        <f t="shared" si="99"/>
        <v>132</v>
      </c>
      <c r="AH996" s="4">
        <v>0.18</v>
      </c>
      <c r="AI996">
        <f t="shared" si="94"/>
        <v>155.76</v>
      </c>
      <c r="AJ996" s="4">
        <v>0.2</v>
      </c>
      <c r="AK996">
        <f t="shared" si="95"/>
        <v>31.15</v>
      </c>
      <c r="AL996">
        <f t="shared" si="96"/>
        <v>186.91</v>
      </c>
      <c r="AM996">
        <f t="shared" si="97"/>
        <v>77.09</v>
      </c>
      <c r="AN996" s="4">
        <f t="shared" si="98"/>
        <v>0.292007575757576</v>
      </c>
      <c r="AO996" t="s">
        <v>221</v>
      </c>
      <c r="AQ996" t="s">
        <v>217</v>
      </c>
      <c r="AT996" t="s">
        <v>1662</v>
      </c>
    </row>
    <row r="997" ht="15.75" customHeight="1" spans="1:46">
      <c r="A997" t="s">
        <v>1782</v>
      </c>
      <c r="B997" t="s">
        <v>46</v>
      </c>
      <c r="C997" t="s">
        <v>1499</v>
      </c>
      <c r="D997" t="s">
        <v>1748</v>
      </c>
      <c r="E997" t="s">
        <v>1658</v>
      </c>
      <c r="F997" t="s">
        <v>1659</v>
      </c>
      <c r="H997" t="s">
        <v>1566</v>
      </c>
      <c r="I997" t="s">
        <v>1567</v>
      </c>
      <c r="J997" t="s">
        <v>1570</v>
      </c>
      <c r="K997" t="s">
        <v>1571</v>
      </c>
      <c r="Q997" t="s">
        <v>57</v>
      </c>
      <c r="R997" t="s">
        <v>1783</v>
      </c>
      <c r="Y997" t="s">
        <v>1784</v>
      </c>
      <c r="Z997">
        <v>8536</v>
      </c>
      <c r="AE997">
        <v>63</v>
      </c>
      <c r="AF997" s="4">
        <v>0.5</v>
      </c>
      <c r="AG997">
        <f t="shared" si="99"/>
        <v>31.5</v>
      </c>
      <c r="AH997" s="4">
        <v>0.18</v>
      </c>
      <c r="AI997">
        <f t="shared" si="94"/>
        <v>37.17</v>
      </c>
      <c r="AJ997" s="4">
        <v>0.2</v>
      </c>
      <c r="AK997">
        <f t="shared" si="95"/>
        <v>7.43</v>
      </c>
      <c r="AL997">
        <f t="shared" si="96"/>
        <v>44.6</v>
      </c>
      <c r="AM997">
        <f t="shared" si="97"/>
        <v>18.4</v>
      </c>
      <c r="AN997" s="4">
        <f t="shared" si="98"/>
        <v>0.292063492063492</v>
      </c>
      <c r="AO997" t="s">
        <v>221</v>
      </c>
      <c r="AQ997" t="s">
        <v>217</v>
      </c>
      <c r="AT997" t="s">
        <v>1662</v>
      </c>
    </row>
    <row r="998" ht="15.75" customHeight="1" spans="1:46">
      <c r="A998" t="s">
        <v>1782</v>
      </c>
      <c r="B998" t="s">
        <v>67</v>
      </c>
      <c r="C998" t="s">
        <v>1499</v>
      </c>
      <c r="D998" t="s">
        <v>1748</v>
      </c>
      <c r="E998" t="s">
        <v>1658</v>
      </c>
      <c r="F998" t="s">
        <v>1659</v>
      </c>
      <c r="H998" t="s">
        <v>1566</v>
      </c>
      <c r="I998" t="s">
        <v>1589</v>
      </c>
      <c r="J998" t="s">
        <v>1570</v>
      </c>
      <c r="K998" t="s">
        <v>1575</v>
      </c>
      <c r="Q998" t="s">
        <v>57</v>
      </c>
      <c r="R998" t="s">
        <v>1785</v>
      </c>
      <c r="Y998" t="s">
        <v>1786</v>
      </c>
      <c r="Z998">
        <v>8536</v>
      </c>
      <c r="AE998">
        <v>142</v>
      </c>
      <c r="AF998" s="4">
        <v>0.5</v>
      </c>
      <c r="AG998">
        <f t="shared" si="99"/>
        <v>71</v>
      </c>
      <c r="AH998" s="4">
        <v>0.18</v>
      </c>
      <c r="AI998">
        <f t="shared" si="94"/>
        <v>83.78</v>
      </c>
      <c r="AJ998" s="4">
        <v>0.2</v>
      </c>
      <c r="AK998">
        <f t="shared" si="95"/>
        <v>16.76</v>
      </c>
      <c r="AL998">
        <f t="shared" si="96"/>
        <v>100.54</v>
      </c>
      <c r="AM998">
        <f t="shared" si="97"/>
        <v>41.46</v>
      </c>
      <c r="AN998" s="4">
        <f t="shared" si="98"/>
        <v>0.291971830985915</v>
      </c>
      <c r="AO998" t="s">
        <v>221</v>
      </c>
      <c r="AQ998" t="s">
        <v>217</v>
      </c>
      <c r="AT998" t="s">
        <v>1662</v>
      </c>
    </row>
    <row r="999" ht="15.75" customHeight="1" spans="1:46">
      <c r="A999" t="s">
        <v>1787</v>
      </c>
      <c r="B999" t="s">
        <v>46</v>
      </c>
      <c r="C999" t="s">
        <v>1499</v>
      </c>
      <c r="D999" t="s">
        <v>1748</v>
      </c>
      <c r="E999" t="s">
        <v>1658</v>
      </c>
      <c r="F999" t="s">
        <v>1669</v>
      </c>
      <c r="H999" t="s">
        <v>1566</v>
      </c>
      <c r="I999" t="s">
        <v>1567</v>
      </c>
      <c r="J999" t="s">
        <v>1570</v>
      </c>
      <c r="K999" t="s">
        <v>1571</v>
      </c>
      <c r="Q999" t="s">
        <v>57</v>
      </c>
      <c r="R999" t="s">
        <v>1788</v>
      </c>
      <c r="Y999" t="s">
        <v>1789</v>
      </c>
      <c r="Z999">
        <v>8536</v>
      </c>
      <c r="AE999">
        <v>68</v>
      </c>
      <c r="AF999" s="4">
        <v>0.5</v>
      </c>
      <c r="AG999">
        <f t="shared" si="99"/>
        <v>34</v>
      </c>
      <c r="AH999" s="4">
        <v>0.18</v>
      </c>
      <c r="AI999">
        <f t="shared" si="94"/>
        <v>40.12</v>
      </c>
      <c r="AJ999" s="4">
        <v>0.2</v>
      </c>
      <c r="AK999">
        <f t="shared" si="95"/>
        <v>8.02</v>
      </c>
      <c r="AL999">
        <f t="shared" si="96"/>
        <v>48.14</v>
      </c>
      <c r="AM999">
        <f t="shared" si="97"/>
        <v>19.86</v>
      </c>
      <c r="AN999" s="4">
        <f t="shared" si="98"/>
        <v>0.292058823529412</v>
      </c>
      <c r="AO999" t="s">
        <v>221</v>
      </c>
      <c r="AQ999" t="s">
        <v>217</v>
      </c>
      <c r="AT999" t="s">
        <v>1662</v>
      </c>
    </row>
    <row r="1000" ht="15.75" customHeight="1" spans="1:46">
      <c r="A1000" t="s">
        <v>1787</v>
      </c>
      <c r="B1000" t="s">
        <v>67</v>
      </c>
      <c r="C1000" t="s">
        <v>1499</v>
      </c>
      <c r="D1000" t="s">
        <v>1748</v>
      </c>
      <c r="E1000" t="s">
        <v>1658</v>
      </c>
      <c r="F1000" t="s">
        <v>1669</v>
      </c>
      <c r="H1000" t="s">
        <v>1566</v>
      </c>
      <c r="I1000" t="s">
        <v>1589</v>
      </c>
      <c r="J1000" t="s">
        <v>1570</v>
      </c>
      <c r="K1000" t="s">
        <v>1575</v>
      </c>
      <c r="Q1000" t="s">
        <v>57</v>
      </c>
      <c r="R1000" t="s">
        <v>1790</v>
      </c>
      <c r="Y1000" t="s">
        <v>1789</v>
      </c>
      <c r="Z1000">
        <v>8536</v>
      </c>
      <c r="AE1000">
        <v>152</v>
      </c>
      <c r="AF1000" s="4">
        <v>0.5</v>
      </c>
      <c r="AG1000">
        <f t="shared" si="99"/>
        <v>76</v>
      </c>
      <c r="AH1000" s="4">
        <v>0.18</v>
      </c>
      <c r="AI1000">
        <f t="shared" si="94"/>
        <v>89.68</v>
      </c>
      <c r="AJ1000" s="4">
        <v>0.2</v>
      </c>
      <c r="AK1000">
        <f t="shared" si="95"/>
        <v>17.94</v>
      </c>
      <c r="AL1000">
        <f t="shared" si="96"/>
        <v>107.62</v>
      </c>
      <c r="AM1000">
        <f t="shared" si="97"/>
        <v>44.38</v>
      </c>
      <c r="AN1000" s="4">
        <f t="shared" si="98"/>
        <v>0.291973684210526</v>
      </c>
      <c r="AO1000" t="s">
        <v>221</v>
      </c>
      <c r="AQ1000" t="s">
        <v>217</v>
      </c>
      <c r="AT1000" t="s">
        <v>1662</v>
      </c>
    </row>
    <row r="1001" ht="15.75" customHeight="1" spans="1:46">
      <c r="A1001" t="s">
        <v>1791</v>
      </c>
      <c r="B1001" t="s">
        <v>46</v>
      </c>
      <c r="C1001" t="s">
        <v>1499</v>
      </c>
      <c r="D1001" t="s">
        <v>1748</v>
      </c>
      <c r="E1001" t="s">
        <v>1679</v>
      </c>
      <c r="F1001" t="s">
        <v>1680</v>
      </c>
      <c r="H1001" t="s">
        <v>1566</v>
      </c>
      <c r="I1001" t="s">
        <v>1567</v>
      </c>
      <c r="J1001" t="s">
        <v>1570</v>
      </c>
      <c r="K1001" t="s">
        <v>1571</v>
      </c>
      <c r="Q1001" t="s">
        <v>57</v>
      </c>
      <c r="R1001" t="s">
        <v>1792</v>
      </c>
      <c r="Y1001" t="s">
        <v>1793</v>
      </c>
      <c r="Z1001">
        <v>8536</v>
      </c>
      <c r="AE1001">
        <v>272</v>
      </c>
      <c r="AF1001" s="4">
        <v>0.5</v>
      </c>
      <c r="AG1001">
        <f t="shared" si="99"/>
        <v>136</v>
      </c>
      <c r="AH1001" s="4">
        <v>0.18</v>
      </c>
      <c r="AI1001">
        <f t="shared" si="94"/>
        <v>160.48</v>
      </c>
      <c r="AJ1001" s="4">
        <v>0.2</v>
      </c>
      <c r="AK1001">
        <f t="shared" si="95"/>
        <v>32.1</v>
      </c>
      <c r="AL1001">
        <f t="shared" si="96"/>
        <v>192.58</v>
      </c>
      <c r="AM1001">
        <f t="shared" si="97"/>
        <v>79.42</v>
      </c>
      <c r="AN1001" s="4">
        <f t="shared" si="98"/>
        <v>0.291985294117647</v>
      </c>
      <c r="AO1001" t="s">
        <v>221</v>
      </c>
      <c r="AQ1001" t="s">
        <v>217</v>
      </c>
      <c r="AT1001" t="s">
        <v>1662</v>
      </c>
    </row>
    <row r="1002" ht="15.75" customHeight="1" spans="1:46">
      <c r="A1002" t="s">
        <v>1791</v>
      </c>
      <c r="B1002" t="s">
        <v>67</v>
      </c>
      <c r="C1002" t="s">
        <v>1499</v>
      </c>
      <c r="D1002" t="s">
        <v>1748</v>
      </c>
      <c r="E1002" t="s">
        <v>1679</v>
      </c>
      <c r="F1002" t="s">
        <v>1680</v>
      </c>
      <c r="H1002" t="s">
        <v>1566</v>
      </c>
      <c r="I1002" t="s">
        <v>1589</v>
      </c>
      <c r="J1002" t="s">
        <v>1570</v>
      </c>
      <c r="K1002" t="s">
        <v>1575</v>
      </c>
      <c r="Q1002" t="s">
        <v>57</v>
      </c>
      <c r="R1002" t="s">
        <v>1794</v>
      </c>
      <c r="Y1002" t="s">
        <v>1795</v>
      </c>
      <c r="Z1002">
        <v>8536</v>
      </c>
      <c r="AE1002">
        <v>409</v>
      </c>
      <c r="AF1002" s="4">
        <v>0.5</v>
      </c>
      <c r="AG1002">
        <f t="shared" si="99"/>
        <v>204.5</v>
      </c>
      <c r="AH1002" s="4">
        <v>0.18</v>
      </c>
      <c r="AI1002">
        <f t="shared" si="94"/>
        <v>241.31</v>
      </c>
      <c r="AJ1002" s="4">
        <v>0.2</v>
      </c>
      <c r="AK1002">
        <f t="shared" si="95"/>
        <v>48.26</v>
      </c>
      <c r="AL1002">
        <f t="shared" si="96"/>
        <v>289.57</v>
      </c>
      <c r="AM1002">
        <f t="shared" si="97"/>
        <v>119.43</v>
      </c>
      <c r="AN1002" s="4">
        <f t="shared" si="98"/>
        <v>0.29200488997555</v>
      </c>
      <c r="AO1002" t="s">
        <v>221</v>
      </c>
      <c r="AQ1002" t="s">
        <v>217</v>
      </c>
      <c r="AT1002" t="s">
        <v>1662</v>
      </c>
    </row>
    <row r="1003" ht="15.75" customHeight="1" spans="1:46">
      <c r="A1003" t="s">
        <v>1796</v>
      </c>
      <c r="B1003" t="s">
        <v>46</v>
      </c>
      <c r="C1003" t="s">
        <v>1499</v>
      </c>
      <c r="D1003" t="s">
        <v>1797</v>
      </c>
      <c r="E1003" t="s">
        <v>1798</v>
      </c>
      <c r="F1003" t="s">
        <v>1799</v>
      </c>
      <c r="H1003" t="s">
        <v>1800</v>
      </c>
      <c r="I1003" t="s">
        <v>1801</v>
      </c>
      <c r="J1003" t="s">
        <v>1570</v>
      </c>
      <c r="K1003" t="s">
        <v>1802</v>
      </c>
      <c r="L1003" t="s">
        <v>1803</v>
      </c>
      <c r="M1003" t="s">
        <v>1804</v>
      </c>
      <c r="Q1003" t="s">
        <v>57</v>
      </c>
      <c r="R1003" t="s">
        <v>1805</v>
      </c>
      <c r="Y1003" t="s">
        <v>1806</v>
      </c>
      <c r="Z1003">
        <v>8536</v>
      </c>
      <c r="AE1003">
        <v>286</v>
      </c>
      <c r="AF1003" s="4">
        <v>0.5</v>
      </c>
      <c r="AG1003">
        <f t="shared" si="99"/>
        <v>143</v>
      </c>
      <c r="AH1003" s="4">
        <v>0.18</v>
      </c>
      <c r="AI1003">
        <f t="shared" si="94"/>
        <v>168.74</v>
      </c>
      <c r="AJ1003" s="4">
        <v>0.2</v>
      </c>
      <c r="AK1003">
        <f t="shared" si="95"/>
        <v>33.75</v>
      </c>
      <c r="AL1003">
        <f t="shared" si="96"/>
        <v>202.49</v>
      </c>
      <c r="AM1003">
        <f t="shared" si="97"/>
        <v>83.51</v>
      </c>
      <c r="AN1003" s="4">
        <f t="shared" si="98"/>
        <v>0.291993006993007</v>
      </c>
      <c r="AO1003" t="s">
        <v>221</v>
      </c>
      <c r="AQ1003" t="s">
        <v>217</v>
      </c>
      <c r="AT1003" t="s">
        <v>869</v>
      </c>
    </row>
    <row r="1004" ht="15.75" customHeight="1" spans="1:46">
      <c r="A1004" t="s">
        <v>1796</v>
      </c>
      <c r="B1004" t="s">
        <v>67</v>
      </c>
      <c r="C1004" t="s">
        <v>1499</v>
      </c>
      <c r="D1004" t="s">
        <v>1797</v>
      </c>
      <c r="E1004" t="s">
        <v>1798</v>
      </c>
      <c r="F1004" t="s">
        <v>1799</v>
      </c>
      <c r="H1004" t="s">
        <v>1800</v>
      </c>
      <c r="I1004" t="s">
        <v>1801</v>
      </c>
      <c r="J1004" t="s">
        <v>1570</v>
      </c>
      <c r="K1004" t="s">
        <v>1654</v>
      </c>
      <c r="L1004" t="s">
        <v>1803</v>
      </c>
      <c r="M1004" t="s">
        <v>1804</v>
      </c>
      <c r="Q1004" t="s">
        <v>57</v>
      </c>
      <c r="Y1004" t="s">
        <v>1806</v>
      </c>
      <c r="Z1004">
        <v>8536</v>
      </c>
      <c r="AE1004">
        <v>286</v>
      </c>
      <c r="AF1004" s="4">
        <v>0.5</v>
      </c>
      <c r="AG1004">
        <f t="shared" si="99"/>
        <v>143</v>
      </c>
      <c r="AH1004" s="4">
        <v>0.18</v>
      </c>
      <c r="AI1004">
        <f t="shared" si="94"/>
        <v>168.74</v>
      </c>
      <c r="AJ1004" s="4">
        <v>0.2</v>
      </c>
      <c r="AK1004">
        <f t="shared" si="95"/>
        <v>33.75</v>
      </c>
      <c r="AL1004">
        <f t="shared" si="96"/>
        <v>202.49</v>
      </c>
      <c r="AM1004">
        <f t="shared" si="97"/>
        <v>83.51</v>
      </c>
      <c r="AN1004" s="4">
        <f t="shared" si="98"/>
        <v>0.291993006993007</v>
      </c>
      <c r="AO1004" t="s">
        <v>221</v>
      </c>
      <c r="AQ1004" t="s">
        <v>217</v>
      </c>
      <c r="AT1004" t="s">
        <v>869</v>
      </c>
    </row>
    <row r="1005" ht="15.75" customHeight="1" spans="1:46">
      <c r="A1005" t="s">
        <v>1796</v>
      </c>
      <c r="B1005" t="s">
        <v>71</v>
      </c>
      <c r="C1005" t="s">
        <v>1499</v>
      </c>
      <c r="D1005" t="s">
        <v>1797</v>
      </c>
      <c r="E1005" t="s">
        <v>1798</v>
      </c>
      <c r="F1005" t="s">
        <v>1799</v>
      </c>
      <c r="H1005" t="s">
        <v>1800</v>
      </c>
      <c r="I1005" t="s">
        <v>1801</v>
      </c>
      <c r="J1005" t="s">
        <v>1570</v>
      </c>
      <c r="K1005" t="s">
        <v>1575</v>
      </c>
      <c r="L1005" t="s">
        <v>1803</v>
      </c>
      <c r="M1005" t="s">
        <v>1804</v>
      </c>
      <c r="Q1005" t="s">
        <v>57</v>
      </c>
      <c r="Y1005" t="s">
        <v>1806</v>
      </c>
      <c r="Z1005">
        <v>8536</v>
      </c>
      <c r="AE1005">
        <v>286</v>
      </c>
      <c r="AF1005" s="4">
        <v>0.5</v>
      </c>
      <c r="AG1005">
        <f t="shared" si="99"/>
        <v>143</v>
      </c>
      <c r="AH1005" s="4">
        <v>0.18</v>
      </c>
      <c r="AI1005">
        <f t="shared" si="94"/>
        <v>168.74</v>
      </c>
      <c r="AJ1005" s="4">
        <v>0.2</v>
      </c>
      <c r="AK1005">
        <f t="shared" si="95"/>
        <v>33.75</v>
      </c>
      <c r="AL1005">
        <f t="shared" si="96"/>
        <v>202.49</v>
      </c>
      <c r="AM1005">
        <f t="shared" si="97"/>
        <v>83.51</v>
      </c>
      <c r="AN1005" s="4">
        <f t="shared" si="98"/>
        <v>0.291993006993007</v>
      </c>
      <c r="AO1005" t="s">
        <v>221</v>
      </c>
      <c r="AQ1005" t="s">
        <v>217</v>
      </c>
      <c r="AT1005" t="s">
        <v>869</v>
      </c>
    </row>
    <row r="1006" ht="15.75" customHeight="1" spans="1:46">
      <c r="A1006" t="s">
        <v>1796</v>
      </c>
      <c r="B1006" t="s">
        <v>75</v>
      </c>
      <c r="C1006" t="s">
        <v>1499</v>
      </c>
      <c r="D1006" t="s">
        <v>1797</v>
      </c>
      <c r="E1006" t="s">
        <v>1798</v>
      </c>
      <c r="F1006" t="s">
        <v>1799</v>
      </c>
      <c r="H1006" t="s">
        <v>1800</v>
      </c>
      <c r="I1006" t="s">
        <v>1801</v>
      </c>
      <c r="J1006" t="s">
        <v>1570</v>
      </c>
      <c r="K1006" t="s">
        <v>1672</v>
      </c>
      <c r="L1006" t="s">
        <v>1803</v>
      </c>
      <c r="M1006" t="s">
        <v>1804</v>
      </c>
      <c r="Q1006" t="s">
        <v>57</v>
      </c>
      <c r="Y1006" t="s">
        <v>1806</v>
      </c>
      <c r="Z1006">
        <v>8536</v>
      </c>
      <c r="AE1006">
        <v>286</v>
      </c>
      <c r="AF1006" s="4">
        <v>0.5</v>
      </c>
      <c r="AG1006">
        <f t="shared" si="99"/>
        <v>143</v>
      </c>
      <c r="AH1006" s="4">
        <v>0.18</v>
      </c>
      <c r="AI1006">
        <f t="shared" si="94"/>
        <v>168.74</v>
      </c>
      <c r="AJ1006" s="4">
        <v>0.2</v>
      </c>
      <c r="AK1006">
        <f t="shared" si="95"/>
        <v>33.75</v>
      </c>
      <c r="AL1006">
        <f t="shared" si="96"/>
        <v>202.49</v>
      </c>
      <c r="AM1006">
        <f t="shared" si="97"/>
        <v>83.51</v>
      </c>
      <c r="AN1006" s="4">
        <f t="shared" si="98"/>
        <v>0.291993006993007</v>
      </c>
      <c r="AO1006" t="s">
        <v>221</v>
      </c>
      <c r="AQ1006" t="s">
        <v>217</v>
      </c>
      <c r="AT1006" t="s">
        <v>869</v>
      </c>
    </row>
    <row r="1007" ht="15.75" customHeight="1" spans="1:46">
      <c r="A1007" t="s">
        <v>1796</v>
      </c>
      <c r="B1007" t="s">
        <v>79</v>
      </c>
      <c r="C1007" t="s">
        <v>1499</v>
      </c>
      <c r="D1007" t="s">
        <v>1797</v>
      </c>
      <c r="E1007" t="s">
        <v>1798</v>
      </c>
      <c r="F1007" t="s">
        <v>1799</v>
      </c>
      <c r="H1007" t="s">
        <v>1800</v>
      </c>
      <c r="I1007" t="s">
        <v>1801</v>
      </c>
      <c r="J1007" t="s">
        <v>1570</v>
      </c>
      <c r="K1007" t="s">
        <v>1807</v>
      </c>
      <c r="L1007" t="s">
        <v>1803</v>
      </c>
      <c r="M1007" t="s">
        <v>1804</v>
      </c>
      <c r="Q1007" t="s">
        <v>57</v>
      </c>
      <c r="Y1007" t="s">
        <v>1806</v>
      </c>
      <c r="Z1007">
        <v>8536</v>
      </c>
      <c r="AE1007">
        <v>286</v>
      </c>
      <c r="AF1007" s="4">
        <v>0.5</v>
      </c>
      <c r="AG1007">
        <f t="shared" si="99"/>
        <v>143</v>
      </c>
      <c r="AH1007" s="4">
        <v>0.18</v>
      </c>
      <c r="AI1007">
        <f t="shared" si="94"/>
        <v>168.74</v>
      </c>
      <c r="AJ1007" s="4">
        <v>0.2</v>
      </c>
      <c r="AK1007">
        <f t="shared" si="95"/>
        <v>33.75</v>
      </c>
      <c r="AL1007">
        <f t="shared" si="96"/>
        <v>202.49</v>
      </c>
      <c r="AM1007">
        <f t="shared" si="97"/>
        <v>83.51</v>
      </c>
      <c r="AN1007" s="4">
        <f t="shared" si="98"/>
        <v>0.291993006993007</v>
      </c>
      <c r="AO1007" t="s">
        <v>221</v>
      </c>
      <c r="AQ1007" t="s">
        <v>217</v>
      </c>
      <c r="AT1007" t="s">
        <v>869</v>
      </c>
    </row>
    <row r="1008" ht="15.75" customHeight="1" spans="1:46">
      <c r="A1008" t="s">
        <v>1796</v>
      </c>
      <c r="B1008" t="s">
        <v>83</v>
      </c>
      <c r="C1008" t="s">
        <v>1499</v>
      </c>
      <c r="D1008" t="s">
        <v>1797</v>
      </c>
      <c r="E1008" t="s">
        <v>1798</v>
      </c>
      <c r="F1008" t="s">
        <v>1799</v>
      </c>
      <c r="H1008" t="s">
        <v>1800</v>
      </c>
      <c r="I1008" t="s">
        <v>1801</v>
      </c>
      <c r="J1008" t="s">
        <v>1570</v>
      </c>
      <c r="K1008" t="s">
        <v>1808</v>
      </c>
      <c r="L1008" t="s">
        <v>1803</v>
      </c>
      <c r="M1008" t="s">
        <v>1804</v>
      </c>
      <c r="Q1008" t="s">
        <v>57</v>
      </c>
      <c r="Y1008" t="s">
        <v>1806</v>
      </c>
      <c r="Z1008">
        <v>8536</v>
      </c>
      <c r="AE1008">
        <v>286</v>
      </c>
      <c r="AF1008" s="4">
        <v>0.5</v>
      </c>
      <c r="AG1008">
        <f t="shared" si="99"/>
        <v>143</v>
      </c>
      <c r="AH1008" s="4">
        <v>0.18</v>
      </c>
      <c r="AI1008">
        <f t="shared" si="94"/>
        <v>168.74</v>
      </c>
      <c r="AJ1008" s="4">
        <v>0.2</v>
      </c>
      <c r="AK1008">
        <f t="shared" si="95"/>
        <v>33.75</v>
      </c>
      <c r="AL1008">
        <f t="shared" si="96"/>
        <v>202.49</v>
      </c>
      <c r="AM1008">
        <f t="shared" si="97"/>
        <v>83.51</v>
      </c>
      <c r="AN1008" s="4">
        <f t="shared" si="98"/>
        <v>0.291993006993007</v>
      </c>
      <c r="AO1008" t="s">
        <v>221</v>
      </c>
      <c r="AQ1008" t="s">
        <v>217</v>
      </c>
      <c r="AT1008" t="s">
        <v>869</v>
      </c>
    </row>
    <row r="1009" ht="15.75" customHeight="1" spans="1:46">
      <c r="A1009" t="s">
        <v>1796</v>
      </c>
      <c r="B1009" t="s">
        <v>131</v>
      </c>
      <c r="C1009" t="s">
        <v>1499</v>
      </c>
      <c r="D1009" t="s">
        <v>1797</v>
      </c>
      <c r="E1009" t="s">
        <v>1798</v>
      </c>
      <c r="F1009" t="s">
        <v>1799</v>
      </c>
      <c r="H1009" t="s">
        <v>1800</v>
      </c>
      <c r="I1009" t="s">
        <v>1801</v>
      </c>
      <c r="J1009" t="s">
        <v>1570</v>
      </c>
      <c r="K1009" t="s">
        <v>1809</v>
      </c>
      <c r="L1009" t="s">
        <v>1803</v>
      </c>
      <c r="M1009" t="s">
        <v>1804</v>
      </c>
      <c r="Q1009" t="s">
        <v>57</v>
      </c>
      <c r="Y1009" t="s">
        <v>1806</v>
      </c>
      <c r="Z1009">
        <v>8536</v>
      </c>
      <c r="AE1009">
        <v>286</v>
      </c>
      <c r="AF1009" s="4">
        <v>0.5</v>
      </c>
      <c r="AG1009">
        <f t="shared" si="99"/>
        <v>143</v>
      </c>
      <c r="AH1009" s="4">
        <v>0.18</v>
      </c>
      <c r="AI1009">
        <f t="shared" si="94"/>
        <v>168.74</v>
      </c>
      <c r="AJ1009" s="4">
        <v>0.2</v>
      </c>
      <c r="AK1009">
        <f t="shared" si="95"/>
        <v>33.75</v>
      </c>
      <c r="AL1009">
        <f t="shared" si="96"/>
        <v>202.49</v>
      </c>
      <c r="AM1009">
        <f t="shared" si="97"/>
        <v>83.51</v>
      </c>
      <c r="AN1009" s="4">
        <f t="shared" si="98"/>
        <v>0.291993006993007</v>
      </c>
      <c r="AO1009" t="s">
        <v>221</v>
      </c>
      <c r="AQ1009" t="s">
        <v>217</v>
      </c>
      <c r="AT1009" t="s">
        <v>869</v>
      </c>
    </row>
    <row r="1010" ht="15.75" customHeight="1" spans="1:46">
      <c r="A1010" t="s">
        <v>1796</v>
      </c>
      <c r="B1010" t="s">
        <v>133</v>
      </c>
      <c r="C1010" t="s">
        <v>1499</v>
      </c>
      <c r="D1010" t="s">
        <v>1797</v>
      </c>
      <c r="E1010" t="s">
        <v>1798</v>
      </c>
      <c r="F1010" t="s">
        <v>1799</v>
      </c>
      <c r="H1010" t="s">
        <v>1800</v>
      </c>
      <c r="I1010" t="s">
        <v>446</v>
      </c>
      <c r="J1010" t="s">
        <v>1570</v>
      </c>
      <c r="K1010" t="s">
        <v>1810</v>
      </c>
      <c r="L1010" t="s">
        <v>1803</v>
      </c>
      <c r="M1010" t="s">
        <v>1804</v>
      </c>
      <c r="Q1010" t="s">
        <v>57</v>
      </c>
      <c r="R1010" t="s">
        <v>1811</v>
      </c>
      <c r="Y1010" t="s">
        <v>1812</v>
      </c>
      <c r="Z1010">
        <v>8536</v>
      </c>
      <c r="AE1010">
        <v>516</v>
      </c>
      <c r="AF1010" s="4">
        <v>0.5</v>
      </c>
      <c r="AG1010">
        <f t="shared" si="99"/>
        <v>258</v>
      </c>
      <c r="AH1010" s="4">
        <v>0.18</v>
      </c>
      <c r="AI1010">
        <f t="shared" si="94"/>
        <v>304.44</v>
      </c>
      <c r="AJ1010" s="4">
        <v>0.2</v>
      </c>
      <c r="AK1010">
        <f t="shared" si="95"/>
        <v>60.89</v>
      </c>
      <c r="AL1010">
        <f t="shared" si="96"/>
        <v>365.33</v>
      </c>
      <c r="AM1010">
        <f t="shared" si="97"/>
        <v>150.67</v>
      </c>
      <c r="AN1010" s="4">
        <f t="shared" si="98"/>
        <v>0.291996124031008</v>
      </c>
      <c r="AO1010" t="s">
        <v>221</v>
      </c>
      <c r="AQ1010" t="s">
        <v>217</v>
      </c>
      <c r="AT1010" t="s">
        <v>869</v>
      </c>
    </row>
    <row r="1011" ht="15.75" customHeight="1" spans="1:46">
      <c r="A1011" t="s">
        <v>1796</v>
      </c>
      <c r="B1011" t="s">
        <v>135</v>
      </c>
      <c r="C1011" t="s">
        <v>1499</v>
      </c>
      <c r="D1011" t="s">
        <v>1797</v>
      </c>
      <c r="E1011" t="s">
        <v>1798</v>
      </c>
      <c r="F1011" t="s">
        <v>1799</v>
      </c>
      <c r="H1011" t="s">
        <v>1800</v>
      </c>
      <c r="I1011" t="s">
        <v>446</v>
      </c>
      <c r="J1011" t="s">
        <v>1570</v>
      </c>
      <c r="K1011" t="s">
        <v>1802</v>
      </c>
      <c r="L1011" t="s">
        <v>1803</v>
      </c>
      <c r="M1011" t="s">
        <v>1804</v>
      </c>
      <c r="Q1011" t="s">
        <v>57</v>
      </c>
      <c r="R1011" t="s">
        <v>1813</v>
      </c>
      <c r="Y1011" t="s">
        <v>1812</v>
      </c>
      <c r="Z1011">
        <v>8536</v>
      </c>
      <c r="AE1011">
        <v>308</v>
      </c>
      <c r="AF1011" s="4">
        <v>0.5</v>
      </c>
      <c r="AG1011">
        <f t="shared" si="99"/>
        <v>154</v>
      </c>
      <c r="AH1011" s="4">
        <v>0.18</v>
      </c>
      <c r="AI1011">
        <f t="shared" si="94"/>
        <v>181.72</v>
      </c>
      <c r="AJ1011" s="4">
        <v>0.2</v>
      </c>
      <c r="AK1011">
        <f t="shared" si="95"/>
        <v>36.34</v>
      </c>
      <c r="AL1011">
        <f t="shared" si="96"/>
        <v>218.06</v>
      </c>
      <c r="AM1011">
        <f t="shared" si="97"/>
        <v>89.94</v>
      </c>
      <c r="AN1011" s="4">
        <f t="shared" si="98"/>
        <v>0.292012987012987</v>
      </c>
      <c r="AO1011" t="s">
        <v>221</v>
      </c>
      <c r="AQ1011" t="s">
        <v>217</v>
      </c>
      <c r="AT1011" t="s">
        <v>869</v>
      </c>
    </row>
    <row r="1012" ht="15.75" customHeight="1" spans="1:46">
      <c r="A1012" t="s">
        <v>1796</v>
      </c>
      <c r="B1012" t="s">
        <v>137</v>
      </c>
      <c r="C1012" t="s">
        <v>1499</v>
      </c>
      <c r="D1012" t="s">
        <v>1797</v>
      </c>
      <c r="E1012" t="s">
        <v>1798</v>
      </c>
      <c r="F1012" t="s">
        <v>1799</v>
      </c>
      <c r="H1012" t="s">
        <v>1800</v>
      </c>
      <c r="I1012" t="s">
        <v>446</v>
      </c>
      <c r="J1012" t="s">
        <v>1570</v>
      </c>
      <c r="K1012" t="s">
        <v>1809</v>
      </c>
      <c r="L1012" t="s">
        <v>1803</v>
      </c>
      <c r="M1012" t="s">
        <v>1804</v>
      </c>
      <c r="Q1012" t="s">
        <v>57</v>
      </c>
      <c r="R1012" t="s">
        <v>1814</v>
      </c>
      <c r="Y1012" t="s">
        <v>1812</v>
      </c>
      <c r="Z1012">
        <v>8536</v>
      </c>
      <c r="AE1012">
        <v>709</v>
      </c>
      <c r="AF1012" s="4">
        <v>0.5</v>
      </c>
      <c r="AG1012">
        <f t="shared" si="99"/>
        <v>354.5</v>
      </c>
      <c r="AH1012" s="4">
        <v>0.18</v>
      </c>
      <c r="AI1012">
        <f t="shared" si="94"/>
        <v>418.31</v>
      </c>
      <c r="AJ1012" s="4">
        <v>0.2</v>
      </c>
      <c r="AK1012">
        <f t="shared" si="95"/>
        <v>83.66</v>
      </c>
      <c r="AL1012">
        <f t="shared" si="96"/>
        <v>501.97</v>
      </c>
      <c r="AM1012">
        <f t="shared" si="97"/>
        <v>207.03</v>
      </c>
      <c r="AN1012" s="4">
        <f t="shared" si="98"/>
        <v>0.292002820874471</v>
      </c>
      <c r="AO1012" t="s">
        <v>221</v>
      </c>
      <c r="AQ1012" t="s">
        <v>217</v>
      </c>
      <c r="AT1012" t="s">
        <v>869</v>
      </c>
    </row>
    <row r="1013" ht="15.75" customHeight="1" spans="1:46">
      <c r="A1013" t="s">
        <v>1796</v>
      </c>
      <c r="B1013" t="s">
        <v>138</v>
      </c>
      <c r="C1013" t="s">
        <v>1499</v>
      </c>
      <c r="D1013" t="s">
        <v>1797</v>
      </c>
      <c r="E1013" t="s">
        <v>1798</v>
      </c>
      <c r="F1013" t="s">
        <v>1799</v>
      </c>
      <c r="H1013" t="s">
        <v>1800</v>
      </c>
      <c r="I1013" t="s">
        <v>446</v>
      </c>
      <c r="J1013" t="s">
        <v>1570</v>
      </c>
      <c r="K1013" t="s">
        <v>1815</v>
      </c>
      <c r="L1013" t="s">
        <v>1803</v>
      </c>
      <c r="M1013" t="s">
        <v>1804</v>
      </c>
      <c r="Q1013" t="s">
        <v>57</v>
      </c>
      <c r="R1013" t="s">
        <v>1816</v>
      </c>
      <c r="Y1013" t="s">
        <v>1812</v>
      </c>
      <c r="Z1013">
        <v>8536</v>
      </c>
      <c r="AE1013">
        <v>783</v>
      </c>
      <c r="AF1013" s="4">
        <v>0.5</v>
      </c>
      <c r="AG1013">
        <f t="shared" si="99"/>
        <v>391.5</v>
      </c>
      <c r="AH1013" s="4">
        <v>0.18</v>
      </c>
      <c r="AI1013">
        <f t="shared" si="94"/>
        <v>461.97</v>
      </c>
      <c r="AJ1013" s="4">
        <v>0.2</v>
      </c>
      <c r="AK1013">
        <f t="shared" si="95"/>
        <v>92.39</v>
      </c>
      <c r="AL1013">
        <f t="shared" si="96"/>
        <v>554.36</v>
      </c>
      <c r="AM1013">
        <f t="shared" si="97"/>
        <v>228.64</v>
      </c>
      <c r="AN1013" s="4">
        <f t="shared" si="98"/>
        <v>0.292005108556833</v>
      </c>
      <c r="AO1013" t="s">
        <v>221</v>
      </c>
      <c r="AQ1013" t="s">
        <v>217</v>
      </c>
      <c r="AT1013" t="s">
        <v>869</v>
      </c>
    </row>
    <row r="1014" ht="15.75" customHeight="1" spans="1:46">
      <c r="A1014" t="s">
        <v>1796</v>
      </c>
      <c r="B1014" t="s">
        <v>140</v>
      </c>
      <c r="C1014" t="s">
        <v>1499</v>
      </c>
      <c r="D1014" t="s">
        <v>1797</v>
      </c>
      <c r="E1014" t="s">
        <v>1798</v>
      </c>
      <c r="F1014" t="s">
        <v>1799</v>
      </c>
      <c r="H1014" t="s">
        <v>1800</v>
      </c>
      <c r="I1014" t="s">
        <v>446</v>
      </c>
      <c r="J1014" t="s">
        <v>1570</v>
      </c>
      <c r="K1014" t="s">
        <v>1817</v>
      </c>
      <c r="L1014" t="s">
        <v>1803</v>
      </c>
      <c r="M1014" t="s">
        <v>1804</v>
      </c>
      <c r="Q1014" t="s">
        <v>57</v>
      </c>
      <c r="R1014" t="s">
        <v>1818</v>
      </c>
      <c r="Y1014" t="s">
        <v>1812</v>
      </c>
      <c r="Z1014">
        <v>8536</v>
      </c>
      <c r="AE1014">
        <v>2555</v>
      </c>
      <c r="AF1014" s="4">
        <v>0.5</v>
      </c>
      <c r="AG1014">
        <f t="shared" si="99"/>
        <v>1277.5</v>
      </c>
      <c r="AH1014" s="4">
        <v>0.18</v>
      </c>
      <c r="AI1014">
        <f t="shared" si="94"/>
        <v>1507.45</v>
      </c>
      <c r="AJ1014" s="4">
        <v>0.2</v>
      </c>
      <c r="AK1014">
        <f t="shared" si="95"/>
        <v>301.49</v>
      </c>
      <c r="AL1014">
        <f t="shared" si="96"/>
        <v>1808.94</v>
      </c>
      <c r="AM1014">
        <f t="shared" si="97"/>
        <v>746.06</v>
      </c>
      <c r="AN1014" s="4">
        <f t="shared" si="98"/>
        <v>0.292</v>
      </c>
      <c r="AO1014" t="s">
        <v>221</v>
      </c>
      <c r="AQ1014" t="s">
        <v>217</v>
      </c>
      <c r="AT1014" t="s">
        <v>869</v>
      </c>
    </row>
    <row r="1015" ht="15.75" customHeight="1" spans="1:46">
      <c r="A1015" t="s">
        <v>1796</v>
      </c>
      <c r="B1015" t="s">
        <v>202</v>
      </c>
      <c r="C1015" t="s">
        <v>1499</v>
      </c>
      <c r="D1015" t="s">
        <v>1797</v>
      </c>
      <c r="E1015" t="s">
        <v>1798</v>
      </c>
      <c r="F1015" t="s">
        <v>1799</v>
      </c>
      <c r="H1015" t="s">
        <v>1800</v>
      </c>
      <c r="I1015" t="s">
        <v>446</v>
      </c>
      <c r="J1015" t="s">
        <v>1570</v>
      </c>
      <c r="K1015" t="s">
        <v>1819</v>
      </c>
      <c r="L1015" t="s">
        <v>1803</v>
      </c>
      <c r="M1015" t="s">
        <v>1804</v>
      </c>
      <c r="Q1015" t="s">
        <v>57</v>
      </c>
      <c r="R1015" t="s">
        <v>1820</v>
      </c>
      <c r="Y1015" t="s">
        <v>1812</v>
      </c>
      <c r="Z1015">
        <v>8536</v>
      </c>
      <c r="AE1015">
        <v>2863</v>
      </c>
      <c r="AF1015" s="4">
        <v>0.5</v>
      </c>
      <c r="AG1015">
        <f t="shared" si="99"/>
        <v>1431.5</v>
      </c>
      <c r="AH1015" s="4">
        <v>0.18</v>
      </c>
      <c r="AI1015">
        <f t="shared" si="94"/>
        <v>1689.17</v>
      </c>
      <c r="AJ1015" s="4">
        <v>0.2</v>
      </c>
      <c r="AK1015">
        <f t="shared" si="95"/>
        <v>337.83</v>
      </c>
      <c r="AL1015">
        <f t="shared" si="96"/>
        <v>2027</v>
      </c>
      <c r="AM1015">
        <f t="shared" si="97"/>
        <v>836</v>
      </c>
      <c r="AN1015" s="4">
        <f t="shared" si="98"/>
        <v>0.292001397135871</v>
      </c>
      <c r="AO1015" t="s">
        <v>221</v>
      </c>
      <c r="AQ1015" t="s">
        <v>217</v>
      </c>
      <c r="AT1015" t="s">
        <v>869</v>
      </c>
    </row>
    <row r="1016" ht="15.75" customHeight="1" spans="1:46">
      <c r="A1016" t="s">
        <v>1796</v>
      </c>
      <c r="B1016" t="s">
        <v>203</v>
      </c>
      <c r="C1016" t="s">
        <v>1499</v>
      </c>
      <c r="D1016" t="s">
        <v>1797</v>
      </c>
      <c r="E1016" t="s">
        <v>1798</v>
      </c>
      <c r="F1016" t="s">
        <v>1799</v>
      </c>
      <c r="H1016" t="s">
        <v>1800</v>
      </c>
      <c r="I1016" t="s">
        <v>446</v>
      </c>
      <c r="J1016" t="s">
        <v>1570</v>
      </c>
      <c r="K1016" t="s">
        <v>1821</v>
      </c>
      <c r="L1016" t="s">
        <v>1803</v>
      </c>
      <c r="M1016" t="s">
        <v>1804</v>
      </c>
      <c r="Q1016" t="s">
        <v>57</v>
      </c>
      <c r="R1016" t="s">
        <v>1822</v>
      </c>
      <c r="Y1016" t="s">
        <v>1812</v>
      </c>
      <c r="Z1016">
        <v>8536</v>
      </c>
      <c r="AE1016">
        <v>3138</v>
      </c>
      <c r="AF1016" s="4">
        <v>0.5</v>
      </c>
      <c r="AG1016">
        <f t="shared" si="99"/>
        <v>1569</v>
      </c>
      <c r="AH1016" s="4">
        <v>0.18</v>
      </c>
      <c r="AI1016">
        <f t="shared" si="94"/>
        <v>1851.42</v>
      </c>
      <c r="AJ1016" s="4">
        <v>0.2</v>
      </c>
      <c r="AK1016">
        <f t="shared" si="95"/>
        <v>370.28</v>
      </c>
      <c r="AL1016">
        <f t="shared" si="96"/>
        <v>2221.7</v>
      </c>
      <c r="AM1016">
        <f t="shared" si="97"/>
        <v>916.3</v>
      </c>
      <c r="AN1016" s="4">
        <f t="shared" si="98"/>
        <v>0.292001274697259</v>
      </c>
      <c r="AO1016" t="s">
        <v>221</v>
      </c>
      <c r="AQ1016" t="s">
        <v>217</v>
      </c>
      <c r="AT1016" t="s">
        <v>869</v>
      </c>
    </row>
    <row r="1017" ht="15.75" customHeight="1" spans="1:46">
      <c r="A1017" t="s">
        <v>1796</v>
      </c>
      <c r="B1017" t="s">
        <v>204</v>
      </c>
      <c r="C1017" t="s">
        <v>1499</v>
      </c>
      <c r="D1017" t="s">
        <v>1797</v>
      </c>
      <c r="E1017" t="s">
        <v>1798</v>
      </c>
      <c r="F1017" t="s">
        <v>1799</v>
      </c>
      <c r="H1017" t="s">
        <v>1800</v>
      </c>
      <c r="I1017" t="s">
        <v>446</v>
      </c>
      <c r="J1017" t="s">
        <v>1570</v>
      </c>
      <c r="K1017" t="s">
        <v>1810</v>
      </c>
      <c r="L1017" t="s">
        <v>1803</v>
      </c>
      <c r="M1017" t="s">
        <v>1823</v>
      </c>
      <c r="Q1017" t="s">
        <v>57</v>
      </c>
      <c r="R1017" t="s">
        <v>1824</v>
      </c>
      <c r="Y1017" t="s">
        <v>1825</v>
      </c>
      <c r="Z1017">
        <v>8536</v>
      </c>
      <c r="AE1017">
        <v>1343</v>
      </c>
      <c r="AF1017" s="4">
        <v>0.5</v>
      </c>
      <c r="AG1017">
        <f t="shared" si="99"/>
        <v>671.5</v>
      </c>
      <c r="AH1017" s="4">
        <v>0.18</v>
      </c>
      <c r="AI1017">
        <f t="shared" si="94"/>
        <v>792.37</v>
      </c>
      <c r="AJ1017" s="4">
        <v>0.2</v>
      </c>
      <c r="AK1017">
        <f t="shared" si="95"/>
        <v>158.47</v>
      </c>
      <c r="AL1017">
        <f t="shared" si="96"/>
        <v>950.84</v>
      </c>
      <c r="AM1017">
        <f t="shared" si="97"/>
        <v>392.16</v>
      </c>
      <c r="AN1017" s="4">
        <f t="shared" si="98"/>
        <v>0.292002978406552</v>
      </c>
      <c r="AO1017" t="s">
        <v>221</v>
      </c>
      <c r="AQ1017" t="s">
        <v>217</v>
      </c>
      <c r="AT1017" t="s">
        <v>869</v>
      </c>
    </row>
    <row r="1018" ht="15.75" customHeight="1" spans="1:46">
      <c r="A1018" t="s">
        <v>1796</v>
      </c>
      <c r="B1018" t="s">
        <v>205</v>
      </c>
      <c r="C1018" t="s">
        <v>1499</v>
      </c>
      <c r="D1018" t="s">
        <v>1797</v>
      </c>
      <c r="E1018" t="s">
        <v>1798</v>
      </c>
      <c r="F1018" t="s">
        <v>1799</v>
      </c>
      <c r="H1018" t="s">
        <v>1800</v>
      </c>
      <c r="I1018" t="s">
        <v>446</v>
      </c>
      <c r="J1018" t="s">
        <v>1570</v>
      </c>
      <c r="K1018" t="s">
        <v>1802</v>
      </c>
      <c r="L1018" t="s">
        <v>1803</v>
      </c>
      <c r="M1018" t="s">
        <v>1823</v>
      </c>
      <c r="Q1018" t="s">
        <v>57</v>
      </c>
      <c r="R1018" t="s">
        <v>1826</v>
      </c>
      <c r="Y1018" t="s">
        <v>1825</v>
      </c>
      <c r="Z1018">
        <v>8536</v>
      </c>
      <c r="AE1018">
        <v>1007</v>
      </c>
      <c r="AF1018" s="4">
        <v>0.5</v>
      </c>
      <c r="AG1018">
        <f t="shared" si="99"/>
        <v>503.5</v>
      </c>
      <c r="AH1018" s="4">
        <v>0.18</v>
      </c>
      <c r="AI1018">
        <f t="shared" si="94"/>
        <v>594.13</v>
      </c>
      <c r="AJ1018" s="4">
        <v>0.2</v>
      </c>
      <c r="AK1018">
        <f t="shared" si="95"/>
        <v>118.83</v>
      </c>
      <c r="AL1018">
        <f t="shared" si="96"/>
        <v>712.96</v>
      </c>
      <c r="AM1018">
        <f t="shared" si="97"/>
        <v>294.04</v>
      </c>
      <c r="AN1018" s="4">
        <f t="shared" si="98"/>
        <v>0.291996027805362</v>
      </c>
      <c r="AO1018" t="s">
        <v>221</v>
      </c>
      <c r="AQ1018" t="s">
        <v>217</v>
      </c>
      <c r="AT1018" t="s">
        <v>869</v>
      </c>
    </row>
    <row r="1019" ht="15.75" customHeight="1" spans="1:46">
      <c r="A1019" t="s">
        <v>1796</v>
      </c>
      <c r="B1019" t="s">
        <v>206</v>
      </c>
      <c r="C1019" t="s">
        <v>1499</v>
      </c>
      <c r="D1019" t="s">
        <v>1797</v>
      </c>
      <c r="E1019" t="s">
        <v>1798</v>
      </c>
      <c r="F1019" t="s">
        <v>1799</v>
      </c>
      <c r="H1019" t="s">
        <v>1800</v>
      </c>
      <c r="I1019" t="s">
        <v>446</v>
      </c>
      <c r="J1019" t="s">
        <v>1570</v>
      </c>
      <c r="K1019" t="s">
        <v>1809</v>
      </c>
      <c r="L1019" t="s">
        <v>1803</v>
      </c>
      <c r="M1019" t="s">
        <v>1823</v>
      </c>
      <c r="Q1019" t="s">
        <v>57</v>
      </c>
      <c r="R1019" t="s">
        <v>1827</v>
      </c>
      <c r="Y1019" t="s">
        <v>1825</v>
      </c>
      <c r="Z1019">
        <v>8536</v>
      </c>
      <c r="AE1019">
        <v>1568</v>
      </c>
      <c r="AF1019" s="4">
        <v>0.5</v>
      </c>
      <c r="AG1019">
        <f t="shared" si="99"/>
        <v>784</v>
      </c>
      <c r="AH1019" s="4">
        <v>0.18</v>
      </c>
      <c r="AI1019">
        <f t="shared" si="94"/>
        <v>925.12</v>
      </c>
      <c r="AJ1019" s="4">
        <v>0.2</v>
      </c>
      <c r="AK1019">
        <f t="shared" si="95"/>
        <v>185.02</v>
      </c>
      <c r="AL1019">
        <f t="shared" si="96"/>
        <v>1110.14</v>
      </c>
      <c r="AM1019">
        <f t="shared" si="97"/>
        <v>457.86</v>
      </c>
      <c r="AN1019" s="4">
        <f t="shared" si="98"/>
        <v>0.292002551020408</v>
      </c>
      <c r="AO1019" t="s">
        <v>221</v>
      </c>
      <c r="AQ1019" t="s">
        <v>217</v>
      </c>
      <c r="AT1019" t="s">
        <v>869</v>
      </c>
    </row>
    <row r="1020" ht="15.75" customHeight="1" spans="1:46">
      <c r="A1020" t="s">
        <v>1796</v>
      </c>
      <c r="B1020" t="s">
        <v>207</v>
      </c>
      <c r="C1020" t="s">
        <v>1499</v>
      </c>
      <c r="D1020" t="s">
        <v>1797</v>
      </c>
      <c r="E1020" t="s">
        <v>1798</v>
      </c>
      <c r="F1020" t="s">
        <v>1799</v>
      </c>
      <c r="H1020" t="s">
        <v>1800</v>
      </c>
      <c r="I1020" t="s">
        <v>446</v>
      </c>
      <c r="J1020" t="s">
        <v>1570</v>
      </c>
      <c r="K1020" t="s">
        <v>1815</v>
      </c>
      <c r="L1020" t="s">
        <v>1803</v>
      </c>
      <c r="M1020" t="s">
        <v>1823</v>
      </c>
      <c r="Q1020" t="s">
        <v>57</v>
      </c>
      <c r="R1020" t="s">
        <v>1828</v>
      </c>
      <c r="Y1020" t="s">
        <v>1825</v>
      </c>
      <c r="Z1020">
        <v>8536</v>
      </c>
      <c r="AE1020">
        <v>1700</v>
      </c>
      <c r="AF1020" s="4">
        <v>0.5</v>
      </c>
      <c r="AG1020">
        <f t="shared" si="99"/>
        <v>850</v>
      </c>
      <c r="AH1020" s="4">
        <v>0.18</v>
      </c>
      <c r="AI1020">
        <f t="shared" si="94"/>
        <v>1003</v>
      </c>
      <c r="AJ1020" s="4">
        <v>0.2</v>
      </c>
      <c r="AK1020">
        <f t="shared" si="95"/>
        <v>200.6</v>
      </c>
      <c r="AL1020">
        <f t="shared" si="96"/>
        <v>1203.6</v>
      </c>
      <c r="AM1020">
        <f t="shared" si="97"/>
        <v>496.4</v>
      </c>
      <c r="AN1020" s="4">
        <f t="shared" si="98"/>
        <v>0.292</v>
      </c>
      <c r="AO1020" t="s">
        <v>221</v>
      </c>
      <c r="AQ1020" t="s">
        <v>217</v>
      </c>
      <c r="AT1020" t="s">
        <v>869</v>
      </c>
    </row>
    <row r="1021" ht="15.75" customHeight="1" spans="1:46">
      <c r="A1021" t="s">
        <v>1796</v>
      </c>
      <c r="B1021" t="s">
        <v>208</v>
      </c>
      <c r="C1021" t="s">
        <v>1499</v>
      </c>
      <c r="D1021" t="s">
        <v>1797</v>
      </c>
      <c r="E1021" t="s">
        <v>1798</v>
      </c>
      <c r="F1021" t="s">
        <v>1799</v>
      </c>
      <c r="H1021" t="s">
        <v>1800</v>
      </c>
      <c r="I1021" t="s">
        <v>446</v>
      </c>
      <c r="J1021" t="s">
        <v>1570</v>
      </c>
      <c r="K1021" t="s">
        <v>1817</v>
      </c>
      <c r="L1021" t="s">
        <v>1803</v>
      </c>
      <c r="M1021" t="s">
        <v>1823</v>
      </c>
      <c r="Q1021" t="s">
        <v>57</v>
      </c>
      <c r="R1021" t="s">
        <v>1829</v>
      </c>
      <c r="Y1021" t="s">
        <v>1825</v>
      </c>
      <c r="Z1021">
        <v>8536</v>
      </c>
      <c r="AE1021">
        <v>2555</v>
      </c>
      <c r="AF1021" s="4">
        <v>0.5</v>
      </c>
      <c r="AG1021">
        <f t="shared" si="99"/>
        <v>1277.5</v>
      </c>
      <c r="AH1021" s="4">
        <v>0.18</v>
      </c>
      <c r="AI1021">
        <f t="shared" si="94"/>
        <v>1507.45</v>
      </c>
      <c r="AJ1021" s="4">
        <v>0.2</v>
      </c>
      <c r="AK1021">
        <f t="shared" si="95"/>
        <v>301.49</v>
      </c>
      <c r="AL1021">
        <f t="shared" si="96"/>
        <v>1808.94</v>
      </c>
      <c r="AM1021">
        <f t="shared" si="97"/>
        <v>746.06</v>
      </c>
      <c r="AN1021" s="4">
        <f t="shared" si="98"/>
        <v>0.292</v>
      </c>
      <c r="AO1021" t="s">
        <v>221</v>
      </c>
      <c r="AQ1021" t="s">
        <v>217</v>
      </c>
      <c r="AT1021" t="s">
        <v>869</v>
      </c>
    </row>
    <row r="1022" ht="15.75" customHeight="1" spans="1:46">
      <c r="A1022" t="s">
        <v>1796</v>
      </c>
      <c r="B1022" t="s">
        <v>209</v>
      </c>
      <c r="C1022" t="s">
        <v>1499</v>
      </c>
      <c r="D1022" t="s">
        <v>1797</v>
      </c>
      <c r="E1022" t="s">
        <v>1798</v>
      </c>
      <c r="F1022" t="s">
        <v>1799</v>
      </c>
      <c r="H1022" t="s">
        <v>1800</v>
      </c>
      <c r="I1022" t="s">
        <v>446</v>
      </c>
      <c r="J1022" t="s">
        <v>1570</v>
      </c>
      <c r="K1022" t="s">
        <v>1819</v>
      </c>
      <c r="L1022" t="s">
        <v>1803</v>
      </c>
      <c r="M1022" t="s">
        <v>1823</v>
      </c>
      <c r="Q1022" t="s">
        <v>57</v>
      </c>
      <c r="R1022" t="s">
        <v>1830</v>
      </c>
      <c r="Y1022" t="s">
        <v>1825</v>
      </c>
      <c r="Z1022">
        <v>8536</v>
      </c>
      <c r="AE1022">
        <v>2863</v>
      </c>
      <c r="AF1022" s="4">
        <v>0.5</v>
      </c>
      <c r="AG1022">
        <f t="shared" si="99"/>
        <v>1431.5</v>
      </c>
      <c r="AH1022" s="4">
        <v>0.18</v>
      </c>
      <c r="AI1022">
        <f t="shared" si="94"/>
        <v>1689.17</v>
      </c>
      <c r="AJ1022" s="4">
        <v>0.2</v>
      </c>
      <c r="AK1022">
        <f t="shared" si="95"/>
        <v>337.83</v>
      </c>
      <c r="AL1022">
        <f t="shared" si="96"/>
        <v>2027</v>
      </c>
      <c r="AM1022">
        <f t="shared" si="97"/>
        <v>836</v>
      </c>
      <c r="AN1022" s="4">
        <f t="shared" si="98"/>
        <v>0.292001397135871</v>
      </c>
      <c r="AO1022" t="s">
        <v>221</v>
      </c>
      <c r="AQ1022" t="s">
        <v>217</v>
      </c>
      <c r="AT1022" t="s">
        <v>869</v>
      </c>
    </row>
    <row r="1023" ht="15.75" customHeight="1" spans="1:46">
      <c r="A1023" t="s">
        <v>1796</v>
      </c>
      <c r="B1023" t="s">
        <v>210</v>
      </c>
      <c r="C1023" t="s">
        <v>1499</v>
      </c>
      <c r="D1023" t="s">
        <v>1797</v>
      </c>
      <c r="E1023" t="s">
        <v>1798</v>
      </c>
      <c r="F1023" t="s">
        <v>1799</v>
      </c>
      <c r="H1023" t="s">
        <v>1800</v>
      </c>
      <c r="I1023" t="s">
        <v>446</v>
      </c>
      <c r="J1023" t="s">
        <v>1570</v>
      </c>
      <c r="K1023" t="s">
        <v>1821</v>
      </c>
      <c r="L1023" t="s">
        <v>1803</v>
      </c>
      <c r="M1023" t="s">
        <v>1823</v>
      </c>
      <c r="Q1023" t="s">
        <v>57</v>
      </c>
      <c r="R1023" t="s">
        <v>1831</v>
      </c>
      <c r="Y1023" t="s">
        <v>1825</v>
      </c>
      <c r="Z1023">
        <v>8536</v>
      </c>
      <c r="AE1023">
        <v>3138</v>
      </c>
      <c r="AF1023" s="4">
        <v>0.5</v>
      </c>
      <c r="AG1023">
        <f t="shared" si="99"/>
        <v>1569</v>
      </c>
      <c r="AH1023" s="4">
        <v>0.18</v>
      </c>
      <c r="AI1023">
        <f t="shared" si="94"/>
        <v>1851.42</v>
      </c>
      <c r="AJ1023" s="4">
        <v>0.2</v>
      </c>
      <c r="AK1023">
        <f t="shared" si="95"/>
        <v>370.28</v>
      </c>
      <c r="AL1023">
        <f t="shared" si="96"/>
        <v>2221.7</v>
      </c>
      <c r="AM1023">
        <f t="shared" si="97"/>
        <v>916.3</v>
      </c>
      <c r="AN1023" s="4">
        <f t="shared" si="98"/>
        <v>0.292001274697259</v>
      </c>
      <c r="AO1023" t="s">
        <v>221</v>
      </c>
      <c r="AQ1023" t="s">
        <v>217</v>
      </c>
      <c r="AT1023" t="s">
        <v>869</v>
      </c>
    </row>
    <row r="1024" ht="15.75" customHeight="1" spans="1:46">
      <c r="A1024" t="s">
        <v>1796</v>
      </c>
      <c r="B1024" t="s">
        <v>211</v>
      </c>
      <c r="C1024" t="s">
        <v>1499</v>
      </c>
      <c r="D1024" t="s">
        <v>1797</v>
      </c>
      <c r="E1024" t="s">
        <v>1798</v>
      </c>
      <c r="F1024" t="s">
        <v>1799</v>
      </c>
      <c r="H1024" t="s">
        <v>1800</v>
      </c>
      <c r="I1024" t="s">
        <v>446</v>
      </c>
      <c r="J1024" t="s">
        <v>1570</v>
      </c>
      <c r="K1024" t="s">
        <v>1810</v>
      </c>
      <c r="L1024" t="s">
        <v>1803</v>
      </c>
      <c r="M1024" t="s">
        <v>1832</v>
      </c>
      <c r="Q1024" t="s">
        <v>57</v>
      </c>
      <c r="R1024" t="s">
        <v>1833</v>
      </c>
      <c r="Y1024" t="s">
        <v>1834</v>
      </c>
      <c r="Z1024">
        <v>8536</v>
      </c>
      <c r="AE1024">
        <v>1709</v>
      </c>
      <c r="AF1024" s="4">
        <v>0.5</v>
      </c>
      <c r="AG1024">
        <f t="shared" si="99"/>
        <v>854.5</v>
      </c>
      <c r="AH1024" s="4">
        <v>0.18</v>
      </c>
      <c r="AI1024">
        <f t="shared" si="94"/>
        <v>1008.31</v>
      </c>
      <c r="AJ1024" s="4">
        <v>0.2</v>
      </c>
      <c r="AK1024">
        <f t="shared" si="95"/>
        <v>201.66</v>
      </c>
      <c r="AL1024">
        <f t="shared" si="96"/>
        <v>1209.97</v>
      </c>
      <c r="AM1024">
        <f t="shared" si="97"/>
        <v>499.03</v>
      </c>
      <c r="AN1024" s="4">
        <f t="shared" si="98"/>
        <v>0.292001170275015</v>
      </c>
      <c r="AO1024" t="s">
        <v>221</v>
      </c>
      <c r="AQ1024" t="s">
        <v>217</v>
      </c>
      <c r="AT1024" t="s">
        <v>869</v>
      </c>
    </row>
    <row r="1025" ht="15.75" customHeight="1" spans="1:46">
      <c r="A1025" t="s">
        <v>1796</v>
      </c>
      <c r="B1025" t="s">
        <v>212</v>
      </c>
      <c r="C1025" t="s">
        <v>1499</v>
      </c>
      <c r="D1025" t="s">
        <v>1797</v>
      </c>
      <c r="E1025" t="s">
        <v>1798</v>
      </c>
      <c r="F1025" t="s">
        <v>1799</v>
      </c>
      <c r="H1025" t="s">
        <v>1800</v>
      </c>
      <c r="I1025" t="s">
        <v>446</v>
      </c>
      <c r="J1025" t="s">
        <v>1570</v>
      </c>
      <c r="K1025" t="s">
        <v>1802</v>
      </c>
      <c r="L1025" t="s">
        <v>1803</v>
      </c>
      <c r="M1025" t="s">
        <v>1832</v>
      </c>
      <c r="Q1025" t="s">
        <v>57</v>
      </c>
      <c r="R1025" t="s">
        <v>1835</v>
      </c>
      <c r="Y1025" t="s">
        <v>1834</v>
      </c>
      <c r="Z1025">
        <v>8536</v>
      </c>
      <c r="AE1025">
        <v>1592</v>
      </c>
      <c r="AF1025" s="4">
        <v>0.5</v>
      </c>
      <c r="AG1025">
        <f t="shared" si="99"/>
        <v>796</v>
      </c>
      <c r="AH1025" s="4">
        <v>0.18</v>
      </c>
      <c r="AI1025">
        <f t="shared" si="94"/>
        <v>939.28</v>
      </c>
      <c r="AJ1025" s="4">
        <v>0.2</v>
      </c>
      <c r="AK1025">
        <f t="shared" si="95"/>
        <v>187.86</v>
      </c>
      <c r="AL1025">
        <f t="shared" si="96"/>
        <v>1127.14</v>
      </c>
      <c r="AM1025">
        <f t="shared" si="97"/>
        <v>464.86</v>
      </c>
      <c r="AN1025" s="4">
        <f t="shared" si="98"/>
        <v>0.291997487437186</v>
      </c>
      <c r="AO1025" t="s">
        <v>221</v>
      </c>
      <c r="AQ1025" t="s">
        <v>217</v>
      </c>
      <c r="AT1025" t="s">
        <v>869</v>
      </c>
    </row>
    <row r="1026" ht="15.75" customHeight="1" spans="1:46">
      <c r="A1026" t="s">
        <v>1796</v>
      </c>
      <c r="B1026" t="s">
        <v>213</v>
      </c>
      <c r="C1026" t="s">
        <v>1499</v>
      </c>
      <c r="D1026" t="s">
        <v>1797</v>
      </c>
      <c r="E1026" t="s">
        <v>1798</v>
      </c>
      <c r="F1026" t="s">
        <v>1799</v>
      </c>
      <c r="H1026" t="s">
        <v>1800</v>
      </c>
      <c r="I1026" t="s">
        <v>446</v>
      </c>
      <c r="J1026" t="s">
        <v>1570</v>
      </c>
      <c r="K1026" t="s">
        <v>1809</v>
      </c>
      <c r="L1026" t="s">
        <v>1803</v>
      </c>
      <c r="M1026" t="s">
        <v>1832</v>
      </c>
      <c r="Q1026" t="s">
        <v>57</v>
      </c>
      <c r="R1026" t="s">
        <v>1836</v>
      </c>
      <c r="Y1026" t="s">
        <v>1834</v>
      </c>
      <c r="Z1026">
        <v>8536</v>
      </c>
      <c r="AE1026">
        <v>2318</v>
      </c>
      <c r="AF1026" s="4">
        <v>0.5</v>
      </c>
      <c r="AG1026">
        <f t="shared" si="99"/>
        <v>1159</v>
      </c>
      <c r="AH1026" s="4">
        <v>0.18</v>
      </c>
      <c r="AI1026">
        <f t="shared" ref="AI1026:AI1089" si="100">ROUND(AG1026+(AG1026*AH1026),2)</f>
        <v>1367.62</v>
      </c>
      <c r="AJ1026" s="4">
        <v>0.2</v>
      </c>
      <c r="AK1026">
        <f t="shared" ref="AK1026:AK1089" si="101">ROUND(AI1026*AJ1026,2)</f>
        <v>273.52</v>
      </c>
      <c r="AL1026">
        <f t="shared" ref="AL1026:AL1089" si="102">AI1026+AK1026</f>
        <v>1641.14</v>
      </c>
      <c r="AM1026">
        <f t="shared" ref="AM1026:AM1089" si="103">AE1026-AL1026</f>
        <v>676.86</v>
      </c>
      <c r="AN1026" s="4">
        <f t="shared" ref="AN1026:AN1089" si="104">AM1026/AE1026</f>
        <v>0.292001725625539</v>
      </c>
      <c r="AO1026" t="s">
        <v>221</v>
      </c>
      <c r="AQ1026" t="s">
        <v>217</v>
      </c>
      <c r="AT1026" t="s">
        <v>869</v>
      </c>
    </row>
    <row r="1027" ht="15.75" customHeight="1" spans="1:46">
      <c r="A1027" t="s">
        <v>1796</v>
      </c>
      <c r="B1027" t="s">
        <v>1520</v>
      </c>
      <c r="C1027" t="s">
        <v>1499</v>
      </c>
      <c r="D1027" t="s">
        <v>1797</v>
      </c>
      <c r="E1027" t="s">
        <v>1798</v>
      </c>
      <c r="F1027" t="s">
        <v>1799</v>
      </c>
      <c r="H1027" t="s">
        <v>1800</v>
      </c>
      <c r="I1027" t="s">
        <v>446</v>
      </c>
      <c r="J1027" t="s">
        <v>1570</v>
      </c>
      <c r="K1027" t="s">
        <v>1815</v>
      </c>
      <c r="L1027" t="s">
        <v>1803</v>
      </c>
      <c r="M1027" t="s">
        <v>1832</v>
      </c>
      <c r="Q1027" t="s">
        <v>57</v>
      </c>
      <c r="R1027" t="s">
        <v>1837</v>
      </c>
      <c r="Y1027" t="s">
        <v>1834</v>
      </c>
      <c r="Z1027">
        <v>8536</v>
      </c>
      <c r="AE1027">
        <v>2428</v>
      </c>
      <c r="AF1027" s="4">
        <v>0.5</v>
      </c>
      <c r="AG1027">
        <f t="shared" si="99"/>
        <v>1214</v>
      </c>
      <c r="AH1027" s="4">
        <v>0.18</v>
      </c>
      <c r="AI1027">
        <f t="shared" si="100"/>
        <v>1432.52</v>
      </c>
      <c r="AJ1027" s="4">
        <v>0.2</v>
      </c>
      <c r="AK1027">
        <f t="shared" si="101"/>
        <v>286.5</v>
      </c>
      <c r="AL1027">
        <f t="shared" si="102"/>
        <v>1719.02</v>
      </c>
      <c r="AM1027">
        <f t="shared" si="103"/>
        <v>708.98</v>
      </c>
      <c r="AN1027" s="4">
        <f t="shared" si="104"/>
        <v>0.292001647446458</v>
      </c>
      <c r="AO1027" t="s">
        <v>221</v>
      </c>
      <c r="AQ1027" t="s">
        <v>217</v>
      </c>
      <c r="AT1027" t="s">
        <v>869</v>
      </c>
    </row>
    <row r="1028" ht="15.75" customHeight="1" spans="1:46">
      <c r="A1028" t="s">
        <v>1796</v>
      </c>
      <c r="B1028" t="s">
        <v>1521</v>
      </c>
      <c r="C1028" t="s">
        <v>1499</v>
      </c>
      <c r="D1028" t="s">
        <v>1797</v>
      </c>
      <c r="E1028" t="s">
        <v>1798</v>
      </c>
      <c r="F1028" t="s">
        <v>1799</v>
      </c>
      <c r="H1028" t="s">
        <v>1800</v>
      </c>
      <c r="I1028" t="s">
        <v>446</v>
      </c>
      <c r="J1028" t="s">
        <v>1570</v>
      </c>
      <c r="K1028" t="s">
        <v>1817</v>
      </c>
      <c r="L1028" t="s">
        <v>1803</v>
      </c>
      <c r="M1028" t="s">
        <v>1832</v>
      </c>
      <c r="Q1028" t="s">
        <v>57</v>
      </c>
      <c r="R1028" t="s">
        <v>1838</v>
      </c>
      <c r="Y1028" t="s">
        <v>1834</v>
      </c>
      <c r="Z1028">
        <v>8536</v>
      </c>
      <c r="AE1028">
        <v>8118</v>
      </c>
      <c r="AF1028" s="4">
        <v>0.5</v>
      </c>
      <c r="AG1028">
        <f t="shared" ref="AG1028:AG1091" si="105">ROUND(AE1028-(AE1028*AF1028),2)</f>
        <v>4059</v>
      </c>
      <c r="AH1028" s="4">
        <v>0.18</v>
      </c>
      <c r="AI1028">
        <f t="shared" si="100"/>
        <v>4789.62</v>
      </c>
      <c r="AJ1028" s="4">
        <v>0.2</v>
      </c>
      <c r="AK1028">
        <f t="shared" si="101"/>
        <v>957.92</v>
      </c>
      <c r="AL1028">
        <f t="shared" si="102"/>
        <v>5747.54</v>
      </c>
      <c r="AM1028">
        <f t="shared" si="103"/>
        <v>2370.46</v>
      </c>
      <c r="AN1028" s="4">
        <f t="shared" si="104"/>
        <v>0.2920004927322</v>
      </c>
      <c r="AO1028" t="s">
        <v>221</v>
      </c>
      <c r="AQ1028" t="s">
        <v>217</v>
      </c>
      <c r="AT1028" t="s">
        <v>869</v>
      </c>
    </row>
    <row r="1029" ht="15.75" customHeight="1" spans="1:46">
      <c r="A1029" t="s">
        <v>1796</v>
      </c>
      <c r="B1029" t="s">
        <v>1523</v>
      </c>
      <c r="C1029" t="s">
        <v>1499</v>
      </c>
      <c r="D1029" t="s">
        <v>1797</v>
      </c>
      <c r="E1029" t="s">
        <v>1798</v>
      </c>
      <c r="F1029" t="s">
        <v>1799</v>
      </c>
      <c r="H1029" t="s">
        <v>1800</v>
      </c>
      <c r="I1029" t="s">
        <v>446</v>
      </c>
      <c r="J1029" t="s">
        <v>1570</v>
      </c>
      <c r="K1029" t="s">
        <v>1819</v>
      </c>
      <c r="L1029" t="s">
        <v>1803</v>
      </c>
      <c r="M1029" t="s">
        <v>1832</v>
      </c>
      <c r="Q1029" t="s">
        <v>57</v>
      </c>
      <c r="R1029" t="s">
        <v>1839</v>
      </c>
      <c r="Y1029" t="s">
        <v>1834</v>
      </c>
      <c r="Z1029">
        <v>8536</v>
      </c>
      <c r="AE1029">
        <v>8543</v>
      </c>
      <c r="AF1029" s="4">
        <v>0.5</v>
      </c>
      <c r="AG1029">
        <f t="shared" si="105"/>
        <v>4271.5</v>
      </c>
      <c r="AH1029" s="4">
        <v>0.18</v>
      </c>
      <c r="AI1029">
        <f t="shared" si="100"/>
        <v>5040.37</v>
      </c>
      <c r="AJ1029" s="4">
        <v>0.2</v>
      </c>
      <c r="AK1029">
        <f t="shared" si="101"/>
        <v>1008.07</v>
      </c>
      <c r="AL1029">
        <f t="shared" si="102"/>
        <v>6048.44</v>
      </c>
      <c r="AM1029">
        <f t="shared" si="103"/>
        <v>2494.56</v>
      </c>
      <c r="AN1029" s="4">
        <f t="shared" si="104"/>
        <v>0.292000468219595</v>
      </c>
      <c r="AO1029" t="s">
        <v>221</v>
      </c>
      <c r="AQ1029" t="s">
        <v>217</v>
      </c>
      <c r="AT1029" t="s">
        <v>869</v>
      </c>
    </row>
    <row r="1030" ht="15.75" customHeight="1" spans="1:46">
      <c r="A1030" t="s">
        <v>1796</v>
      </c>
      <c r="B1030" t="s">
        <v>1524</v>
      </c>
      <c r="C1030" t="s">
        <v>1499</v>
      </c>
      <c r="D1030" t="s">
        <v>1797</v>
      </c>
      <c r="E1030" t="s">
        <v>1798</v>
      </c>
      <c r="F1030" t="s">
        <v>1799</v>
      </c>
      <c r="H1030" t="s">
        <v>1800</v>
      </c>
      <c r="I1030" t="s">
        <v>446</v>
      </c>
      <c r="J1030" t="s">
        <v>1570</v>
      </c>
      <c r="K1030" t="s">
        <v>1821</v>
      </c>
      <c r="L1030" t="s">
        <v>1803</v>
      </c>
      <c r="M1030" t="s">
        <v>1832</v>
      </c>
      <c r="Q1030" t="s">
        <v>57</v>
      </c>
      <c r="R1030" t="s">
        <v>1840</v>
      </c>
      <c r="Y1030" t="s">
        <v>1834</v>
      </c>
      <c r="Z1030">
        <v>8536</v>
      </c>
      <c r="AE1030">
        <v>9610</v>
      </c>
      <c r="AF1030" s="4">
        <v>0.5</v>
      </c>
      <c r="AG1030">
        <f t="shared" si="105"/>
        <v>4805</v>
      </c>
      <c r="AH1030" s="4">
        <v>0.18</v>
      </c>
      <c r="AI1030">
        <f t="shared" si="100"/>
        <v>5669.9</v>
      </c>
      <c r="AJ1030" s="4">
        <v>0.2</v>
      </c>
      <c r="AK1030">
        <f t="shared" si="101"/>
        <v>1133.98</v>
      </c>
      <c r="AL1030">
        <f t="shared" si="102"/>
        <v>6803.88</v>
      </c>
      <c r="AM1030">
        <f t="shared" si="103"/>
        <v>2806.12</v>
      </c>
      <c r="AN1030" s="4">
        <f t="shared" si="104"/>
        <v>0.292</v>
      </c>
      <c r="AO1030" t="s">
        <v>221</v>
      </c>
      <c r="AQ1030" t="s">
        <v>217</v>
      </c>
      <c r="AT1030" t="s">
        <v>869</v>
      </c>
    </row>
    <row r="1031" ht="15.75" customHeight="1" spans="1:46">
      <c r="A1031" t="s">
        <v>1796</v>
      </c>
      <c r="B1031" t="s">
        <v>1525</v>
      </c>
      <c r="C1031" t="s">
        <v>1499</v>
      </c>
      <c r="D1031" t="s">
        <v>1797</v>
      </c>
      <c r="E1031" t="s">
        <v>1798</v>
      </c>
      <c r="F1031" t="s">
        <v>1799</v>
      </c>
      <c r="H1031" t="s">
        <v>1800</v>
      </c>
      <c r="I1031" t="s">
        <v>446</v>
      </c>
      <c r="J1031" t="s">
        <v>1570</v>
      </c>
      <c r="K1031" t="s">
        <v>1810</v>
      </c>
      <c r="L1031" t="s">
        <v>1803</v>
      </c>
      <c r="M1031" t="s">
        <v>1841</v>
      </c>
      <c r="Q1031" t="s">
        <v>57</v>
      </c>
      <c r="R1031" t="s">
        <v>1842</v>
      </c>
      <c r="Y1031" t="s">
        <v>1843</v>
      </c>
      <c r="Z1031">
        <v>8536</v>
      </c>
      <c r="AE1031">
        <v>2664</v>
      </c>
      <c r="AF1031" s="4">
        <v>0.5</v>
      </c>
      <c r="AG1031">
        <f t="shared" si="105"/>
        <v>1332</v>
      </c>
      <c r="AH1031" s="4">
        <v>0.18</v>
      </c>
      <c r="AI1031">
        <f t="shared" si="100"/>
        <v>1571.76</v>
      </c>
      <c r="AJ1031" s="4">
        <v>0.2</v>
      </c>
      <c r="AK1031">
        <f t="shared" si="101"/>
        <v>314.35</v>
      </c>
      <c r="AL1031">
        <f t="shared" si="102"/>
        <v>1886.11</v>
      </c>
      <c r="AM1031">
        <f t="shared" si="103"/>
        <v>777.89</v>
      </c>
      <c r="AN1031" s="4">
        <f t="shared" si="104"/>
        <v>0.292000750750751</v>
      </c>
      <c r="AO1031" t="s">
        <v>221</v>
      </c>
      <c r="AQ1031" t="s">
        <v>217</v>
      </c>
      <c r="AT1031" t="s">
        <v>869</v>
      </c>
    </row>
    <row r="1032" ht="15.75" customHeight="1" spans="1:46">
      <c r="A1032" t="s">
        <v>1796</v>
      </c>
      <c r="B1032" t="s">
        <v>1526</v>
      </c>
      <c r="C1032" t="s">
        <v>1499</v>
      </c>
      <c r="D1032" t="s">
        <v>1797</v>
      </c>
      <c r="E1032" t="s">
        <v>1798</v>
      </c>
      <c r="F1032" t="s">
        <v>1799</v>
      </c>
      <c r="H1032" t="s">
        <v>1800</v>
      </c>
      <c r="I1032" t="s">
        <v>446</v>
      </c>
      <c r="J1032" t="s">
        <v>1570</v>
      </c>
      <c r="K1032" t="s">
        <v>1802</v>
      </c>
      <c r="L1032" t="s">
        <v>1803</v>
      </c>
      <c r="M1032" t="s">
        <v>1841</v>
      </c>
      <c r="Q1032" t="s">
        <v>57</v>
      </c>
      <c r="R1032" t="s">
        <v>1844</v>
      </c>
      <c r="Y1032" t="s">
        <v>1843</v>
      </c>
      <c r="Z1032">
        <v>8536</v>
      </c>
      <c r="AE1032">
        <v>2290</v>
      </c>
      <c r="AF1032" s="4">
        <v>0.5</v>
      </c>
      <c r="AG1032">
        <f t="shared" si="105"/>
        <v>1145</v>
      </c>
      <c r="AH1032" s="4">
        <v>0.18</v>
      </c>
      <c r="AI1032">
        <f t="shared" si="100"/>
        <v>1351.1</v>
      </c>
      <c r="AJ1032" s="4">
        <v>0.2</v>
      </c>
      <c r="AK1032">
        <f t="shared" si="101"/>
        <v>270.22</v>
      </c>
      <c r="AL1032">
        <f t="shared" si="102"/>
        <v>1621.32</v>
      </c>
      <c r="AM1032">
        <f t="shared" si="103"/>
        <v>668.68</v>
      </c>
      <c r="AN1032" s="4">
        <f t="shared" si="104"/>
        <v>0.292</v>
      </c>
      <c r="AO1032" t="s">
        <v>221</v>
      </c>
      <c r="AQ1032" t="s">
        <v>217</v>
      </c>
      <c r="AT1032" t="s">
        <v>869</v>
      </c>
    </row>
    <row r="1033" ht="15.75" customHeight="1" spans="1:46">
      <c r="A1033" t="s">
        <v>1796</v>
      </c>
      <c r="B1033" t="s">
        <v>1535</v>
      </c>
      <c r="C1033" t="s">
        <v>1499</v>
      </c>
      <c r="D1033" t="s">
        <v>1797</v>
      </c>
      <c r="E1033" t="s">
        <v>1798</v>
      </c>
      <c r="F1033" t="s">
        <v>1799</v>
      </c>
      <c r="H1033" t="s">
        <v>1800</v>
      </c>
      <c r="I1033" t="s">
        <v>446</v>
      </c>
      <c r="J1033" t="s">
        <v>1570</v>
      </c>
      <c r="K1033" t="s">
        <v>1809</v>
      </c>
      <c r="L1033" t="s">
        <v>1803</v>
      </c>
      <c r="M1033" t="s">
        <v>1841</v>
      </c>
      <c r="Q1033" t="s">
        <v>57</v>
      </c>
      <c r="R1033" t="s">
        <v>1845</v>
      </c>
      <c r="Y1033" t="s">
        <v>1843</v>
      </c>
      <c r="Z1033">
        <v>8536</v>
      </c>
      <c r="AE1033">
        <v>3083</v>
      </c>
      <c r="AF1033" s="4">
        <v>0.5</v>
      </c>
      <c r="AG1033">
        <f t="shared" si="105"/>
        <v>1541.5</v>
      </c>
      <c r="AH1033" s="4">
        <v>0.18</v>
      </c>
      <c r="AI1033">
        <f t="shared" si="100"/>
        <v>1818.97</v>
      </c>
      <c r="AJ1033" s="4">
        <v>0.2</v>
      </c>
      <c r="AK1033">
        <f t="shared" si="101"/>
        <v>363.79</v>
      </c>
      <c r="AL1033">
        <f t="shared" si="102"/>
        <v>2182.76</v>
      </c>
      <c r="AM1033">
        <f t="shared" si="103"/>
        <v>900.24</v>
      </c>
      <c r="AN1033" s="4">
        <f t="shared" si="104"/>
        <v>0.292001297437561</v>
      </c>
      <c r="AO1033" t="s">
        <v>221</v>
      </c>
      <c r="AQ1033" t="s">
        <v>217</v>
      </c>
      <c r="AT1033" t="s">
        <v>869</v>
      </c>
    </row>
    <row r="1034" ht="15.75" customHeight="1" spans="1:46">
      <c r="A1034" t="s">
        <v>1796</v>
      </c>
      <c r="B1034" t="s">
        <v>1537</v>
      </c>
      <c r="C1034" t="s">
        <v>1499</v>
      </c>
      <c r="D1034" t="s">
        <v>1797</v>
      </c>
      <c r="E1034" t="s">
        <v>1798</v>
      </c>
      <c r="F1034" t="s">
        <v>1799</v>
      </c>
      <c r="H1034" t="s">
        <v>1800</v>
      </c>
      <c r="I1034" t="s">
        <v>446</v>
      </c>
      <c r="J1034" t="s">
        <v>1570</v>
      </c>
      <c r="K1034" t="s">
        <v>1815</v>
      </c>
      <c r="L1034" t="s">
        <v>1803</v>
      </c>
      <c r="M1034" t="s">
        <v>1841</v>
      </c>
      <c r="Q1034" t="s">
        <v>57</v>
      </c>
      <c r="R1034" t="s">
        <v>1846</v>
      </c>
      <c r="Y1034" t="s">
        <v>1843</v>
      </c>
      <c r="Z1034">
        <v>8536</v>
      </c>
      <c r="AE1034">
        <v>3207</v>
      </c>
      <c r="AF1034" s="4">
        <v>0.5</v>
      </c>
      <c r="AG1034">
        <f t="shared" si="105"/>
        <v>1603.5</v>
      </c>
      <c r="AH1034" s="4">
        <v>0.18</v>
      </c>
      <c r="AI1034">
        <f t="shared" si="100"/>
        <v>1892.13</v>
      </c>
      <c r="AJ1034" s="4">
        <v>0.2</v>
      </c>
      <c r="AK1034">
        <f t="shared" si="101"/>
        <v>378.43</v>
      </c>
      <c r="AL1034">
        <f t="shared" si="102"/>
        <v>2270.56</v>
      </c>
      <c r="AM1034">
        <f t="shared" si="103"/>
        <v>936.44</v>
      </c>
      <c r="AN1034" s="4">
        <f t="shared" si="104"/>
        <v>0.291998752728407</v>
      </c>
      <c r="AO1034" t="s">
        <v>221</v>
      </c>
      <c r="AQ1034" t="s">
        <v>217</v>
      </c>
      <c r="AT1034" t="s">
        <v>869</v>
      </c>
    </row>
    <row r="1035" ht="15.75" customHeight="1" spans="1:46">
      <c r="A1035" t="s">
        <v>1796</v>
      </c>
      <c r="B1035" t="s">
        <v>1538</v>
      </c>
      <c r="C1035" t="s">
        <v>1499</v>
      </c>
      <c r="D1035" t="s">
        <v>1797</v>
      </c>
      <c r="E1035" t="s">
        <v>1798</v>
      </c>
      <c r="F1035" t="s">
        <v>1799</v>
      </c>
      <c r="H1035" t="s">
        <v>1800</v>
      </c>
      <c r="I1035" t="s">
        <v>446</v>
      </c>
      <c r="J1035" t="s">
        <v>1570</v>
      </c>
      <c r="K1035" t="s">
        <v>1817</v>
      </c>
      <c r="L1035" t="s">
        <v>1803</v>
      </c>
      <c r="M1035" t="s">
        <v>1841</v>
      </c>
      <c r="Q1035" t="s">
        <v>57</v>
      </c>
      <c r="R1035" t="s">
        <v>1847</v>
      </c>
      <c r="Y1035" t="s">
        <v>1843</v>
      </c>
      <c r="Z1035">
        <v>8536</v>
      </c>
      <c r="AE1035">
        <v>9742</v>
      </c>
      <c r="AF1035" s="4">
        <v>0.5</v>
      </c>
      <c r="AG1035">
        <f t="shared" si="105"/>
        <v>4871</v>
      </c>
      <c r="AH1035" s="4">
        <v>0.18</v>
      </c>
      <c r="AI1035">
        <f t="shared" si="100"/>
        <v>5747.78</v>
      </c>
      <c r="AJ1035" s="4">
        <v>0.2</v>
      </c>
      <c r="AK1035">
        <f t="shared" si="101"/>
        <v>1149.56</v>
      </c>
      <c r="AL1035">
        <f t="shared" si="102"/>
        <v>6897.34</v>
      </c>
      <c r="AM1035">
        <f t="shared" si="103"/>
        <v>2844.66</v>
      </c>
      <c r="AN1035" s="4">
        <f t="shared" si="104"/>
        <v>0.291999589406693</v>
      </c>
      <c r="AO1035" t="s">
        <v>221</v>
      </c>
      <c r="AQ1035" t="s">
        <v>217</v>
      </c>
      <c r="AT1035" t="s">
        <v>869</v>
      </c>
    </row>
    <row r="1036" ht="15.75" customHeight="1" spans="1:46">
      <c r="A1036" t="s">
        <v>1796</v>
      </c>
      <c r="B1036" t="s">
        <v>1539</v>
      </c>
      <c r="C1036" t="s">
        <v>1499</v>
      </c>
      <c r="D1036" t="s">
        <v>1797</v>
      </c>
      <c r="E1036" t="s">
        <v>1798</v>
      </c>
      <c r="F1036" t="s">
        <v>1799</v>
      </c>
      <c r="H1036" t="s">
        <v>1800</v>
      </c>
      <c r="I1036" t="s">
        <v>446</v>
      </c>
      <c r="J1036" t="s">
        <v>1570</v>
      </c>
      <c r="K1036" t="s">
        <v>1819</v>
      </c>
      <c r="L1036" t="s">
        <v>1803</v>
      </c>
      <c r="M1036" t="s">
        <v>1841</v>
      </c>
      <c r="Q1036" t="s">
        <v>57</v>
      </c>
      <c r="R1036" t="s">
        <v>1848</v>
      </c>
      <c r="Y1036" t="s">
        <v>1843</v>
      </c>
      <c r="Z1036">
        <v>8536</v>
      </c>
      <c r="AE1036">
        <v>10642</v>
      </c>
      <c r="AF1036" s="4">
        <v>0.5</v>
      </c>
      <c r="AG1036">
        <f t="shared" si="105"/>
        <v>5321</v>
      </c>
      <c r="AH1036" s="4">
        <v>0.18</v>
      </c>
      <c r="AI1036">
        <f t="shared" si="100"/>
        <v>6278.78</v>
      </c>
      <c r="AJ1036" s="4">
        <v>0.2</v>
      </c>
      <c r="AK1036">
        <f t="shared" si="101"/>
        <v>1255.76</v>
      </c>
      <c r="AL1036">
        <f t="shared" si="102"/>
        <v>7534.54</v>
      </c>
      <c r="AM1036">
        <f t="shared" si="103"/>
        <v>3107.46</v>
      </c>
      <c r="AN1036" s="4">
        <f t="shared" si="104"/>
        <v>0.291999624130802</v>
      </c>
      <c r="AO1036" t="s">
        <v>221</v>
      </c>
      <c r="AQ1036" t="s">
        <v>217</v>
      </c>
      <c r="AT1036" t="s">
        <v>869</v>
      </c>
    </row>
    <row r="1037" ht="15.75" customHeight="1" spans="1:46">
      <c r="A1037" t="s">
        <v>1796</v>
      </c>
      <c r="B1037" t="s">
        <v>1540</v>
      </c>
      <c r="C1037" t="s">
        <v>1499</v>
      </c>
      <c r="D1037" t="s">
        <v>1797</v>
      </c>
      <c r="E1037" t="s">
        <v>1798</v>
      </c>
      <c r="F1037" t="s">
        <v>1799</v>
      </c>
      <c r="H1037" t="s">
        <v>1800</v>
      </c>
      <c r="I1037" t="s">
        <v>446</v>
      </c>
      <c r="J1037" t="s">
        <v>1570</v>
      </c>
      <c r="K1037" t="s">
        <v>1821</v>
      </c>
      <c r="L1037" t="s">
        <v>1803</v>
      </c>
      <c r="M1037" t="s">
        <v>1841</v>
      </c>
      <c r="Q1037" t="s">
        <v>57</v>
      </c>
      <c r="R1037" t="s">
        <v>1849</v>
      </c>
      <c r="Y1037" t="s">
        <v>1843</v>
      </c>
      <c r="Z1037">
        <v>8536</v>
      </c>
      <c r="AE1037">
        <v>11296</v>
      </c>
      <c r="AF1037" s="4">
        <v>0.5</v>
      </c>
      <c r="AG1037">
        <f t="shared" si="105"/>
        <v>5648</v>
      </c>
      <c r="AH1037" s="4">
        <v>0.18</v>
      </c>
      <c r="AI1037">
        <f t="shared" si="100"/>
        <v>6664.64</v>
      </c>
      <c r="AJ1037" s="4">
        <v>0.2</v>
      </c>
      <c r="AK1037">
        <f t="shared" si="101"/>
        <v>1332.93</v>
      </c>
      <c r="AL1037">
        <f t="shared" si="102"/>
        <v>7997.57</v>
      </c>
      <c r="AM1037">
        <f t="shared" si="103"/>
        <v>3298.43</v>
      </c>
      <c r="AN1037" s="4">
        <f t="shared" si="104"/>
        <v>0.291999822946176</v>
      </c>
      <c r="AO1037" t="s">
        <v>221</v>
      </c>
      <c r="AQ1037" t="s">
        <v>217</v>
      </c>
      <c r="AT1037" t="s">
        <v>869</v>
      </c>
    </row>
    <row r="1038" ht="15.75" customHeight="1" spans="1:46">
      <c r="A1038" t="s">
        <v>1796</v>
      </c>
      <c r="B1038" t="s">
        <v>1541</v>
      </c>
      <c r="C1038" t="s">
        <v>1499</v>
      </c>
      <c r="D1038" t="s">
        <v>1797</v>
      </c>
      <c r="E1038" t="s">
        <v>1798</v>
      </c>
      <c r="F1038" t="s">
        <v>1799</v>
      </c>
      <c r="H1038" t="s">
        <v>1800</v>
      </c>
      <c r="I1038" t="s">
        <v>446</v>
      </c>
      <c r="J1038" t="s">
        <v>1570</v>
      </c>
      <c r="K1038" t="s">
        <v>1810</v>
      </c>
      <c r="L1038" t="s">
        <v>1803</v>
      </c>
      <c r="M1038" t="s">
        <v>1850</v>
      </c>
      <c r="Q1038" t="s">
        <v>57</v>
      </c>
      <c r="R1038" t="s">
        <v>1851</v>
      </c>
      <c r="Y1038" t="s">
        <v>1852</v>
      </c>
      <c r="Z1038">
        <v>8536</v>
      </c>
      <c r="AE1038">
        <v>1142</v>
      </c>
      <c r="AF1038" s="4">
        <v>0.5</v>
      </c>
      <c r="AG1038">
        <f t="shared" si="105"/>
        <v>571</v>
      </c>
      <c r="AH1038" s="4">
        <v>0.18</v>
      </c>
      <c r="AI1038">
        <f t="shared" si="100"/>
        <v>673.78</v>
      </c>
      <c r="AJ1038" s="4">
        <v>0.2</v>
      </c>
      <c r="AK1038">
        <f t="shared" si="101"/>
        <v>134.76</v>
      </c>
      <c r="AL1038">
        <f t="shared" si="102"/>
        <v>808.54</v>
      </c>
      <c r="AM1038">
        <f t="shared" si="103"/>
        <v>333.46</v>
      </c>
      <c r="AN1038" s="4">
        <f t="shared" si="104"/>
        <v>0.29199649737303</v>
      </c>
      <c r="AO1038" t="s">
        <v>221</v>
      </c>
      <c r="AQ1038" t="s">
        <v>217</v>
      </c>
      <c r="AT1038" t="s">
        <v>869</v>
      </c>
    </row>
    <row r="1039" ht="15.75" customHeight="1" spans="1:46">
      <c r="A1039" t="s">
        <v>1796</v>
      </c>
      <c r="B1039" t="s">
        <v>1543</v>
      </c>
      <c r="C1039" t="s">
        <v>1499</v>
      </c>
      <c r="D1039" t="s">
        <v>1797</v>
      </c>
      <c r="E1039" t="s">
        <v>1798</v>
      </c>
      <c r="F1039" t="s">
        <v>1799</v>
      </c>
      <c r="H1039" t="s">
        <v>1800</v>
      </c>
      <c r="I1039" t="s">
        <v>446</v>
      </c>
      <c r="J1039" t="s">
        <v>1570</v>
      </c>
      <c r="K1039" t="s">
        <v>1802</v>
      </c>
      <c r="L1039" t="s">
        <v>1803</v>
      </c>
      <c r="M1039" t="s">
        <v>1850</v>
      </c>
      <c r="Q1039" t="s">
        <v>57</v>
      </c>
      <c r="R1039" t="s">
        <v>1853</v>
      </c>
      <c r="Y1039" t="s">
        <v>1852</v>
      </c>
      <c r="Z1039">
        <v>8536</v>
      </c>
      <c r="AE1039">
        <v>986</v>
      </c>
      <c r="AF1039" s="4">
        <v>0.5</v>
      </c>
      <c r="AG1039">
        <f t="shared" si="105"/>
        <v>493</v>
      </c>
      <c r="AH1039" s="4">
        <v>0.18</v>
      </c>
      <c r="AI1039">
        <f t="shared" si="100"/>
        <v>581.74</v>
      </c>
      <c r="AJ1039" s="4">
        <v>0.2</v>
      </c>
      <c r="AK1039">
        <f t="shared" si="101"/>
        <v>116.35</v>
      </c>
      <c r="AL1039">
        <f t="shared" si="102"/>
        <v>698.09</v>
      </c>
      <c r="AM1039">
        <f t="shared" si="103"/>
        <v>287.91</v>
      </c>
      <c r="AN1039" s="4">
        <f t="shared" si="104"/>
        <v>0.291997971602434</v>
      </c>
      <c r="AO1039" t="s">
        <v>221</v>
      </c>
      <c r="AQ1039" t="s">
        <v>217</v>
      </c>
      <c r="AT1039" t="s">
        <v>869</v>
      </c>
    </row>
    <row r="1040" ht="15.75" customHeight="1" spans="1:46">
      <c r="A1040" t="s">
        <v>1796</v>
      </c>
      <c r="B1040" t="s">
        <v>1544</v>
      </c>
      <c r="C1040" t="s">
        <v>1499</v>
      </c>
      <c r="D1040" t="s">
        <v>1797</v>
      </c>
      <c r="E1040" t="s">
        <v>1798</v>
      </c>
      <c r="F1040" t="s">
        <v>1799</v>
      </c>
      <c r="H1040" t="s">
        <v>1800</v>
      </c>
      <c r="I1040" t="s">
        <v>446</v>
      </c>
      <c r="J1040" t="s">
        <v>1570</v>
      </c>
      <c r="K1040" t="s">
        <v>1809</v>
      </c>
      <c r="L1040" t="s">
        <v>1803</v>
      </c>
      <c r="M1040" t="s">
        <v>1850</v>
      </c>
      <c r="Q1040" t="s">
        <v>57</v>
      </c>
      <c r="R1040" t="s">
        <v>1854</v>
      </c>
      <c r="Y1040" t="s">
        <v>1852</v>
      </c>
      <c r="Z1040">
        <v>8536</v>
      </c>
      <c r="AE1040">
        <v>1469</v>
      </c>
      <c r="AF1040" s="4">
        <v>0.5</v>
      </c>
      <c r="AG1040">
        <f t="shared" si="105"/>
        <v>734.5</v>
      </c>
      <c r="AH1040" s="4">
        <v>0.18</v>
      </c>
      <c r="AI1040">
        <f t="shared" si="100"/>
        <v>866.71</v>
      </c>
      <c r="AJ1040" s="4">
        <v>0.2</v>
      </c>
      <c r="AK1040">
        <f t="shared" si="101"/>
        <v>173.34</v>
      </c>
      <c r="AL1040">
        <f t="shared" si="102"/>
        <v>1040.05</v>
      </c>
      <c r="AM1040">
        <f t="shared" si="103"/>
        <v>428.95</v>
      </c>
      <c r="AN1040" s="4">
        <f t="shared" si="104"/>
        <v>0.292001361470388</v>
      </c>
      <c r="AO1040" t="s">
        <v>221</v>
      </c>
      <c r="AQ1040" t="s">
        <v>217</v>
      </c>
      <c r="AT1040" t="s">
        <v>869</v>
      </c>
    </row>
    <row r="1041" ht="15.75" customHeight="1" spans="1:46">
      <c r="A1041" t="s">
        <v>1796</v>
      </c>
      <c r="B1041" t="s">
        <v>1545</v>
      </c>
      <c r="C1041" t="s">
        <v>1499</v>
      </c>
      <c r="D1041" t="s">
        <v>1797</v>
      </c>
      <c r="E1041" t="s">
        <v>1798</v>
      </c>
      <c r="F1041" t="s">
        <v>1799</v>
      </c>
      <c r="H1041" t="s">
        <v>1800</v>
      </c>
      <c r="I1041" t="s">
        <v>446</v>
      </c>
      <c r="J1041" t="s">
        <v>1570</v>
      </c>
      <c r="K1041" t="s">
        <v>1815</v>
      </c>
      <c r="L1041" t="s">
        <v>1803</v>
      </c>
      <c r="M1041" t="s">
        <v>1850</v>
      </c>
      <c r="Q1041" t="s">
        <v>57</v>
      </c>
      <c r="R1041" t="s">
        <v>1855</v>
      </c>
      <c r="Y1041" t="s">
        <v>1852</v>
      </c>
      <c r="Z1041">
        <v>8536</v>
      </c>
      <c r="AE1041">
        <v>1562</v>
      </c>
      <c r="AF1041" s="4">
        <v>0.5</v>
      </c>
      <c r="AG1041">
        <f t="shared" si="105"/>
        <v>781</v>
      </c>
      <c r="AH1041" s="4">
        <v>0.18</v>
      </c>
      <c r="AI1041">
        <f t="shared" si="100"/>
        <v>921.58</v>
      </c>
      <c r="AJ1041" s="4">
        <v>0.2</v>
      </c>
      <c r="AK1041">
        <f t="shared" si="101"/>
        <v>184.32</v>
      </c>
      <c r="AL1041">
        <f t="shared" si="102"/>
        <v>1105.9</v>
      </c>
      <c r="AM1041">
        <f t="shared" si="103"/>
        <v>456.1</v>
      </c>
      <c r="AN1041" s="4">
        <f t="shared" si="104"/>
        <v>0.291997439180538</v>
      </c>
      <c r="AO1041" t="s">
        <v>221</v>
      </c>
      <c r="AQ1041" t="s">
        <v>217</v>
      </c>
      <c r="AT1041" t="s">
        <v>869</v>
      </c>
    </row>
    <row r="1042" ht="15.75" customHeight="1" spans="1:46">
      <c r="A1042" t="s">
        <v>1796</v>
      </c>
      <c r="B1042" t="s">
        <v>1546</v>
      </c>
      <c r="C1042" t="s">
        <v>1499</v>
      </c>
      <c r="D1042" t="s">
        <v>1797</v>
      </c>
      <c r="E1042" t="s">
        <v>1798</v>
      </c>
      <c r="F1042" t="s">
        <v>1799</v>
      </c>
      <c r="H1042" t="s">
        <v>1800</v>
      </c>
      <c r="I1042" t="s">
        <v>1856</v>
      </c>
      <c r="J1042" t="s">
        <v>1570</v>
      </c>
      <c r="K1042" t="s">
        <v>1575</v>
      </c>
      <c r="L1042" t="s">
        <v>1803</v>
      </c>
      <c r="M1042" t="s">
        <v>1823</v>
      </c>
      <c r="Q1042" t="s">
        <v>57</v>
      </c>
      <c r="R1042" t="s">
        <v>1857</v>
      </c>
      <c r="Y1042" t="s">
        <v>1858</v>
      </c>
      <c r="Z1042">
        <v>8536</v>
      </c>
      <c r="AE1042">
        <v>1125</v>
      </c>
      <c r="AF1042" s="4">
        <v>0.5</v>
      </c>
      <c r="AG1042">
        <f t="shared" si="105"/>
        <v>562.5</v>
      </c>
      <c r="AH1042" s="4">
        <v>0.18</v>
      </c>
      <c r="AI1042">
        <f t="shared" si="100"/>
        <v>663.75</v>
      </c>
      <c r="AJ1042" s="4">
        <v>0.2</v>
      </c>
      <c r="AK1042">
        <f t="shared" si="101"/>
        <v>132.75</v>
      </c>
      <c r="AL1042">
        <f t="shared" si="102"/>
        <v>796.5</v>
      </c>
      <c r="AM1042">
        <f t="shared" si="103"/>
        <v>328.5</v>
      </c>
      <c r="AN1042" s="4">
        <f t="shared" si="104"/>
        <v>0.292</v>
      </c>
      <c r="AO1042" t="s">
        <v>221</v>
      </c>
      <c r="AQ1042" t="s">
        <v>217</v>
      </c>
      <c r="AT1042" t="s">
        <v>869</v>
      </c>
    </row>
    <row r="1043" ht="15.75" customHeight="1" spans="1:46">
      <c r="A1043" t="s">
        <v>1796</v>
      </c>
      <c r="B1043" t="s">
        <v>1859</v>
      </c>
      <c r="C1043" t="s">
        <v>1499</v>
      </c>
      <c r="D1043" t="s">
        <v>1797</v>
      </c>
      <c r="E1043" t="s">
        <v>1798</v>
      </c>
      <c r="F1043" t="s">
        <v>1799</v>
      </c>
      <c r="H1043" t="s">
        <v>1800</v>
      </c>
      <c r="I1043" t="s">
        <v>1856</v>
      </c>
      <c r="J1043" t="s">
        <v>1570</v>
      </c>
      <c r="K1043" t="s">
        <v>1672</v>
      </c>
      <c r="L1043" t="s">
        <v>1803</v>
      </c>
      <c r="M1043" t="s">
        <v>1823</v>
      </c>
      <c r="Q1043" t="s">
        <v>57</v>
      </c>
      <c r="R1043" t="s">
        <v>1860</v>
      </c>
      <c r="Y1043" t="s">
        <v>1858</v>
      </c>
      <c r="Z1043">
        <v>8536</v>
      </c>
      <c r="AE1043">
        <v>1125</v>
      </c>
      <c r="AF1043" s="4">
        <v>0.5</v>
      </c>
      <c r="AG1043">
        <f t="shared" si="105"/>
        <v>562.5</v>
      </c>
      <c r="AH1043" s="4">
        <v>0.18</v>
      </c>
      <c r="AI1043">
        <f t="shared" si="100"/>
        <v>663.75</v>
      </c>
      <c r="AJ1043" s="4">
        <v>0.2</v>
      </c>
      <c r="AK1043">
        <f t="shared" si="101"/>
        <v>132.75</v>
      </c>
      <c r="AL1043">
        <f t="shared" si="102"/>
        <v>796.5</v>
      </c>
      <c r="AM1043">
        <f t="shared" si="103"/>
        <v>328.5</v>
      </c>
      <c r="AN1043" s="4">
        <f t="shared" si="104"/>
        <v>0.292</v>
      </c>
      <c r="AO1043" t="s">
        <v>221</v>
      </c>
      <c r="AQ1043" t="s">
        <v>217</v>
      </c>
      <c r="AT1043" t="s">
        <v>869</v>
      </c>
    </row>
    <row r="1044" ht="15.75" customHeight="1" spans="1:46">
      <c r="A1044" t="s">
        <v>1796</v>
      </c>
      <c r="B1044" t="s">
        <v>1861</v>
      </c>
      <c r="C1044" t="s">
        <v>1499</v>
      </c>
      <c r="D1044" t="s">
        <v>1797</v>
      </c>
      <c r="E1044" t="s">
        <v>1798</v>
      </c>
      <c r="F1044" t="s">
        <v>1799</v>
      </c>
      <c r="H1044" t="s">
        <v>1800</v>
      </c>
      <c r="I1044" t="s">
        <v>1856</v>
      </c>
      <c r="J1044" t="s">
        <v>1570</v>
      </c>
      <c r="K1044" t="s">
        <v>1807</v>
      </c>
      <c r="L1044" t="s">
        <v>1803</v>
      </c>
      <c r="M1044" t="s">
        <v>1823</v>
      </c>
      <c r="Q1044" t="s">
        <v>57</v>
      </c>
      <c r="R1044" t="s">
        <v>1862</v>
      </c>
      <c r="Y1044" t="s">
        <v>1858</v>
      </c>
      <c r="Z1044">
        <v>8536</v>
      </c>
      <c r="AE1044">
        <v>1125</v>
      </c>
      <c r="AF1044" s="4">
        <v>0.5</v>
      </c>
      <c r="AG1044">
        <f t="shared" si="105"/>
        <v>562.5</v>
      </c>
      <c r="AH1044" s="4">
        <v>0.18</v>
      </c>
      <c r="AI1044">
        <f t="shared" si="100"/>
        <v>663.75</v>
      </c>
      <c r="AJ1044" s="4">
        <v>0.2</v>
      </c>
      <c r="AK1044">
        <f t="shared" si="101"/>
        <v>132.75</v>
      </c>
      <c r="AL1044">
        <f t="shared" si="102"/>
        <v>796.5</v>
      </c>
      <c r="AM1044">
        <f t="shared" si="103"/>
        <v>328.5</v>
      </c>
      <c r="AN1044" s="4">
        <f t="shared" si="104"/>
        <v>0.292</v>
      </c>
      <c r="AO1044" t="s">
        <v>221</v>
      </c>
      <c r="AQ1044" t="s">
        <v>217</v>
      </c>
      <c r="AT1044" t="s">
        <v>869</v>
      </c>
    </row>
    <row r="1045" ht="15.75" customHeight="1" spans="1:46">
      <c r="A1045" t="s">
        <v>1796</v>
      </c>
      <c r="B1045" t="s">
        <v>1863</v>
      </c>
      <c r="C1045" t="s">
        <v>1499</v>
      </c>
      <c r="D1045" t="s">
        <v>1797</v>
      </c>
      <c r="E1045" t="s">
        <v>1798</v>
      </c>
      <c r="F1045" t="s">
        <v>1799</v>
      </c>
      <c r="H1045" t="s">
        <v>1800</v>
      </c>
      <c r="I1045" t="s">
        <v>1856</v>
      </c>
      <c r="J1045" t="s">
        <v>1570</v>
      </c>
      <c r="K1045" t="s">
        <v>1808</v>
      </c>
      <c r="L1045" t="s">
        <v>1803</v>
      </c>
      <c r="M1045" t="s">
        <v>1823</v>
      </c>
      <c r="Q1045" t="s">
        <v>57</v>
      </c>
      <c r="R1045" t="s">
        <v>1864</v>
      </c>
      <c r="Y1045" t="s">
        <v>1858</v>
      </c>
      <c r="Z1045">
        <v>8536</v>
      </c>
      <c r="AE1045">
        <v>1125</v>
      </c>
      <c r="AF1045" s="4">
        <v>0.5</v>
      </c>
      <c r="AG1045">
        <f t="shared" si="105"/>
        <v>562.5</v>
      </c>
      <c r="AH1045" s="4">
        <v>0.18</v>
      </c>
      <c r="AI1045">
        <f t="shared" si="100"/>
        <v>663.75</v>
      </c>
      <c r="AJ1045" s="4">
        <v>0.2</v>
      </c>
      <c r="AK1045">
        <f t="shared" si="101"/>
        <v>132.75</v>
      </c>
      <c r="AL1045">
        <f t="shared" si="102"/>
        <v>796.5</v>
      </c>
      <c r="AM1045">
        <f t="shared" si="103"/>
        <v>328.5</v>
      </c>
      <c r="AN1045" s="4">
        <f t="shared" si="104"/>
        <v>0.292</v>
      </c>
      <c r="AO1045" t="s">
        <v>221</v>
      </c>
      <c r="AQ1045" t="s">
        <v>217</v>
      </c>
      <c r="AT1045" t="s">
        <v>869</v>
      </c>
    </row>
    <row r="1046" ht="15.75" customHeight="1" spans="1:46">
      <c r="A1046" t="s">
        <v>1865</v>
      </c>
      <c r="B1046" t="s">
        <v>46</v>
      </c>
      <c r="C1046" t="s">
        <v>1499</v>
      </c>
      <c r="D1046" t="s">
        <v>1797</v>
      </c>
      <c r="E1046" t="s">
        <v>1798</v>
      </c>
      <c r="F1046" t="s">
        <v>1866</v>
      </c>
      <c r="H1046" t="s">
        <v>1867</v>
      </c>
      <c r="I1046" t="s">
        <v>1868</v>
      </c>
      <c r="J1046" t="s">
        <v>1570</v>
      </c>
      <c r="K1046" t="s">
        <v>1575</v>
      </c>
      <c r="L1046" t="s">
        <v>1803</v>
      </c>
      <c r="M1046" t="s">
        <v>1823</v>
      </c>
      <c r="Q1046" t="s">
        <v>57</v>
      </c>
      <c r="R1046" t="s">
        <v>1869</v>
      </c>
      <c r="Y1046" t="s">
        <v>1870</v>
      </c>
      <c r="Z1046">
        <v>8536</v>
      </c>
      <c r="AE1046">
        <v>3937</v>
      </c>
      <c r="AF1046" s="4">
        <v>0.5</v>
      </c>
      <c r="AG1046">
        <f t="shared" si="105"/>
        <v>1968.5</v>
      </c>
      <c r="AH1046" s="4">
        <v>0.18</v>
      </c>
      <c r="AI1046">
        <f t="shared" si="100"/>
        <v>2322.83</v>
      </c>
      <c r="AJ1046" s="4">
        <v>0.2</v>
      </c>
      <c r="AK1046">
        <f t="shared" si="101"/>
        <v>464.57</v>
      </c>
      <c r="AL1046">
        <f t="shared" si="102"/>
        <v>2787.4</v>
      </c>
      <c r="AM1046">
        <f t="shared" si="103"/>
        <v>1149.6</v>
      </c>
      <c r="AN1046" s="4">
        <f t="shared" si="104"/>
        <v>0.291998983997968</v>
      </c>
      <c r="AO1046" t="s">
        <v>221</v>
      </c>
      <c r="AQ1046" t="s">
        <v>217</v>
      </c>
      <c r="AT1046" t="s">
        <v>869</v>
      </c>
    </row>
    <row r="1047" ht="15.75" customHeight="1" spans="1:46">
      <c r="A1047" t="s">
        <v>1865</v>
      </c>
      <c r="B1047" t="s">
        <v>67</v>
      </c>
      <c r="C1047" t="s">
        <v>1499</v>
      </c>
      <c r="D1047" t="s">
        <v>1797</v>
      </c>
      <c r="E1047" t="s">
        <v>1798</v>
      </c>
      <c r="F1047" t="s">
        <v>1866</v>
      </c>
      <c r="H1047" t="s">
        <v>1867</v>
      </c>
      <c r="I1047" t="s">
        <v>1868</v>
      </c>
      <c r="J1047" t="s">
        <v>1570</v>
      </c>
      <c r="K1047" t="s">
        <v>1807</v>
      </c>
      <c r="L1047" t="s">
        <v>1803</v>
      </c>
      <c r="M1047" t="s">
        <v>1823</v>
      </c>
      <c r="Q1047" t="s">
        <v>57</v>
      </c>
      <c r="R1047" t="s">
        <v>1871</v>
      </c>
      <c r="Y1047" t="s">
        <v>1870</v>
      </c>
      <c r="Z1047">
        <v>8536</v>
      </c>
      <c r="AE1047">
        <v>3937</v>
      </c>
      <c r="AF1047" s="4">
        <v>0.5</v>
      </c>
      <c r="AG1047">
        <f t="shared" si="105"/>
        <v>1968.5</v>
      </c>
      <c r="AH1047" s="4">
        <v>0.18</v>
      </c>
      <c r="AI1047">
        <f t="shared" si="100"/>
        <v>2322.83</v>
      </c>
      <c r="AJ1047" s="4">
        <v>0.2</v>
      </c>
      <c r="AK1047">
        <f t="shared" si="101"/>
        <v>464.57</v>
      </c>
      <c r="AL1047">
        <f t="shared" si="102"/>
        <v>2787.4</v>
      </c>
      <c r="AM1047">
        <f t="shared" si="103"/>
        <v>1149.6</v>
      </c>
      <c r="AN1047" s="4">
        <f t="shared" si="104"/>
        <v>0.291998983997968</v>
      </c>
      <c r="AO1047" t="s">
        <v>221</v>
      </c>
      <c r="AQ1047" t="s">
        <v>217</v>
      </c>
      <c r="AT1047" t="s">
        <v>869</v>
      </c>
    </row>
    <row r="1048" ht="15.75" customHeight="1" spans="1:46">
      <c r="A1048" t="s">
        <v>1865</v>
      </c>
      <c r="B1048" t="s">
        <v>71</v>
      </c>
      <c r="C1048" t="s">
        <v>1499</v>
      </c>
      <c r="D1048" t="s">
        <v>1797</v>
      </c>
      <c r="E1048" t="s">
        <v>1798</v>
      </c>
      <c r="F1048" t="s">
        <v>1866</v>
      </c>
      <c r="H1048" t="s">
        <v>1867</v>
      </c>
      <c r="I1048" t="s">
        <v>1868</v>
      </c>
      <c r="J1048" t="s">
        <v>1570</v>
      </c>
      <c r="K1048" t="s">
        <v>1808</v>
      </c>
      <c r="L1048" t="s">
        <v>1803</v>
      </c>
      <c r="M1048" t="s">
        <v>1823</v>
      </c>
      <c r="Q1048" t="s">
        <v>57</v>
      </c>
      <c r="R1048" t="s">
        <v>1872</v>
      </c>
      <c r="Y1048" t="s">
        <v>1870</v>
      </c>
      <c r="Z1048">
        <v>8536</v>
      </c>
      <c r="AE1048">
        <v>3966</v>
      </c>
      <c r="AF1048" s="4">
        <v>0.5</v>
      </c>
      <c r="AG1048">
        <f t="shared" si="105"/>
        <v>1983</v>
      </c>
      <c r="AH1048" s="4">
        <v>0.18</v>
      </c>
      <c r="AI1048">
        <f t="shared" si="100"/>
        <v>2339.94</v>
      </c>
      <c r="AJ1048" s="4">
        <v>0.2</v>
      </c>
      <c r="AK1048">
        <f t="shared" si="101"/>
        <v>467.99</v>
      </c>
      <c r="AL1048">
        <f t="shared" si="102"/>
        <v>2807.93</v>
      </c>
      <c r="AM1048">
        <f t="shared" si="103"/>
        <v>1158.07</v>
      </c>
      <c r="AN1048" s="4">
        <f t="shared" si="104"/>
        <v>0.291999495713565</v>
      </c>
      <c r="AO1048" t="s">
        <v>221</v>
      </c>
      <c r="AQ1048" t="s">
        <v>217</v>
      </c>
      <c r="AT1048" t="s">
        <v>869</v>
      </c>
    </row>
    <row r="1049" ht="15.75" customHeight="1" spans="1:46">
      <c r="A1049" t="s">
        <v>1865</v>
      </c>
      <c r="B1049" t="s">
        <v>75</v>
      </c>
      <c r="C1049" t="s">
        <v>1499</v>
      </c>
      <c r="D1049" t="s">
        <v>1797</v>
      </c>
      <c r="E1049" t="s">
        <v>1798</v>
      </c>
      <c r="F1049" t="s">
        <v>1866</v>
      </c>
      <c r="H1049" t="s">
        <v>1867</v>
      </c>
      <c r="I1049" t="s">
        <v>1868</v>
      </c>
      <c r="J1049" t="s">
        <v>1570</v>
      </c>
      <c r="K1049" t="s">
        <v>1809</v>
      </c>
      <c r="L1049" t="s">
        <v>1803</v>
      </c>
      <c r="M1049" t="s">
        <v>1823</v>
      </c>
      <c r="Q1049" t="s">
        <v>57</v>
      </c>
      <c r="R1049" t="s">
        <v>1873</v>
      </c>
      <c r="Y1049" t="s">
        <v>1870</v>
      </c>
      <c r="Z1049">
        <v>8536</v>
      </c>
      <c r="AE1049">
        <v>3966</v>
      </c>
      <c r="AF1049" s="4">
        <v>0.5</v>
      </c>
      <c r="AG1049">
        <f t="shared" si="105"/>
        <v>1983</v>
      </c>
      <c r="AH1049" s="4">
        <v>0.18</v>
      </c>
      <c r="AI1049">
        <f t="shared" si="100"/>
        <v>2339.94</v>
      </c>
      <c r="AJ1049" s="4">
        <v>0.2</v>
      </c>
      <c r="AK1049">
        <f t="shared" si="101"/>
        <v>467.99</v>
      </c>
      <c r="AL1049">
        <f t="shared" si="102"/>
        <v>2807.93</v>
      </c>
      <c r="AM1049">
        <f t="shared" si="103"/>
        <v>1158.07</v>
      </c>
      <c r="AN1049" s="4">
        <f t="shared" si="104"/>
        <v>0.291999495713565</v>
      </c>
      <c r="AO1049" t="s">
        <v>221</v>
      </c>
      <c r="AQ1049" t="s">
        <v>217</v>
      </c>
      <c r="AT1049" t="s">
        <v>869</v>
      </c>
    </row>
    <row r="1050" ht="15.75" customHeight="1" spans="1:46">
      <c r="A1050" t="s">
        <v>1865</v>
      </c>
      <c r="B1050" t="s">
        <v>79</v>
      </c>
      <c r="C1050" t="s">
        <v>1499</v>
      </c>
      <c r="D1050" t="s">
        <v>1797</v>
      </c>
      <c r="E1050" t="s">
        <v>1798</v>
      </c>
      <c r="F1050" t="s">
        <v>1866</v>
      </c>
      <c r="H1050" t="s">
        <v>1867</v>
      </c>
      <c r="I1050" t="s">
        <v>1868</v>
      </c>
      <c r="J1050" t="s">
        <v>1570</v>
      </c>
      <c r="K1050" t="s">
        <v>1815</v>
      </c>
      <c r="L1050" t="s">
        <v>1803</v>
      </c>
      <c r="M1050" t="s">
        <v>1823</v>
      </c>
      <c r="Q1050" t="s">
        <v>57</v>
      </c>
      <c r="R1050" t="s">
        <v>1874</v>
      </c>
      <c r="Y1050" t="s">
        <v>1870</v>
      </c>
      <c r="Z1050">
        <v>8536</v>
      </c>
      <c r="AE1050">
        <v>5195</v>
      </c>
      <c r="AF1050" s="4">
        <v>0.5</v>
      </c>
      <c r="AG1050">
        <f t="shared" si="105"/>
        <v>2597.5</v>
      </c>
      <c r="AH1050" s="4">
        <v>0.18</v>
      </c>
      <c r="AI1050">
        <f t="shared" si="100"/>
        <v>3065.05</v>
      </c>
      <c r="AJ1050" s="4">
        <v>0.2</v>
      </c>
      <c r="AK1050">
        <f t="shared" si="101"/>
        <v>613.01</v>
      </c>
      <c r="AL1050">
        <f t="shared" si="102"/>
        <v>3678.06</v>
      </c>
      <c r="AM1050">
        <f t="shared" si="103"/>
        <v>1516.94</v>
      </c>
      <c r="AN1050" s="4">
        <f t="shared" si="104"/>
        <v>0.292</v>
      </c>
      <c r="AO1050" t="s">
        <v>221</v>
      </c>
      <c r="AQ1050" t="s">
        <v>217</v>
      </c>
      <c r="AT1050" t="s">
        <v>869</v>
      </c>
    </row>
    <row r="1051" ht="15.75" customHeight="1" spans="1:46">
      <c r="A1051" t="s">
        <v>1865</v>
      </c>
      <c r="B1051" t="s">
        <v>83</v>
      </c>
      <c r="C1051" t="s">
        <v>1499</v>
      </c>
      <c r="D1051" t="s">
        <v>1797</v>
      </c>
      <c r="E1051" t="s">
        <v>1798</v>
      </c>
      <c r="F1051" t="s">
        <v>1866</v>
      </c>
      <c r="H1051" t="s">
        <v>1867</v>
      </c>
      <c r="I1051" t="s">
        <v>1868</v>
      </c>
      <c r="J1051" t="s">
        <v>1570</v>
      </c>
      <c r="K1051" t="s">
        <v>1819</v>
      </c>
      <c r="L1051" t="s">
        <v>1803</v>
      </c>
      <c r="M1051" t="s">
        <v>1823</v>
      </c>
      <c r="Q1051" t="s">
        <v>57</v>
      </c>
      <c r="R1051" t="s">
        <v>1875</v>
      </c>
      <c r="Y1051" t="s">
        <v>1870</v>
      </c>
      <c r="Z1051">
        <v>8536</v>
      </c>
      <c r="AE1051">
        <v>8467</v>
      </c>
      <c r="AF1051" s="4">
        <v>0.5</v>
      </c>
      <c r="AG1051">
        <f t="shared" si="105"/>
        <v>4233.5</v>
      </c>
      <c r="AH1051" s="4">
        <v>0.18</v>
      </c>
      <c r="AI1051">
        <f t="shared" si="100"/>
        <v>4995.53</v>
      </c>
      <c r="AJ1051" s="4">
        <v>0.2</v>
      </c>
      <c r="AK1051">
        <f t="shared" si="101"/>
        <v>999.11</v>
      </c>
      <c r="AL1051">
        <f t="shared" si="102"/>
        <v>5994.64</v>
      </c>
      <c r="AM1051">
        <f t="shared" si="103"/>
        <v>2472.36</v>
      </c>
      <c r="AN1051" s="4">
        <f t="shared" si="104"/>
        <v>0.291999527577655</v>
      </c>
      <c r="AO1051" t="s">
        <v>221</v>
      </c>
      <c r="AQ1051" t="s">
        <v>217</v>
      </c>
      <c r="AT1051" t="s">
        <v>869</v>
      </c>
    </row>
    <row r="1052" ht="15.75" customHeight="1" spans="1:46">
      <c r="A1052" t="s">
        <v>1865</v>
      </c>
      <c r="B1052" t="s">
        <v>131</v>
      </c>
      <c r="C1052" t="s">
        <v>1499</v>
      </c>
      <c r="D1052" t="s">
        <v>1797</v>
      </c>
      <c r="E1052" t="s">
        <v>1798</v>
      </c>
      <c r="F1052" t="s">
        <v>1866</v>
      </c>
      <c r="H1052" t="s">
        <v>1867</v>
      </c>
      <c r="I1052" t="s">
        <v>1868</v>
      </c>
      <c r="J1052" t="s">
        <v>1570</v>
      </c>
      <c r="K1052" t="s">
        <v>1575</v>
      </c>
      <c r="L1052" t="s">
        <v>1803</v>
      </c>
      <c r="M1052" t="s">
        <v>1841</v>
      </c>
      <c r="Q1052" t="s">
        <v>57</v>
      </c>
      <c r="R1052" t="s">
        <v>1876</v>
      </c>
      <c r="Y1052" t="s">
        <v>1877</v>
      </c>
      <c r="Z1052">
        <v>8536</v>
      </c>
      <c r="AE1052">
        <v>4909</v>
      </c>
      <c r="AF1052" s="4">
        <v>0.5</v>
      </c>
      <c r="AG1052">
        <f t="shared" si="105"/>
        <v>2454.5</v>
      </c>
      <c r="AH1052" s="4">
        <v>0.18</v>
      </c>
      <c r="AI1052">
        <f t="shared" si="100"/>
        <v>2896.31</v>
      </c>
      <c r="AJ1052" s="4">
        <v>0.2</v>
      </c>
      <c r="AK1052">
        <f t="shared" si="101"/>
        <v>579.26</v>
      </c>
      <c r="AL1052">
        <f t="shared" si="102"/>
        <v>3475.57</v>
      </c>
      <c r="AM1052">
        <f t="shared" si="103"/>
        <v>1433.43</v>
      </c>
      <c r="AN1052" s="4">
        <f t="shared" si="104"/>
        <v>0.292000407414952</v>
      </c>
      <c r="AO1052" t="s">
        <v>221</v>
      </c>
      <c r="AQ1052" t="s">
        <v>217</v>
      </c>
      <c r="AT1052" t="s">
        <v>869</v>
      </c>
    </row>
    <row r="1053" ht="15.75" customHeight="1" spans="1:46">
      <c r="A1053" t="s">
        <v>1865</v>
      </c>
      <c r="B1053" t="s">
        <v>133</v>
      </c>
      <c r="C1053" t="s">
        <v>1499</v>
      </c>
      <c r="D1053" t="s">
        <v>1797</v>
      </c>
      <c r="E1053" t="s">
        <v>1798</v>
      </c>
      <c r="F1053" t="s">
        <v>1866</v>
      </c>
      <c r="H1053" t="s">
        <v>1867</v>
      </c>
      <c r="I1053" t="s">
        <v>1868</v>
      </c>
      <c r="J1053" t="s">
        <v>1570</v>
      </c>
      <c r="K1053" t="s">
        <v>1807</v>
      </c>
      <c r="L1053" t="s">
        <v>1803</v>
      </c>
      <c r="M1053" t="s">
        <v>1841</v>
      </c>
      <c r="Q1053" t="s">
        <v>57</v>
      </c>
      <c r="R1053" t="s">
        <v>1878</v>
      </c>
      <c r="Y1053" t="s">
        <v>1877</v>
      </c>
      <c r="Z1053">
        <v>8536</v>
      </c>
      <c r="AE1053">
        <v>4909</v>
      </c>
      <c r="AF1053" s="4">
        <v>0.5</v>
      </c>
      <c r="AG1053">
        <f t="shared" si="105"/>
        <v>2454.5</v>
      </c>
      <c r="AH1053" s="4">
        <v>0.18</v>
      </c>
      <c r="AI1053">
        <f t="shared" si="100"/>
        <v>2896.31</v>
      </c>
      <c r="AJ1053" s="4">
        <v>0.2</v>
      </c>
      <c r="AK1053">
        <f t="shared" si="101"/>
        <v>579.26</v>
      </c>
      <c r="AL1053">
        <f t="shared" si="102"/>
        <v>3475.57</v>
      </c>
      <c r="AM1053">
        <f t="shared" si="103"/>
        <v>1433.43</v>
      </c>
      <c r="AN1053" s="4">
        <f t="shared" si="104"/>
        <v>0.292000407414952</v>
      </c>
      <c r="AO1053" t="s">
        <v>221</v>
      </c>
      <c r="AQ1053" t="s">
        <v>217</v>
      </c>
      <c r="AT1053" t="s">
        <v>869</v>
      </c>
    </row>
    <row r="1054" ht="15.75" customHeight="1" spans="1:46">
      <c r="A1054" t="s">
        <v>1865</v>
      </c>
      <c r="B1054" t="s">
        <v>135</v>
      </c>
      <c r="C1054" t="s">
        <v>1499</v>
      </c>
      <c r="D1054" t="s">
        <v>1797</v>
      </c>
      <c r="E1054" t="s">
        <v>1798</v>
      </c>
      <c r="F1054" t="s">
        <v>1866</v>
      </c>
      <c r="H1054" t="s">
        <v>1867</v>
      </c>
      <c r="I1054" t="s">
        <v>1868</v>
      </c>
      <c r="J1054" t="s">
        <v>1570</v>
      </c>
      <c r="K1054" t="s">
        <v>1808</v>
      </c>
      <c r="L1054" t="s">
        <v>1803</v>
      </c>
      <c r="M1054" t="s">
        <v>1841</v>
      </c>
      <c r="Q1054" t="s">
        <v>57</v>
      </c>
      <c r="R1054" t="s">
        <v>1879</v>
      </c>
      <c r="Y1054" t="s">
        <v>1877</v>
      </c>
      <c r="Z1054">
        <v>8536</v>
      </c>
      <c r="AE1054">
        <v>4945</v>
      </c>
      <c r="AF1054" s="4">
        <v>0.5</v>
      </c>
      <c r="AG1054">
        <f t="shared" si="105"/>
        <v>2472.5</v>
      </c>
      <c r="AH1054" s="4">
        <v>0.18</v>
      </c>
      <c r="AI1054">
        <f t="shared" si="100"/>
        <v>2917.55</v>
      </c>
      <c r="AJ1054" s="4">
        <v>0.2</v>
      </c>
      <c r="AK1054">
        <f t="shared" si="101"/>
        <v>583.51</v>
      </c>
      <c r="AL1054">
        <f t="shared" si="102"/>
        <v>3501.06</v>
      </c>
      <c r="AM1054">
        <f t="shared" si="103"/>
        <v>1443.94</v>
      </c>
      <c r="AN1054" s="4">
        <f t="shared" si="104"/>
        <v>0.292</v>
      </c>
      <c r="AO1054" t="s">
        <v>221</v>
      </c>
      <c r="AQ1054" t="s">
        <v>217</v>
      </c>
      <c r="AT1054" t="s">
        <v>869</v>
      </c>
    </row>
    <row r="1055" ht="15.75" customHeight="1" spans="1:46">
      <c r="A1055" t="s">
        <v>1865</v>
      </c>
      <c r="B1055" t="s">
        <v>137</v>
      </c>
      <c r="C1055" t="s">
        <v>1499</v>
      </c>
      <c r="D1055" t="s">
        <v>1797</v>
      </c>
      <c r="E1055" t="s">
        <v>1798</v>
      </c>
      <c r="F1055" t="s">
        <v>1866</v>
      </c>
      <c r="H1055" t="s">
        <v>1867</v>
      </c>
      <c r="I1055" t="s">
        <v>1868</v>
      </c>
      <c r="J1055" t="s">
        <v>1570</v>
      </c>
      <c r="K1055" t="s">
        <v>1809</v>
      </c>
      <c r="L1055" t="s">
        <v>1803</v>
      </c>
      <c r="M1055" t="s">
        <v>1841</v>
      </c>
      <c r="Q1055" t="s">
        <v>57</v>
      </c>
      <c r="R1055" t="s">
        <v>1880</v>
      </c>
      <c r="Y1055" t="s">
        <v>1877</v>
      </c>
      <c r="Z1055">
        <v>8536</v>
      </c>
      <c r="AE1055">
        <v>4945</v>
      </c>
      <c r="AF1055" s="4">
        <v>0.5</v>
      </c>
      <c r="AG1055">
        <f t="shared" si="105"/>
        <v>2472.5</v>
      </c>
      <c r="AH1055" s="4">
        <v>0.18</v>
      </c>
      <c r="AI1055">
        <f t="shared" si="100"/>
        <v>2917.55</v>
      </c>
      <c r="AJ1055" s="4">
        <v>0.2</v>
      </c>
      <c r="AK1055">
        <f t="shared" si="101"/>
        <v>583.51</v>
      </c>
      <c r="AL1055">
        <f t="shared" si="102"/>
        <v>3501.06</v>
      </c>
      <c r="AM1055">
        <f t="shared" si="103"/>
        <v>1443.94</v>
      </c>
      <c r="AN1055" s="4">
        <f t="shared" si="104"/>
        <v>0.292</v>
      </c>
      <c r="AO1055" t="s">
        <v>221</v>
      </c>
      <c r="AQ1055" t="s">
        <v>217</v>
      </c>
      <c r="AT1055" t="s">
        <v>869</v>
      </c>
    </row>
    <row r="1056" ht="15.75" customHeight="1" spans="1:46">
      <c r="A1056" t="s">
        <v>1865</v>
      </c>
      <c r="B1056" t="s">
        <v>138</v>
      </c>
      <c r="C1056" t="s">
        <v>1499</v>
      </c>
      <c r="D1056" t="s">
        <v>1797</v>
      </c>
      <c r="E1056" t="s">
        <v>1798</v>
      </c>
      <c r="F1056" t="s">
        <v>1866</v>
      </c>
      <c r="H1056" t="s">
        <v>1867</v>
      </c>
      <c r="I1056" t="s">
        <v>1868</v>
      </c>
      <c r="J1056" t="s">
        <v>1570</v>
      </c>
      <c r="K1056" t="s">
        <v>1815</v>
      </c>
      <c r="L1056" t="s">
        <v>1803</v>
      </c>
      <c r="M1056" t="s">
        <v>1841</v>
      </c>
      <c r="Q1056" t="s">
        <v>57</v>
      </c>
      <c r="R1056" t="s">
        <v>1881</v>
      </c>
      <c r="Y1056" t="s">
        <v>1877</v>
      </c>
      <c r="Z1056">
        <v>8536</v>
      </c>
      <c r="AE1056">
        <v>5208</v>
      </c>
      <c r="AF1056" s="4">
        <v>0.5</v>
      </c>
      <c r="AG1056">
        <f t="shared" si="105"/>
        <v>2604</v>
      </c>
      <c r="AH1056" s="4">
        <v>0.18</v>
      </c>
      <c r="AI1056">
        <f t="shared" si="100"/>
        <v>3072.72</v>
      </c>
      <c r="AJ1056" s="4">
        <v>0.2</v>
      </c>
      <c r="AK1056">
        <f t="shared" si="101"/>
        <v>614.54</v>
      </c>
      <c r="AL1056">
        <f t="shared" si="102"/>
        <v>3687.26</v>
      </c>
      <c r="AM1056">
        <f t="shared" si="103"/>
        <v>1520.74</v>
      </c>
      <c r="AN1056" s="4">
        <f t="shared" si="104"/>
        <v>0.292000768049155</v>
      </c>
      <c r="AO1056" t="s">
        <v>221</v>
      </c>
      <c r="AQ1056" t="s">
        <v>217</v>
      </c>
      <c r="AT1056" t="s">
        <v>869</v>
      </c>
    </row>
    <row r="1057" ht="15.75" customHeight="1" spans="1:46">
      <c r="A1057" t="s">
        <v>1865</v>
      </c>
      <c r="B1057" t="s">
        <v>140</v>
      </c>
      <c r="C1057" t="s">
        <v>1499</v>
      </c>
      <c r="D1057" t="s">
        <v>1797</v>
      </c>
      <c r="E1057" t="s">
        <v>1798</v>
      </c>
      <c r="F1057" t="s">
        <v>1866</v>
      </c>
      <c r="H1057" t="s">
        <v>1867</v>
      </c>
      <c r="I1057" t="s">
        <v>1868</v>
      </c>
      <c r="J1057" t="s">
        <v>1570</v>
      </c>
      <c r="K1057" t="s">
        <v>1819</v>
      </c>
      <c r="L1057" t="s">
        <v>1803</v>
      </c>
      <c r="M1057" t="s">
        <v>1841</v>
      </c>
      <c r="Q1057" t="s">
        <v>57</v>
      </c>
      <c r="R1057" t="s">
        <v>1882</v>
      </c>
      <c r="Y1057" t="s">
        <v>1877</v>
      </c>
      <c r="Z1057">
        <v>8536</v>
      </c>
      <c r="AE1057">
        <v>8983</v>
      </c>
      <c r="AF1057" s="4">
        <v>0.5</v>
      </c>
      <c r="AG1057">
        <f t="shared" si="105"/>
        <v>4491.5</v>
      </c>
      <c r="AH1057" s="4">
        <v>0.18</v>
      </c>
      <c r="AI1057">
        <f t="shared" si="100"/>
        <v>5299.97</v>
      </c>
      <c r="AJ1057" s="4">
        <v>0.2</v>
      </c>
      <c r="AK1057">
        <f t="shared" si="101"/>
        <v>1059.99</v>
      </c>
      <c r="AL1057">
        <f t="shared" si="102"/>
        <v>6359.96</v>
      </c>
      <c r="AM1057">
        <f t="shared" si="103"/>
        <v>2623.04</v>
      </c>
      <c r="AN1057" s="4">
        <f t="shared" si="104"/>
        <v>0.292000445285539</v>
      </c>
      <c r="AO1057" t="s">
        <v>221</v>
      </c>
      <c r="AQ1057" t="s">
        <v>217</v>
      </c>
      <c r="AT1057" t="s">
        <v>869</v>
      </c>
    </row>
    <row r="1058" ht="15.75" customHeight="1" spans="1:46">
      <c r="A1058" t="s">
        <v>1865</v>
      </c>
      <c r="B1058" t="s">
        <v>202</v>
      </c>
      <c r="C1058" t="s">
        <v>1499</v>
      </c>
      <c r="D1058" t="s">
        <v>1797</v>
      </c>
      <c r="E1058" t="s">
        <v>1798</v>
      </c>
      <c r="F1058" t="s">
        <v>1866</v>
      </c>
      <c r="H1058" t="s">
        <v>1800</v>
      </c>
      <c r="I1058" t="s">
        <v>1883</v>
      </c>
      <c r="J1058" t="s">
        <v>1570</v>
      </c>
      <c r="K1058" t="s">
        <v>1809</v>
      </c>
      <c r="L1058" t="s">
        <v>1803</v>
      </c>
      <c r="M1058" t="s">
        <v>1823</v>
      </c>
      <c r="Q1058" t="s">
        <v>57</v>
      </c>
      <c r="R1058" t="s">
        <v>1884</v>
      </c>
      <c r="Y1058" t="s">
        <v>1885</v>
      </c>
      <c r="Z1058">
        <v>8536</v>
      </c>
      <c r="AE1058">
        <v>5500</v>
      </c>
      <c r="AF1058" s="4">
        <v>0.5</v>
      </c>
      <c r="AG1058">
        <f t="shared" si="105"/>
        <v>2750</v>
      </c>
      <c r="AH1058" s="4">
        <v>0.18</v>
      </c>
      <c r="AI1058">
        <f t="shared" si="100"/>
        <v>3245</v>
      </c>
      <c r="AJ1058" s="4">
        <v>0.2</v>
      </c>
      <c r="AK1058">
        <f t="shared" si="101"/>
        <v>649</v>
      </c>
      <c r="AL1058">
        <f t="shared" si="102"/>
        <v>3894</v>
      </c>
      <c r="AM1058">
        <f t="shared" si="103"/>
        <v>1606</v>
      </c>
      <c r="AN1058" s="4">
        <f t="shared" si="104"/>
        <v>0.292</v>
      </c>
      <c r="AO1058" t="s">
        <v>221</v>
      </c>
      <c r="AQ1058" t="s">
        <v>217</v>
      </c>
      <c r="AT1058" t="s">
        <v>869</v>
      </c>
    </row>
    <row r="1059" ht="15.75" customHeight="1" spans="1:46">
      <c r="A1059" t="s">
        <v>1865</v>
      </c>
      <c r="B1059" t="s">
        <v>203</v>
      </c>
      <c r="C1059" t="s">
        <v>1499</v>
      </c>
      <c r="D1059" t="s">
        <v>1797</v>
      </c>
      <c r="E1059" t="s">
        <v>1798</v>
      </c>
      <c r="F1059" t="s">
        <v>1866</v>
      </c>
      <c r="H1059" t="s">
        <v>1800</v>
      </c>
      <c r="I1059" t="s">
        <v>1883</v>
      </c>
      <c r="J1059" t="s">
        <v>1570</v>
      </c>
      <c r="K1059" t="s">
        <v>1815</v>
      </c>
      <c r="L1059" t="s">
        <v>1803</v>
      </c>
      <c r="M1059" t="s">
        <v>1823</v>
      </c>
      <c r="Q1059" t="s">
        <v>57</v>
      </c>
      <c r="R1059" t="s">
        <v>1886</v>
      </c>
      <c r="Y1059" t="s">
        <v>1885</v>
      </c>
      <c r="Z1059">
        <v>8536</v>
      </c>
      <c r="AE1059">
        <v>6600</v>
      </c>
      <c r="AF1059" s="4">
        <v>0.5</v>
      </c>
      <c r="AG1059">
        <f t="shared" si="105"/>
        <v>3300</v>
      </c>
      <c r="AH1059" s="4">
        <v>0.18</v>
      </c>
      <c r="AI1059">
        <f t="shared" si="100"/>
        <v>3894</v>
      </c>
      <c r="AJ1059" s="4">
        <v>0.2</v>
      </c>
      <c r="AK1059">
        <f t="shared" si="101"/>
        <v>778.8</v>
      </c>
      <c r="AL1059">
        <f t="shared" si="102"/>
        <v>4672.8</v>
      </c>
      <c r="AM1059">
        <f t="shared" si="103"/>
        <v>1927.2</v>
      </c>
      <c r="AN1059" s="4">
        <f t="shared" si="104"/>
        <v>0.292</v>
      </c>
      <c r="AO1059" t="s">
        <v>221</v>
      </c>
      <c r="AQ1059" t="s">
        <v>217</v>
      </c>
      <c r="AT1059" t="s">
        <v>869</v>
      </c>
    </row>
    <row r="1060" ht="15.75" customHeight="1" spans="1:46">
      <c r="A1060" t="s">
        <v>1865</v>
      </c>
      <c r="B1060" t="s">
        <v>204</v>
      </c>
      <c r="C1060" t="s">
        <v>1499</v>
      </c>
      <c r="D1060" t="s">
        <v>1797</v>
      </c>
      <c r="E1060" t="s">
        <v>1798</v>
      </c>
      <c r="F1060" t="s">
        <v>1866</v>
      </c>
      <c r="H1060" t="s">
        <v>1800</v>
      </c>
      <c r="I1060" t="s">
        <v>1883</v>
      </c>
      <c r="J1060" t="s">
        <v>1570</v>
      </c>
      <c r="K1060" t="s">
        <v>1809</v>
      </c>
      <c r="L1060" t="s">
        <v>1803</v>
      </c>
      <c r="M1060" t="s">
        <v>1841</v>
      </c>
      <c r="Q1060" t="s">
        <v>57</v>
      </c>
      <c r="R1060" t="s">
        <v>1887</v>
      </c>
      <c r="Y1060" t="s">
        <v>1888</v>
      </c>
      <c r="Z1060">
        <v>8536</v>
      </c>
      <c r="AE1060">
        <v>6500</v>
      </c>
      <c r="AF1060" s="4">
        <v>0.5</v>
      </c>
      <c r="AG1060">
        <f t="shared" si="105"/>
        <v>3250</v>
      </c>
      <c r="AH1060" s="4">
        <v>0.18</v>
      </c>
      <c r="AI1060">
        <f t="shared" si="100"/>
        <v>3835</v>
      </c>
      <c r="AJ1060" s="4">
        <v>0.2</v>
      </c>
      <c r="AK1060">
        <f t="shared" si="101"/>
        <v>767</v>
      </c>
      <c r="AL1060">
        <f t="shared" si="102"/>
        <v>4602</v>
      </c>
      <c r="AM1060">
        <f t="shared" si="103"/>
        <v>1898</v>
      </c>
      <c r="AN1060" s="4">
        <f t="shared" si="104"/>
        <v>0.292</v>
      </c>
      <c r="AO1060" t="s">
        <v>221</v>
      </c>
      <c r="AQ1060" t="s">
        <v>217</v>
      </c>
      <c r="AT1060" t="s">
        <v>869</v>
      </c>
    </row>
    <row r="1061" ht="15.75" customHeight="1" spans="1:46">
      <c r="A1061" t="s">
        <v>1865</v>
      </c>
      <c r="B1061" t="s">
        <v>205</v>
      </c>
      <c r="C1061" t="s">
        <v>1499</v>
      </c>
      <c r="D1061" t="s">
        <v>1797</v>
      </c>
      <c r="E1061" t="s">
        <v>1798</v>
      </c>
      <c r="F1061" t="s">
        <v>1866</v>
      </c>
      <c r="H1061" t="s">
        <v>1800</v>
      </c>
      <c r="I1061" t="s">
        <v>1883</v>
      </c>
      <c r="J1061" t="s">
        <v>1570</v>
      </c>
      <c r="K1061" t="s">
        <v>1815</v>
      </c>
      <c r="L1061" t="s">
        <v>1803</v>
      </c>
      <c r="M1061" t="s">
        <v>1841</v>
      </c>
      <c r="Q1061" t="s">
        <v>57</v>
      </c>
      <c r="R1061" t="s">
        <v>1889</v>
      </c>
      <c r="Y1061" t="s">
        <v>1890</v>
      </c>
      <c r="Z1061">
        <v>8536</v>
      </c>
      <c r="AE1061">
        <v>7050</v>
      </c>
      <c r="AF1061" s="4">
        <v>0.5</v>
      </c>
      <c r="AG1061">
        <f t="shared" si="105"/>
        <v>3525</v>
      </c>
      <c r="AH1061" s="4">
        <v>0.18</v>
      </c>
      <c r="AI1061">
        <f t="shared" si="100"/>
        <v>4159.5</v>
      </c>
      <c r="AJ1061" s="4">
        <v>0.2</v>
      </c>
      <c r="AK1061">
        <f t="shared" si="101"/>
        <v>831.9</v>
      </c>
      <c r="AL1061">
        <f t="shared" si="102"/>
        <v>4991.4</v>
      </c>
      <c r="AM1061">
        <f t="shared" si="103"/>
        <v>2058.6</v>
      </c>
      <c r="AN1061" s="4">
        <f t="shared" si="104"/>
        <v>0.292</v>
      </c>
      <c r="AO1061" t="s">
        <v>221</v>
      </c>
      <c r="AQ1061" t="s">
        <v>217</v>
      </c>
      <c r="AT1061" t="s">
        <v>869</v>
      </c>
    </row>
    <row r="1062" ht="15.75" customHeight="1" spans="1:46">
      <c r="A1062" t="s">
        <v>1891</v>
      </c>
      <c r="B1062" t="s">
        <v>46</v>
      </c>
      <c r="C1062" t="s">
        <v>1499</v>
      </c>
      <c r="D1062" t="s">
        <v>1797</v>
      </c>
      <c r="E1062" t="s">
        <v>1626</v>
      </c>
      <c r="F1062" t="s">
        <v>1799</v>
      </c>
      <c r="H1062" t="s">
        <v>1800</v>
      </c>
      <c r="I1062" t="s">
        <v>446</v>
      </c>
      <c r="J1062" t="s">
        <v>1570</v>
      </c>
      <c r="K1062" t="s">
        <v>1892</v>
      </c>
      <c r="L1062" t="s">
        <v>1803</v>
      </c>
      <c r="M1062" t="s">
        <v>1804</v>
      </c>
      <c r="Q1062" t="s">
        <v>57</v>
      </c>
      <c r="R1062" t="s">
        <v>1893</v>
      </c>
      <c r="Y1062" t="s">
        <v>1894</v>
      </c>
      <c r="Z1062">
        <v>8536</v>
      </c>
      <c r="AE1062">
        <v>640</v>
      </c>
      <c r="AF1062" s="4">
        <v>0.5</v>
      </c>
      <c r="AG1062">
        <f t="shared" si="105"/>
        <v>320</v>
      </c>
      <c r="AH1062" s="4">
        <v>0.18</v>
      </c>
      <c r="AI1062">
        <f t="shared" si="100"/>
        <v>377.6</v>
      </c>
      <c r="AJ1062" s="4">
        <v>0.2</v>
      </c>
      <c r="AK1062">
        <f t="shared" si="101"/>
        <v>75.52</v>
      </c>
      <c r="AL1062">
        <f t="shared" si="102"/>
        <v>453.12</v>
      </c>
      <c r="AM1062">
        <f t="shared" si="103"/>
        <v>186.88</v>
      </c>
      <c r="AN1062" s="4">
        <f t="shared" si="104"/>
        <v>0.292</v>
      </c>
      <c r="AO1062" t="s">
        <v>221</v>
      </c>
      <c r="AQ1062" t="s">
        <v>217</v>
      </c>
      <c r="AT1062" t="s">
        <v>869</v>
      </c>
    </row>
    <row r="1063" ht="15.75" customHeight="1" spans="1:46">
      <c r="A1063" t="s">
        <v>1891</v>
      </c>
      <c r="B1063" t="s">
        <v>67</v>
      </c>
      <c r="C1063" t="s">
        <v>1499</v>
      </c>
      <c r="D1063" t="s">
        <v>1797</v>
      </c>
      <c r="E1063" t="s">
        <v>1626</v>
      </c>
      <c r="F1063" t="s">
        <v>1799</v>
      </c>
      <c r="H1063" t="s">
        <v>1800</v>
      </c>
      <c r="I1063" t="s">
        <v>446</v>
      </c>
      <c r="J1063" t="s">
        <v>1570</v>
      </c>
      <c r="K1063" t="s">
        <v>1895</v>
      </c>
      <c r="L1063" t="s">
        <v>1803</v>
      </c>
      <c r="M1063" t="s">
        <v>1804</v>
      </c>
      <c r="Q1063" t="s">
        <v>57</v>
      </c>
      <c r="R1063" t="s">
        <v>1896</v>
      </c>
      <c r="Y1063" t="s">
        <v>1897</v>
      </c>
      <c r="Z1063">
        <v>8536</v>
      </c>
      <c r="AE1063">
        <v>640</v>
      </c>
      <c r="AF1063" s="4">
        <v>0.5</v>
      </c>
      <c r="AG1063">
        <f t="shared" si="105"/>
        <v>320</v>
      </c>
      <c r="AH1063" s="4">
        <v>0.18</v>
      </c>
      <c r="AI1063">
        <f t="shared" si="100"/>
        <v>377.6</v>
      </c>
      <c r="AJ1063" s="4">
        <v>0.2</v>
      </c>
      <c r="AK1063">
        <f t="shared" si="101"/>
        <v>75.52</v>
      </c>
      <c r="AL1063">
        <f t="shared" si="102"/>
        <v>453.12</v>
      </c>
      <c r="AM1063">
        <f t="shared" si="103"/>
        <v>186.88</v>
      </c>
      <c r="AN1063" s="4">
        <f t="shared" si="104"/>
        <v>0.292</v>
      </c>
      <c r="AO1063" t="s">
        <v>221</v>
      </c>
      <c r="AQ1063" t="s">
        <v>217</v>
      </c>
      <c r="AT1063" t="s">
        <v>869</v>
      </c>
    </row>
    <row r="1064" ht="15.75" customHeight="1" spans="1:46">
      <c r="A1064" t="s">
        <v>1891</v>
      </c>
      <c r="B1064" t="s">
        <v>71</v>
      </c>
      <c r="C1064" t="s">
        <v>1499</v>
      </c>
      <c r="D1064" t="s">
        <v>1797</v>
      </c>
      <c r="E1064" t="s">
        <v>1626</v>
      </c>
      <c r="F1064" t="s">
        <v>1799</v>
      </c>
      <c r="H1064" t="s">
        <v>1800</v>
      </c>
      <c r="I1064" t="s">
        <v>446</v>
      </c>
      <c r="J1064" t="s">
        <v>1570</v>
      </c>
      <c r="K1064" t="s">
        <v>1898</v>
      </c>
      <c r="L1064" t="s">
        <v>1803</v>
      </c>
      <c r="M1064" t="s">
        <v>1804</v>
      </c>
      <c r="Q1064" t="s">
        <v>57</v>
      </c>
      <c r="R1064" t="s">
        <v>1899</v>
      </c>
      <c r="Y1064" t="s">
        <v>1897</v>
      </c>
      <c r="Z1064">
        <v>8536</v>
      </c>
      <c r="AE1064">
        <v>634</v>
      </c>
      <c r="AF1064" s="4">
        <v>0.5</v>
      </c>
      <c r="AG1064">
        <f t="shared" si="105"/>
        <v>317</v>
      </c>
      <c r="AH1064" s="4">
        <v>0.18</v>
      </c>
      <c r="AI1064">
        <f t="shared" si="100"/>
        <v>374.06</v>
      </c>
      <c r="AJ1064" s="4">
        <v>0.2</v>
      </c>
      <c r="AK1064">
        <f t="shared" si="101"/>
        <v>74.81</v>
      </c>
      <c r="AL1064">
        <f t="shared" si="102"/>
        <v>448.87</v>
      </c>
      <c r="AM1064">
        <f t="shared" si="103"/>
        <v>185.13</v>
      </c>
      <c r="AN1064" s="4">
        <f t="shared" si="104"/>
        <v>0.292003154574133</v>
      </c>
      <c r="AO1064" t="s">
        <v>221</v>
      </c>
      <c r="AQ1064" t="s">
        <v>217</v>
      </c>
      <c r="AT1064" t="s">
        <v>869</v>
      </c>
    </row>
    <row r="1065" ht="15.75" customHeight="1" spans="1:46">
      <c r="A1065" t="s">
        <v>1891</v>
      </c>
      <c r="B1065" t="s">
        <v>75</v>
      </c>
      <c r="C1065" t="s">
        <v>1499</v>
      </c>
      <c r="D1065" t="s">
        <v>1797</v>
      </c>
      <c r="E1065" t="s">
        <v>1626</v>
      </c>
      <c r="F1065" t="s">
        <v>1799</v>
      </c>
      <c r="H1065" t="s">
        <v>1800</v>
      </c>
      <c r="I1065" t="s">
        <v>446</v>
      </c>
      <c r="J1065" t="s">
        <v>1570</v>
      </c>
      <c r="K1065" t="s">
        <v>1900</v>
      </c>
      <c r="L1065" t="s">
        <v>1803</v>
      </c>
      <c r="M1065" t="s">
        <v>1804</v>
      </c>
      <c r="Q1065" t="s">
        <v>57</v>
      </c>
      <c r="R1065" t="s">
        <v>1901</v>
      </c>
      <c r="Y1065" t="s">
        <v>1897</v>
      </c>
      <c r="Z1065">
        <v>8536</v>
      </c>
      <c r="AE1065">
        <v>634</v>
      </c>
      <c r="AF1065" s="4">
        <v>0.5</v>
      </c>
      <c r="AG1065">
        <f t="shared" si="105"/>
        <v>317</v>
      </c>
      <c r="AH1065" s="4">
        <v>0.18</v>
      </c>
      <c r="AI1065">
        <f t="shared" si="100"/>
        <v>374.06</v>
      </c>
      <c r="AJ1065" s="4">
        <v>0.2</v>
      </c>
      <c r="AK1065">
        <f t="shared" si="101"/>
        <v>74.81</v>
      </c>
      <c r="AL1065">
        <f t="shared" si="102"/>
        <v>448.87</v>
      </c>
      <c r="AM1065">
        <f t="shared" si="103"/>
        <v>185.13</v>
      </c>
      <c r="AN1065" s="4">
        <f t="shared" si="104"/>
        <v>0.292003154574133</v>
      </c>
      <c r="AO1065" t="s">
        <v>221</v>
      </c>
      <c r="AQ1065" t="s">
        <v>217</v>
      </c>
      <c r="AT1065" t="s">
        <v>869</v>
      </c>
    </row>
    <row r="1066" ht="15.75" customHeight="1" spans="1:46">
      <c r="A1066" t="s">
        <v>1891</v>
      </c>
      <c r="B1066" t="s">
        <v>79</v>
      </c>
      <c r="C1066" t="s">
        <v>1499</v>
      </c>
      <c r="D1066" t="s">
        <v>1797</v>
      </c>
      <c r="E1066" t="s">
        <v>1626</v>
      </c>
      <c r="F1066" t="s">
        <v>1799</v>
      </c>
      <c r="H1066" t="s">
        <v>1800</v>
      </c>
      <c r="I1066" t="s">
        <v>446</v>
      </c>
      <c r="J1066" t="s">
        <v>1570</v>
      </c>
      <c r="K1066" t="s">
        <v>1902</v>
      </c>
      <c r="L1066" t="s">
        <v>1803</v>
      </c>
      <c r="M1066" t="s">
        <v>1804</v>
      </c>
      <c r="Q1066" t="s">
        <v>57</v>
      </c>
      <c r="R1066" t="s">
        <v>1903</v>
      </c>
      <c r="Y1066" t="s">
        <v>1897</v>
      </c>
      <c r="Z1066">
        <v>8536</v>
      </c>
      <c r="AE1066">
        <v>634</v>
      </c>
      <c r="AF1066" s="4">
        <v>0.5</v>
      </c>
      <c r="AG1066">
        <f t="shared" si="105"/>
        <v>317</v>
      </c>
      <c r="AH1066" s="4">
        <v>0.18</v>
      </c>
      <c r="AI1066">
        <f t="shared" si="100"/>
        <v>374.06</v>
      </c>
      <c r="AJ1066" s="4">
        <v>0.2</v>
      </c>
      <c r="AK1066">
        <f t="shared" si="101"/>
        <v>74.81</v>
      </c>
      <c r="AL1066">
        <f t="shared" si="102"/>
        <v>448.87</v>
      </c>
      <c r="AM1066">
        <f t="shared" si="103"/>
        <v>185.13</v>
      </c>
      <c r="AN1066" s="4">
        <f t="shared" si="104"/>
        <v>0.292003154574133</v>
      </c>
      <c r="AO1066" t="s">
        <v>221</v>
      </c>
      <c r="AQ1066" t="s">
        <v>217</v>
      </c>
      <c r="AT1066" t="s">
        <v>869</v>
      </c>
    </row>
    <row r="1067" ht="15.75" customHeight="1" spans="1:46">
      <c r="A1067" t="s">
        <v>1891</v>
      </c>
      <c r="B1067" t="s">
        <v>83</v>
      </c>
      <c r="C1067" t="s">
        <v>1499</v>
      </c>
      <c r="D1067" t="s">
        <v>1797</v>
      </c>
      <c r="E1067" t="s">
        <v>1626</v>
      </c>
      <c r="F1067" t="s">
        <v>1799</v>
      </c>
      <c r="H1067" t="s">
        <v>1800</v>
      </c>
      <c r="I1067" t="s">
        <v>446</v>
      </c>
      <c r="J1067" t="s">
        <v>1570</v>
      </c>
      <c r="K1067" t="s">
        <v>1571</v>
      </c>
      <c r="L1067" t="s">
        <v>1803</v>
      </c>
      <c r="M1067" t="s">
        <v>1804</v>
      </c>
      <c r="Q1067" t="s">
        <v>57</v>
      </c>
      <c r="R1067" t="s">
        <v>1904</v>
      </c>
      <c r="Y1067" t="s">
        <v>1897</v>
      </c>
      <c r="Z1067">
        <v>8536</v>
      </c>
      <c r="AE1067">
        <v>390</v>
      </c>
      <c r="AF1067" s="4">
        <v>0.5</v>
      </c>
      <c r="AG1067">
        <f t="shared" si="105"/>
        <v>195</v>
      </c>
      <c r="AH1067" s="4">
        <v>0.18</v>
      </c>
      <c r="AI1067">
        <f t="shared" si="100"/>
        <v>230.1</v>
      </c>
      <c r="AJ1067" s="4">
        <v>0.2</v>
      </c>
      <c r="AK1067">
        <f t="shared" si="101"/>
        <v>46.02</v>
      </c>
      <c r="AL1067">
        <f t="shared" si="102"/>
        <v>276.12</v>
      </c>
      <c r="AM1067">
        <f t="shared" si="103"/>
        <v>113.88</v>
      </c>
      <c r="AN1067" s="4">
        <f t="shared" si="104"/>
        <v>0.292</v>
      </c>
      <c r="AO1067" t="s">
        <v>221</v>
      </c>
      <c r="AQ1067" t="s">
        <v>217</v>
      </c>
      <c r="AT1067" t="s">
        <v>869</v>
      </c>
    </row>
    <row r="1068" ht="15.75" customHeight="1" spans="1:46">
      <c r="A1068" t="s">
        <v>1891</v>
      </c>
      <c r="B1068" t="s">
        <v>131</v>
      </c>
      <c r="C1068" t="s">
        <v>1499</v>
      </c>
      <c r="D1068" t="s">
        <v>1797</v>
      </c>
      <c r="E1068" t="s">
        <v>1626</v>
      </c>
      <c r="F1068" t="s">
        <v>1799</v>
      </c>
      <c r="H1068" t="s">
        <v>1800</v>
      </c>
      <c r="I1068" t="s">
        <v>446</v>
      </c>
      <c r="J1068" t="s">
        <v>1570</v>
      </c>
      <c r="K1068" t="s">
        <v>1654</v>
      </c>
      <c r="L1068" t="s">
        <v>1803</v>
      </c>
      <c r="M1068" t="s">
        <v>1804</v>
      </c>
      <c r="Q1068" t="s">
        <v>57</v>
      </c>
      <c r="R1068" t="s">
        <v>1905</v>
      </c>
      <c r="Y1068" t="s">
        <v>1897</v>
      </c>
      <c r="Z1068">
        <v>8536</v>
      </c>
      <c r="AE1068">
        <v>390</v>
      </c>
      <c r="AF1068" s="4">
        <v>0.5</v>
      </c>
      <c r="AG1068">
        <f t="shared" si="105"/>
        <v>195</v>
      </c>
      <c r="AH1068" s="4">
        <v>0.18</v>
      </c>
      <c r="AI1068">
        <f t="shared" si="100"/>
        <v>230.1</v>
      </c>
      <c r="AJ1068" s="4">
        <v>0.2</v>
      </c>
      <c r="AK1068">
        <f t="shared" si="101"/>
        <v>46.02</v>
      </c>
      <c r="AL1068">
        <f t="shared" si="102"/>
        <v>276.12</v>
      </c>
      <c r="AM1068">
        <f t="shared" si="103"/>
        <v>113.88</v>
      </c>
      <c r="AN1068" s="4">
        <f t="shared" si="104"/>
        <v>0.292</v>
      </c>
      <c r="AO1068" t="s">
        <v>221</v>
      </c>
      <c r="AQ1068" t="s">
        <v>217</v>
      </c>
      <c r="AT1068" t="s">
        <v>869</v>
      </c>
    </row>
    <row r="1069" ht="15.75" customHeight="1" spans="1:46">
      <c r="A1069" t="s">
        <v>1891</v>
      </c>
      <c r="B1069" t="s">
        <v>133</v>
      </c>
      <c r="C1069" t="s">
        <v>1499</v>
      </c>
      <c r="D1069" t="s">
        <v>1797</v>
      </c>
      <c r="E1069" t="s">
        <v>1626</v>
      </c>
      <c r="F1069" t="s">
        <v>1799</v>
      </c>
      <c r="H1069" t="s">
        <v>1800</v>
      </c>
      <c r="I1069" t="s">
        <v>446</v>
      </c>
      <c r="J1069" t="s">
        <v>1570</v>
      </c>
      <c r="K1069" t="s">
        <v>1575</v>
      </c>
      <c r="L1069" t="s">
        <v>1803</v>
      </c>
      <c r="M1069" t="s">
        <v>1804</v>
      </c>
      <c r="Q1069" t="s">
        <v>57</v>
      </c>
      <c r="R1069" t="s">
        <v>1906</v>
      </c>
      <c r="Y1069" t="s">
        <v>1897</v>
      </c>
      <c r="Z1069">
        <v>8536</v>
      </c>
      <c r="AE1069">
        <v>390</v>
      </c>
      <c r="AF1069" s="4">
        <v>0.5</v>
      </c>
      <c r="AG1069">
        <f t="shared" si="105"/>
        <v>195</v>
      </c>
      <c r="AH1069" s="4">
        <v>0.18</v>
      </c>
      <c r="AI1069">
        <f t="shared" si="100"/>
        <v>230.1</v>
      </c>
      <c r="AJ1069" s="4">
        <v>0.2</v>
      </c>
      <c r="AK1069">
        <f t="shared" si="101"/>
        <v>46.02</v>
      </c>
      <c r="AL1069">
        <f t="shared" si="102"/>
        <v>276.12</v>
      </c>
      <c r="AM1069">
        <f t="shared" si="103"/>
        <v>113.88</v>
      </c>
      <c r="AN1069" s="4">
        <f t="shared" si="104"/>
        <v>0.292</v>
      </c>
      <c r="AO1069" t="s">
        <v>221</v>
      </c>
      <c r="AQ1069" t="s">
        <v>217</v>
      </c>
      <c r="AT1069" t="s">
        <v>869</v>
      </c>
    </row>
    <row r="1070" ht="15.75" customHeight="1" spans="1:46">
      <c r="A1070" t="s">
        <v>1891</v>
      </c>
      <c r="B1070" t="s">
        <v>135</v>
      </c>
      <c r="C1070" t="s">
        <v>1499</v>
      </c>
      <c r="D1070" t="s">
        <v>1797</v>
      </c>
      <c r="E1070" t="s">
        <v>1626</v>
      </c>
      <c r="F1070" t="s">
        <v>1799</v>
      </c>
      <c r="H1070" t="s">
        <v>1800</v>
      </c>
      <c r="I1070" t="s">
        <v>446</v>
      </c>
      <c r="J1070" t="s">
        <v>1570</v>
      </c>
      <c r="K1070" t="s">
        <v>1672</v>
      </c>
      <c r="L1070" t="s">
        <v>1803</v>
      </c>
      <c r="M1070" t="s">
        <v>1804</v>
      </c>
      <c r="Q1070" t="s">
        <v>57</v>
      </c>
      <c r="R1070" t="s">
        <v>1907</v>
      </c>
      <c r="Y1070" t="s">
        <v>1897</v>
      </c>
      <c r="Z1070">
        <v>8536</v>
      </c>
      <c r="AE1070">
        <v>390</v>
      </c>
      <c r="AF1070" s="4">
        <v>0.5</v>
      </c>
      <c r="AG1070">
        <f t="shared" si="105"/>
        <v>195</v>
      </c>
      <c r="AH1070" s="4">
        <v>0.18</v>
      </c>
      <c r="AI1070">
        <f t="shared" si="100"/>
        <v>230.1</v>
      </c>
      <c r="AJ1070" s="4">
        <v>0.2</v>
      </c>
      <c r="AK1070">
        <f t="shared" si="101"/>
        <v>46.02</v>
      </c>
      <c r="AL1070">
        <f t="shared" si="102"/>
        <v>276.12</v>
      </c>
      <c r="AM1070">
        <f t="shared" si="103"/>
        <v>113.88</v>
      </c>
      <c r="AN1070" s="4">
        <f t="shared" si="104"/>
        <v>0.292</v>
      </c>
      <c r="AO1070" t="s">
        <v>221</v>
      </c>
      <c r="AQ1070" t="s">
        <v>217</v>
      </c>
      <c r="AT1070" t="s">
        <v>869</v>
      </c>
    </row>
    <row r="1071" ht="15.75" customHeight="1" spans="1:46">
      <c r="A1071" t="s">
        <v>1891</v>
      </c>
      <c r="B1071" t="s">
        <v>137</v>
      </c>
      <c r="C1071" t="s">
        <v>1499</v>
      </c>
      <c r="D1071" t="s">
        <v>1797</v>
      </c>
      <c r="E1071" t="s">
        <v>1626</v>
      </c>
      <c r="F1071" t="s">
        <v>1799</v>
      </c>
      <c r="H1071" t="s">
        <v>1800</v>
      </c>
      <c r="I1071" t="s">
        <v>446</v>
      </c>
      <c r="J1071" t="s">
        <v>1570</v>
      </c>
      <c r="K1071" t="s">
        <v>1807</v>
      </c>
      <c r="L1071" t="s">
        <v>1803</v>
      </c>
      <c r="M1071" t="s">
        <v>1804</v>
      </c>
      <c r="Q1071" t="s">
        <v>57</v>
      </c>
      <c r="R1071" t="s">
        <v>1908</v>
      </c>
      <c r="Y1071" t="s">
        <v>1897</v>
      </c>
      <c r="Z1071">
        <v>8536</v>
      </c>
      <c r="AE1071">
        <v>390</v>
      </c>
      <c r="AF1071" s="4">
        <v>0.5</v>
      </c>
      <c r="AG1071">
        <f t="shared" si="105"/>
        <v>195</v>
      </c>
      <c r="AH1071" s="4">
        <v>0.18</v>
      </c>
      <c r="AI1071">
        <f t="shared" si="100"/>
        <v>230.1</v>
      </c>
      <c r="AJ1071" s="4">
        <v>0.2</v>
      </c>
      <c r="AK1071">
        <f t="shared" si="101"/>
        <v>46.02</v>
      </c>
      <c r="AL1071">
        <f t="shared" si="102"/>
        <v>276.12</v>
      </c>
      <c r="AM1071">
        <f t="shared" si="103"/>
        <v>113.88</v>
      </c>
      <c r="AN1071" s="4">
        <f t="shared" si="104"/>
        <v>0.292</v>
      </c>
      <c r="AO1071" t="s">
        <v>221</v>
      </c>
      <c r="AQ1071" t="s">
        <v>217</v>
      </c>
      <c r="AT1071" t="s">
        <v>869</v>
      </c>
    </row>
    <row r="1072" ht="15.75" customHeight="1" spans="1:46">
      <c r="A1072" t="s">
        <v>1891</v>
      </c>
      <c r="B1072" t="s">
        <v>138</v>
      </c>
      <c r="C1072" t="s">
        <v>1499</v>
      </c>
      <c r="D1072" t="s">
        <v>1797</v>
      </c>
      <c r="E1072" t="s">
        <v>1626</v>
      </c>
      <c r="F1072" t="s">
        <v>1799</v>
      </c>
      <c r="H1072" t="s">
        <v>1800</v>
      </c>
      <c r="I1072" t="s">
        <v>446</v>
      </c>
      <c r="J1072" t="s">
        <v>1570</v>
      </c>
      <c r="K1072" t="s">
        <v>1808</v>
      </c>
      <c r="L1072" t="s">
        <v>1803</v>
      </c>
      <c r="M1072" t="s">
        <v>1804</v>
      </c>
      <c r="Q1072" t="s">
        <v>57</v>
      </c>
      <c r="R1072" t="s">
        <v>1909</v>
      </c>
      <c r="Y1072" t="s">
        <v>1897</v>
      </c>
      <c r="Z1072">
        <v>8536</v>
      </c>
      <c r="AE1072">
        <v>390</v>
      </c>
      <c r="AF1072" s="4">
        <v>0.5</v>
      </c>
      <c r="AG1072">
        <f t="shared" si="105"/>
        <v>195</v>
      </c>
      <c r="AH1072" s="4">
        <v>0.18</v>
      </c>
      <c r="AI1072">
        <f t="shared" si="100"/>
        <v>230.1</v>
      </c>
      <c r="AJ1072" s="4">
        <v>0.2</v>
      </c>
      <c r="AK1072">
        <f t="shared" si="101"/>
        <v>46.02</v>
      </c>
      <c r="AL1072">
        <f t="shared" si="102"/>
        <v>276.12</v>
      </c>
      <c r="AM1072">
        <f t="shared" si="103"/>
        <v>113.88</v>
      </c>
      <c r="AN1072" s="4">
        <f t="shared" si="104"/>
        <v>0.292</v>
      </c>
      <c r="AO1072" t="s">
        <v>221</v>
      </c>
      <c r="AQ1072" t="s">
        <v>217</v>
      </c>
      <c r="AT1072" t="s">
        <v>869</v>
      </c>
    </row>
    <row r="1073" ht="15.75" customHeight="1" spans="1:46">
      <c r="A1073" t="s">
        <v>1891</v>
      </c>
      <c r="B1073" t="s">
        <v>140</v>
      </c>
      <c r="C1073" t="s">
        <v>1499</v>
      </c>
      <c r="D1073" t="s">
        <v>1797</v>
      </c>
      <c r="E1073" t="s">
        <v>1626</v>
      </c>
      <c r="F1073" t="s">
        <v>1799</v>
      </c>
      <c r="H1073" t="s">
        <v>1800</v>
      </c>
      <c r="I1073" t="s">
        <v>446</v>
      </c>
      <c r="J1073" t="s">
        <v>1570</v>
      </c>
      <c r="K1073" t="s">
        <v>1809</v>
      </c>
      <c r="L1073" t="s">
        <v>1803</v>
      </c>
      <c r="M1073" t="s">
        <v>1804</v>
      </c>
      <c r="Q1073" t="s">
        <v>57</v>
      </c>
      <c r="R1073" t="s">
        <v>1910</v>
      </c>
      <c r="Y1073" t="s">
        <v>1897</v>
      </c>
      <c r="Z1073">
        <v>8536</v>
      </c>
      <c r="AE1073">
        <v>892</v>
      </c>
      <c r="AF1073" s="4">
        <v>0.5</v>
      </c>
      <c r="AG1073">
        <f t="shared" si="105"/>
        <v>446</v>
      </c>
      <c r="AH1073" s="4">
        <v>0.18</v>
      </c>
      <c r="AI1073">
        <f t="shared" si="100"/>
        <v>526.28</v>
      </c>
      <c r="AJ1073" s="4">
        <v>0.2</v>
      </c>
      <c r="AK1073">
        <f t="shared" si="101"/>
        <v>105.26</v>
      </c>
      <c r="AL1073">
        <f t="shared" si="102"/>
        <v>631.54</v>
      </c>
      <c r="AM1073">
        <f t="shared" si="103"/>
        <v>260.46</v>
      </c>
      <c r="AN1073" s="4">
        <f t="shared" si="104"/>
        <v>0.291995515695067</v>
      </c>
      <c r="AO1073" t="s">
        <v>221</v>
      </c>
      <c r="AQ1073" t="s">
        <v>217</v>
      </c>
      <c r="AT1073" t="s">
        <v>869</v>
      </c>
    </row>
    <row r="1074" ht="15.75" customHeight="1" spans="1:46">
      <c r="A1074" t="s">
        <v>1891</v>
      </c>
      <c r="B1074" t="s">
        <v>202</v>
      </c>
      <c r="C1074" t="s">
        <v>1499</v>
      </c>
      <c r="D1074" t="s">
        <v>1797</v>
      </c>
      <c r="E1074" t="s">
        <v>1626</v>
      </c>
      <c r="F1074" t="s">
        <v>1799</v>
      </c>
      <c r="H1074" t="s">
        <v>1800</v>
      </c>
      <c r="I1074" t="s">
        <v>446</v>
      </c>
      <c r="J1074" t="s">
        <v>1570</v>
      </c>
      <c r="K1074" t="s">
        <v>1911</v>
      </c>
      <c r="L1074" t="s">
        <v>1803</v>
      </c>
      <c r="M1074" t="s">
        <v>1804</v>
      </c>
      <c r="Q1074" t="s">
        <v>57</v>
      </c>
      <c r="R1074" t="s">
        <v>1912</v>
      </c>
      <c r="Y1074" t="s">
        <v>1897</v>
      </c>
      <c r="Z1074">
        <v>8536</v>
      </c>
      <c r="AE1074">
        <v>892</v>
      </c>
      <c r="AF1074" s="4">
        <v>0.5</v>
      </c>
      <c r="AG1074">
        <f t="shared" si="105"/>
        <v>446</v>
      </c>
      <c r="AH1074" s="4">
        <v>0.18</v>
      </c>
      <c r="AI1074">
        <f t="shared" si="100"/>
        <v>526.28</v>
      </c>
      <c r="AJ1074" s="4">
        <v>0.2</v>
      </c>
      <c r="AK1074">
        <f t="shared" si="101"/>
        <v>105.26</v>
      </c>
      <c r="AL1074">
        <f t="shared" si="102"/>
        <v>631.54</v>
      </c>
      <c r="AM1074">
        <f t="shared" si="103"/>
        <v>260.46</v>
      </c>
      <c r="AN1074" s="4">
        <f t="shared" si="104"/>
        <v>0.291995515695067</v>
      </c>
      <c r="AO1074" t="s">
        <v>221</v>
      </c>
      <c r="AQ1074" t="s">
        <v>217</v>
      </c>
      <c r="AT1074" t="s">
        <v>869</v>
      </c>
    </row>
    <row r="1075" ht="15.75" customHeight="1" spans="1:46">
      <c r="A1075" t="s">
        <v>1891</v>
      </c>
      <c r="B1075" t="s">
        <v>203</v>
      </c>
      <c r="C1075" t="s">
        <v>1499</v>
      </c>
      <c r="D1075" t="s">
        <v>1797</v>
      </c>
      <c r="E1075" t="s">
        <v>1626</v>
      </c>
      <c r="F1075" t="s">
        <v>1799</v>
      </c>
      <c r="H1075" t="s">
        <v>1800</v>
      </c>
      <c r="I1075" t="s">
        <v>446</v>
      </c>
      <c r="J1075" t="s">
        <v>1570</v>
      </c>
      <c r="K1075" t="s">
        <v>1815</v>
      </c>
      <c r="L1075" t="s">
        <v>1803</v>
      </c>
      <c r="M1075" t="s">
        <v>1804</v>
      </c>
      <c r="Q1075" t="s">
        <v>57</v>
      </c>
      <c r="R1075" t="s">
        <v>1913</v>
      </c>
      <c r="Y1075" t="s">
        <v>1897</v>
      </c>
      <c r="Z1075">
        <v>8536</v>
      </c>
      <c r="AE1075">
        <v>892</v>
      </c>
      <c r="AF1075" s="4">
        <v>0.5</v>
      </c>
      <c r="AG1075">
        <f t="shared" si="105"/>
        <v>446</v>
      </c>
      <c r="AH1075" s="4">
        <v>0.18</v>
      </c>
      <c r="AI1075">
        <f t="shared" si="100"/>
        <v>526.28</v>
      </c>
      <c r="AJ1075" s="4">
        <v>0.2</v>
      </c>
      <c r="AK1075">
        <f t="shared" si="101"/>
        <v>105.26</v>
      </c>
      <c r="AL1075">
        <f t="shared" si="102"/>
        <v>631.54</v>
      </c>
      <c r="AM1075">
        <f t="shared" si="103"/>
        <v>260.46</v>
      </c>
      <c r="AN1075" s="4">
        <f t="shared" si="104"/>
        <v>0.291995515695067</v>
      </c>
      <c r="AO1075" t="s">
        <v>221</v>
      </c>
      <c r="AQ1075" t="s">
        <v>217</v>
      </c>
      <c r="AT1075" t="s">
        <v>869</v>
      </c>
    </row>
    <row r="1076" ht="15.75" customHeight="1" spans="1:46">
      <c r="A1076" t="s">
        <v>1891</v>
      </c>
      <c r="B1076" t="s">
        <v>204</v>
      </c>
      <c r="C1076" t="s">
        <v>1499</v>
      </c>
      <c r="D1076" t="s">
        <v>1797</v>
      </c>
      <c r="E1076" t="s">
        <v>1626</v>
      </c>
      <c r="F1076" t="s">
        <v>1799</v>
      </c>
      <c r="H1076" t="s">
        <v>1800</v>
      </c>
      <c r="I1076" t="s">
        <v>446</v>
      </c>
      <c r="J1076" t="s">
        <v>1570</v>
      </c>
      <c r="K1076" t="s">
        <v>1892</v>
      </c>
      <c r="L1076" t="s">
        <v>1803</v>
      </c>
      <c r="M1076" t="s">
        <v>1850</v>
      </c>
      <c r="Q1076" t="s">
        <v>57</v>
      </c>
      <c r="R1076" s="17">
        <v>798454</v>
      </c>
      <c r="Y1076" t="s">
        <v>1914</v>
      </c>
      <c r="Z1076">
        <v>8536</v>
      </c>
      <c r="AE1076">
        <v>1674</v>
      </c>
      <c r="AF1076" s="4">
        <v>0.5</v>
      </c>
      <c r="AG1076">
        <f t="shared" si="105"/>
        <v>837</v>
      </c>
      <c r="AH1076" s="4">
        <v>0.18</v>
      </c>
      <c r="AI1076">
        <f t="shared" si="100"/>
        <v>987.66</v>
      </c>
      <c r="AJ1076" s="4">
        <v>0.2</v>
      </c>
      <c r="AK1076">
        <f t="shared" si="101"/>
        <v>197.53</v>
      </c>
      <c r="AL1076">
        <f t="shared" si="102"/>
        <v>1185.19</v>
      </c>
      <c r="AM1076">
        <f t="shared" si="103"/>
        <v>488.81</v>
      </c>
      <c r="AN1076" s="4">
        <f t="shared" si="104"/>
        <v>0.29200119474313</v>
      </c>
      <c r="AO1076" t="s">
        <v>221</v>
      </c>
      <c r="AQ1076" t="s">
        <v>217</v>
      </c>
      <c r="AT1076" t="s">
        <v>869</v>
      </c>
    </row>
    <row r="1077" ht="15.75" customHeight="1" spans="1:46">
      <c r="A1077" t="s">
        <v>1891</v>
      </c>
      <c r="B1077" t="s">
        <v>205</v>
      </c>
      <c r="C1077" t="s">
        <v>1499</v>
      </c>
      <c r="D1077" t="s">
        <v>1797</v>
      </c>
      <c r="E1077" t="s">
        <v>1626</v>
      </c>
      <c r="F1077" t="s">
        <v>1799</v>
      </c>
      <c r="H1077" t="s">
        <v>1800</v>
      </c>
      <c r="I1077" t="s">
        <v>446</v>
      </c>
      <c r="J1077" t="s">
        <v>1570</v>
      </c>
      <c r="K1077" t="s">
        <v>1895</v>
      </c>
      <c r="L1077" t="s">
        <v>1803</v>
      </c>
      <c r="M1077" t="s">
        <v>1850</v>
      </c>
      <c r="Q1077" t="s">
        <v>57</v>
      </c>
      <c r="R1077" s="17">
        <v>798482</v>
      </c>
      <c r="Y1077" t="s">
        <v>1914</v>
      </c>
      <c r="Z1077">
        <v>8536</v>
      </c>
      <c r="AE1077">
        <v>1674</v>
      </c>
      <c r="AF1077" s="4">
        <v>0.5</v>
      </c>
      <c r="AG1077">
        <f t="shared" si="105"/>
        <v>837</v>
      </c>
      <c r="AH1077" s="4">
        <v>0.18</v>
      </c>
      <c r="AI1077">
        <f t="shared" si="100"/>
        <v>987.66</v>
      </c>
      <c r="AJ1077" s="4">
        <v>0.2</v>
      </c>
      <c r="AK1077">
        <f t="shared" si="101"/>
        <v>197.53</v>
      </c>
      <c r="AL1077">
        <f t="shared" si="102"/>
        <v>1185.19</v>
      </c>
      <c r="AM1077">
        <f t="shared" si="103"/>
        <v>488.81</v>
      </c>
      <c r="AN1077" s="4">
        <f t="shared" si="104"/>
        <v>0.29200119474313</v>
      </c>
      <c r="AO1077" t="s">
        <v>221</v>
      </c>
      <c r="AQ1077" t="s">
        <v>217</v>
      </c>
      <c r="AT1077" t="s">
        <v>869</v>
      </c>
    </row>
    <row r="1078" ht="15.75" customHeight="1" spans="1:46">
      <c r="A1078" t="s">
        <v>1891</v>
      </c>
      <c r="B1078" t="s">
        <v>206</v>
      </c>
      <c r="C1078" t="s">
        <v>1499</v>
      </c>
      <c r="D1078" t="s">
        <v>1797</v>
      </c>
      <c r="E1078" t="s">
        <v>1626</v>
      </c>
      <c r="F1078" t="s">
        <v>1799</v>
      </c>
      <c r="H1078" t="s">
        <v>1800</v>
      </c>
      <c r="I1078" t="s">
        <v>446</v>
      </c>
      <c r="J1078" t="s">
        <v>1570</v>
      </c>
      <c r="K1078" t="s">
        <v>1898</v>
      </c>
      <c r="L1078" t="s">
        <v>1803</v>
      </c>
      <c r="M1078" t="s">
        <v>1850</v>
      </c>
      <c r="Q1078" t="s">
        <v>57</v>
      </c>
      <c r="R1078" s="17">
        <v>798543</v>
      </c>
      <c r="Y1078" t="s">
        <v>1914</v>
      </c>
      <c r="Z1078">
        <v>8536</v>
      </c>
      <c r="AE1078">
        <v>1674</v>
      </c>
      <c r="AF1078" s="4">
        <v>0.5</v>
      </c>
      <c r="AG1078">
        <f t="shared" si="105"/>
        <v>837</v>
      </c>
      <c r="AH1078" s="4">
        <v>0.18</v>
      </c>
      <c r="AI1078">
        <f t="shared" si="100"/>
        <v>987.66</v>
      </c>
      <c r="AJ1078" s="4">
        <v>0.2</v>
      </c>
      <c r="AK1078">
        <f t="shared" si="101"/>
        <v>197.53</v>
      </c>
      <c r="AL1078">
        <f t="shared" si="102"/>
        <v>1185.19</v>
      </c>
      <c r="AM1078">
        <f t="shared" si="103"/>
        <v>488.81</v>
      </c>
      <c r="AN1078" s="4">
        <f t="shared" si="104"/>
        <v>0.29200119474313</v>
      </c>
      <c r="AO1078" t="s">
        <v>221</v>
      </c>
      <c r="AQ1078" t="s">
        <v>217</v>
      </c>
      <c r="AT1078" t="s">
        <v>869</v>
      </c>
    </row>
    <row r="1079" ht="15.75" customHeight="1" spans="1:46">
      <c r="A1079" t="s">
        <v>1891</v>
      </c>
      <c r="B1079" t="s">
        <v>207</v>
      </c>
      <c r="C1079" t="s">
        <v>1499</v>
      </c>
      <c r="D1079" t="s">
        <v>1797</v>
      </c>
      <c r="E1079" t="s">
        <v>1626</v>
      </c>
      <c r="F1079" t="s">
        <v>1799</v>
      </c>
      <c r="H1079" t="s">
        <v>1800</v>
      </c>
      <c r="I1079" t="s">
        <v>446</v>
      </c>
      <c r="J1079" t="s">
        <v>1570</v>
      </c>
      <c r="K1079" t="s">
        <v>1900</v>
      </c>
      <c r="L1079" t="s">
        <v>1803</v>
      </c>
      <c r="M1079" t="s">
        <v>1850</v>
      </c>
      <c r="Q1079" t="s">
        <v>57</v>
      </c>
      <c r="R1079" s="17">
        <v>798574</v>
      </c>
      <c r="Y1079" t="s">
        <v>1914</v>
      </c>
      <c r="Z1079">
        <v>8536</v>
      </c>
      <c r="AE1079">
        <v>1674</v>
      </c>
      <c r="AF1079" s="4">
        <v>0.5</v>
      </c>
      <c r="AG1079">
        <f t="shared" si="105"/>
        <v>837</v>
      </c>
      <c r="AH1079" s="4">
        <v>0.18</v>
      </c>
      <c r="AI1079">
        <f t="shared" si="100"/>
        <v>987.66</v>
      </c>
      <c r="AJ1079" s="4">
        <v>0.2</v>
      </c>
      <c r="AK1079">
        <f t="shared" si="101"/>
        <v>197.53</v>
      </c>
      <c r="AL1079">
        <f t="shared" si="102"/>
        <v>1185.19</v>
      </c>
      <c r="AM1079">
        <f t="shared" si="103"/>
        <v>488.81</v>
      </c>
      <c r="AN1079" s="4">
        <f t="shared" si="104"/>
        <v>0.29200119474313</v>
      </c>
      <c r="AO1079" t="s">
        <v>221</v>
      </c>
      <c r="AQ1079" t="s">
        <v>217</v>
      </c>
      <c r="AT1079" t="s">
        <v>869</v>
      </c>
    </row>
    <row r="1080" ht="15.75" customHeight="1" spans="1:46">
      <c r="A1080" t="s">
        <v>1891</v>
      </c>
      <c r="B1080" t="s">
        <v>208</v>
      </c>
      <c r="C1080" t="s">
        <v>1499</v>
      </c>
      <c r="D1080" t="s">
        <v>1797</v>
      </c>
      <c r="E1080" t="s">
        <v>1626</v>
      </c>
      <c r="F1080" t="s">
        <v>1799</v>
      </c>
      <c r="H1080" t="s">
        <v>1800</v>
      </c>
      <c r="I1080" t="s">
        <v>446</v>
      </c>
      <c r="J1080" t="s">
        <v>1570</v>
      </c>
      <c r="K1080" t="s">
        <v>1902</v>
      </c>
      <c r="L1080" t="s">
        <v>1803</v>
      </c>
      <c r="M1080" t="s">
        <v>1850</v>
      </c>
      <c r="Q1080" t="s">
        <v>57</v>
      </c>
      <c r="R1080" s="17">
        <v>798604</v>
      </c>
      <c r="Y1080" t="s">
        <v>1914</v>
      </c>
      <c r="Z1080">
        <v>8536</v>
      </c>
      <c r="AE1080">
        <v>1674</v>
      </c>
      <c r="AF1080" s="4">
        <v>0.5</v>
      </c>
      <c r="AG1080">
        <f t="shared" si="105"/>
        <v>837</v>
      </c>
      <c r="AH1080" s="4">
        <v>0.18</v>
      </c>
      <c r="AI1080">
        <f t="shared" si="100"/>
        <v>987.66</v>
      </c>
      <c r="AJ1080" s="4">
        <v>0.2</v>
      </c>
      <c r="AK1080">
        <f t="shared" si="101"/>
        <v>197.53</v>
      </c>
      <c r="AL1080">
        <f t="shared" si="102"/>
        <v>1185.19</v>
      </c>
      <c r="AM1080">
        <f t="shared" si="103"/>
        <v>488.81</v>
      </c>
      <c r="AN1080" s="4">
        <f t="shared" si="104"/>
        <v>0.29200119474313</v>
      </c>
      <c r="AO1080" t="s">
        <v>221</v>
      </c>
      <c r="AQ1080" t="s">
        <v>217</v>
      </c>
      <c r="AT1080" t="s">
        <v>869</v>
      </c>
    </row>
    <row r="1081" ht="15.75" customHeight="1" spans="1:46">
      <c r="A1081" t="s">
        <v>1891</v>
      </c>
      <c r="B1081" t="s">
        <v>209</v>
      </c>
      <c r="C1081" t="s">
        <v>1499</v>
      </c>
      <c r="D1081" t="s">
        <v>1797</v>
      </c>
      <c r="E1081" t="s">
        <v>1626</v>
      </c>
      <c r="F1081" t="s">
        <v>1799</v>
      </c>
      <c r="H1081" t="s">
        <v>1800</v>
      </c>
      <c r="I1081" t="s">
        <v>446</v>
      </c>
      <c r="J1081" t="s">
        <v>1570</v>
      </c>
      <c r="K1081" t="s">
        <v>1571</v>
      </c>
      <c r="L1081" t="s">
        <v>1803</v>
      </c>
      <c r="M1081" t="s">
        <v>1850</v>
      </c>
      <c r="Q1081" t="s">
        <v>57</v>
      </c>
      <c r="R1081" s="17">
        <v>798666</v>
      </c>
      <c r="Y1081" t="s">
        <v>1914</v>
      </c>
      <c r="Z1081">
        <v>8536</v>
      </c>
      <c r="AE1081">
        <v>1184</v>
      </c>
      <c r="AF1081" s="4">
        <v>0.5</v>
      </c>
      <c r="AG1081">
        <f t="shared" si="105"/>
        <v>592</v>
      </c>
      <c r="AH1081" s="4">
        <v>0.18</v>
      </c>
      <c r="AI1081">
        <f t="shared" si="100"/>
        <v>698.56</v>
      </c>
      <c r="AJ1081" s="4">
        <v>0.2</v>
      </c>
      <c r="AK1081">
        <f t="shared" si="101"/>
        <v>139.71</v>
      </c>
      <c r="AL1081">
        <f t="shared" si="102"/>
        <v>838.27</v>
      </c>
      <c r="AM1081">
        <f t="shared" si="103"/>
        <v>345.73</v>
      </c>
      <c r="AN1081" s="4">
        <f t="shared" si="104"/>
        <v>0.292001689189189</v>
      </c>
      <c r="AO1081" t="s">
        <v>221</v>
      </c>
      <c r="AQ1081" t="s">
        <v>217</v>
      </c>
      <c r="AT1081" t="s">
        <v>869</v>
      </c>
    </row>
    <row r="1082" ht="15.75" customHeight="1" spans="1:46">
      <c r="A1082" t="s">
        <v>1891</v>
      </c>
      <c r="B1082" t="s">
        <v>210</v>
      </c>
      <c r="C1082" t="s">
        <v>1499</v>
      </c>
      <c r="D1082" t="s">
        <v>1797</v>
      </c>
      <c r="E1082" t="s">
        <v>1626</v>
      </c>
      <c r="F1082" t="s">
        <v>1799</v>
      </c>
      <c r="H1082" t="s">
        <v>1800</v>
      </c>
      <c r="I1082" t="s">
        <v>446</v>
      </c>
      <c r="J1082" t="s">
        <v>1570</v>
      </c>
      <c r="K1082" t="s">
        <v>1654</v>
      </c>
      <c r="L1082" t="s">
        <v>1803</v>
      </c>
      <c r="M1082" t="s">
        <v>1850</v>
      </c>
      <c r="Q1082" t="s">
        <v>57</v>
      </c>
      <c r="R1082" s="17">
        <v>798757</v>
      </c>
      <c r="Y1082" t="s">
        <v>1914</v>
      </c>
      <c r="Z1082">
        <v>8536</v>
      </c>
      <c r="AE1082">
        <v>1184</v>
      </c>
      <c r="AF1082" s="4">
        <v>0.5</v>
      </c>
      <c r="AG1082">
        <f t="shared" si="105"/>
        <v>592</v>
      </c>
      <c r="AH1082" s="4">
        <v>0.18</v>
      </c>
      <c r="AI1082">
        <f t="shared" si="100"/>
        <v>698.56</v>
      </c>
      <c r="AJ1082" s="4">
        <v>0.2</v>
      </c>
      <c r="AK1082">
        <f t="shared" si="101"/>
        <v>139.71</v>
      </c>
      <c r="AL1082">
        <f t="shared" si="102"/>
        <v>838.27</v>
      </c>
      <c r="AM1082">
        <f t="shared" si="103"/>
        <v>345.73</v>
      </c>
      <c r="AN1082" s="4">
        <f t="shared" si="104"/>
        <v>0.292001689189189</v>
      </c>
      <c r="AO1082" t="s">
        <v>221</v>
      </c>
      <c r="AQ1082" t="s">
        <v>217</v>
      </c>
      <c r="AT1082" t="s">
        <v>869</v>
      </c>
    </row>
    <row r="1083" ht="15.75" customHeight="1" spans="1:46">
      <c r="A1083" t="s">
        <v>1891</v>
      </c>
      <c r="B1083" t="s">
        <v>211</v>
      </c>
      <c r="C1083" t="s">
        <v>1499</v>
      </c>
      <c r="D1083" t="s">
        <v>1797</v>
      </c>
      <c r="E1083" t="s">
        <v>1626</v>
      </c>
      <c r="F1083" t="s">
        <v>1799</v>
      </c>
      <c r="H1083" t="s">
        <v>1800</v>
      </c>
      <c r="I1083" t="s">
        <v>446</v>
      </c>
      <c r="J1083" t="s">
        <v>1570</v>
      </c>
      <c r="K1083" t="s">
        <v>1575</v>
      </c>
      <c r="L1083" t="s">
        <v>1803</v>
      </c>
      <c r="M1083" t="s">
        <v>1850</v>
      </c>
      <c r="Q1083" t="s">
        <v>57</v>
      </c>
      <c r="R1083" t="s">
        <v>1915</v>
      </c>
      <c r="Y1083" t="s">
        <v>1914</v>
      </c>
      <c r="Z1083">
        <v>8536</v>
      </c>
      <c r="AE1083">
        <v>1184</v>
      </c>
      <c r="AF1083" s="4">
        <v>0.5</v>
      </c>
      <c r="AG1083">
        <f t="shared" si="105"/>
        <v>592</v>
      </c>
      <c r="AH1083" s="4">
        <v>0.18</v>
      </c>
      <c r="AI1083">
        <f t="shared" si="100"/>
        <v>698.56</v>
      </c>
      <c r="AJ1083" s="4">
        <v>0.2</v>
      </c>
      <c r="AK1083">
        <f t="shared" si="101"/>
        <v>139.71</v>
      </c>
      <c r="AL1083">
        <f t="shared" si="102"/>
        <v>838.27</v>
      </c>
      <c r="AM1083">
        <f t="shared" si="103"/>
        <v>345.73</v>
      </c>
      <c r="AN1083" s="4">
        <f t="shared" si="104"/>
        <v>0.292001689189189</v>
      </c>
      <c r="AO1083" t="s">
        <v>221</v>
      </c>
      <c r="AQ1083" t="s">
        <v>217</v>
      </c>
      <c r="AT1083" t="s">
        <v>869</v>
      </c>
    </row>
    <row r="1084" ht="15.75" customHeight="1" spans="1:46">
      <c r="A1084" t="s">
        <v>1891</v>
      </c>
      <c r="B1084" t="s">
        <v>212</v>
      </c>
      <c r="C1084" t="s">
        <v>1499</v>
      </c>
      <c r="D1084" t="s">
        <v>1797</v>
      </c>
      <c r="E1084" t="s">
        <v>1626</v>
      </c>
      <c r="F1084" t="s">
        <v>1799</v>
      </c>
      <c r="H1084" t="s">
        <v>1800</v>
      </c>
      <c r="I1084" t="s">
        <v>446</v>
      </c>
      <c r="J1084" t="s">
        <v>1570</v>
      </c>
      <c r="K1084" t="s">
        <v>1672</v>
      </c>
      <c r="L1084" t="s">
        <v>1803</v>
      </c>
      <c r="M1084" t="s">
        <v>1850</v>
      </c>
      <c r="Q1084" t="s">
        <v>57</v>
      </c>
      <c r="R1084" t="s">
        <v>1916</v>
      </c>
      <c r="Y1084" t="s">
        <v>1914</v>
      </c>
      <c r="Z1084">
        <v>8536</v>
      </c>
      <c r="AE1084">
        <v>1184</v>
      </c>
      <c r="AF1084" s="4">
        <v>0.5</v>
      </c>
      <c r="AG1084">
        <f t="shared" si="105"/>
        <v>592</v>
      </c>
      <c r="AH1084" s="4">
        <v>0.18</v>
      </c>
      <c r="AI1084">
        <f t="shared" si="100"/>
        <v>698.56</v>
      </c>
      <c r="AJ1084" s="4">
        <v>0.2</v>
      </c>
      <c r="AK1084">
        <f t="shared" si="101"/>
        <v>139.71</v>
      </c>
      <c r="AL1084">
        <f t="shared" si="102"/>
        <v>838.27</v>
      </c>
      <c r="AM1084">
        <f t="shared" si="103"/>
        <v>345.73</v>
      </c>
      <c r="AN1084" s="4">
        <f t="shared" si="104"/>
        <v>0.292001689189189</v>
      </c>
      <c r="AO1084" t="s">
        <v>221</v>
      </c>
      <c r="AQ1084" t="s">
        <v>217</v>
      </c>
      <c r="AT1084" t="s">
        <v>869</v>
      </c>
    </row>
    <row r="1085" ht="15.75" customHeight="1" spans="1:46">
      <c r="A1085" t="s">
        <v>1891</v>
      </c>
      <c r="B1085" t="s">
        <v>213</v>
      </c>
      <c r="C1085" t="s">
        <v>1499</v>
      </c>
      <c r="D1085" t="s">
        <v>1797</v>
      </c>
      <c r="E1085" t="s">
        <v>1626</v>
      </c>
      <c r="F1085" t="s">
        <v>1799</v>
      </c>
      <c r="H1085" t="s">
        <v>1800</v>
      </c>
      <c r="I1085" t="s">
        <v>446</v>
      </c>
      <c r="J1085" t="s">
        <v>1570</v>
      </c>
      <c r="K1085" t="s">
        <v>1807</v>
      </c>
      <c r="L1085" t="s">
        <v>1803</v>
      </c>
      <c r="M1085" t="s">
        <v>1850</v>
      </c>
      <c r="Q1085" t="s">
        <v>57</v>
      </c>
      <c r="R1085" t="s">
        <v>1917</v>
      </c>
      <c r="Y1085" t="s">
        <v>1914</v>
      </c>
      <c r="Z1085">
        <v>8536</v>
      </c>
      <c r="AE1085">
        <v>1184</v>
      </c>
      <c r="AF1085" s="4">
        <v>0.5</v>
      </c>
      <c r="AG1085">
        <f t="shared" si="105"/>
        <v>592</v>
      </c>
      <c r="AH1085" s="4">
        <v>0.18</v>
      </c>
      <c r="AI1085">
        <f t="shared" si="100"/>
        <v>698.56</v>
      </c>
      <c r="AJ1085" s="4">
        <v>0.2</v>
      </c>
      <c r="AK1085">
        <f t="shared" si="101"/>
        <v>139.71</v>
      </c>
      <c r="AL1085">
        <f t="shared" si="102"/>
        <v>838.27</v>
      </c>
      <c r="AM1085">
        <f t="shared" si="103"/>
        <v>345.73</v>
      </c>
      <c r="AN1085" s="4">
        <f t="shared" si="104"/>
        <v>0.292001689189189</v>
      </c>
      <c r="AO1085" t="s">
        <v>221</v>
      </c>
      <c r="AQ1085" t="s">
        <v>217</v>
      </c>
      <c r="AT1085" t="s">
        <v>869</v>
      </c>
    </row>
    <row r="1086" ht="15.75" customHeight="1" spans="1:46">
      <c r="A1086" t="s">
        <v>1891</v>
      </c>
      <c r="B1086" t="s">
        <v>1520</v>
      </c>
      <c r="C1086" t="s">
        <v>1499</v>
      </c>
      <c r="D1086" t="s">
        <v>1797</v>
      </c>
      <c r="E1086" t="s">
        <v>1626</v>
      </c>
      <c r="F1086" t="s">
        <v>1799</v>
      </c>
      <c r="H1086" t="s">
        <v>1800</v>
      </c>
      <c r="I1086" t="s">
        <v>446</v>
      </c>
      <c r="J1086" t="s">
        <v>1570</v>
      </c>
      <c r="K1086" t="s">
        <v>1808</v>
      </c>
      <c r="L1086" t="s">
        <v>1803</v>
      </c>
      <c r="M1086" t="s">
        <v>1850</v>
      </c>
      <c r="Q1086" t="s">
        <v>57</v>
      </c>
      <c r="R1086" t="s">
        <v>1918</v>
      </c>
      <c r="Y1086" t="s">
        <v>1914</v>
      </c>
      <c r="Z1086">
        <v>8536</v>
      </c>
      <c r="AE1086">
        <v>1184</v>
      </c>
      <c r="AF1086" s="4">
        <v>0.5</v>
      </c>
      <c r="AG1086">
        <f t="shared" si="105"/>
        <v>592</v>
      </c>
      <c r="AH1086" s="4">
        <v>0.18</v>
      </c>
      <c r="AI1086">
        <f t="shared" si="100"/>
        <v>698.56</v>
      </c>
      <c r="AJ1086" s="4">
        <v>0.2</v>
      </c>
      <c r="AK1086">
        <f t="shared" si="101"/>
        <v>139.71</v>
      </c>
      <c r="AL1086">
        <f t="shared" si="102"/>
        <v>838.27</v>
      </c>
      <c r="AM1086">
        <f t="shared" si="103"/>
        <v>345.73</v>
      </c>
      <c r="AN1086" s="4">
        <f t="shared" si="104"/>
        <v>0.292001689189189</v>
      </c>
      <c r="AO1086" t="s">
        <v>221</v>
      </c>
      <c r="AQ1086" t="s">
        <v>217</v>
      </c>
      <c r="AT1086" t="s">
        <v>869</v>
      </c>
    </row>
    <row r="1087" ht="15.75" customHeight="1" spans="1:46">
      <c r="A1087" t="s">
        <v>1891</v>
      </c>
      <c r="B1087" t="s">
        <v>1521</v>
      </c>
      <c r="C1087" t="s">
        <v>1499</v>
      </c>
      <c r="D1087" t="s">
        <v>1797</v>
      </c>
      <c r="E1087" t="s">
        <v>1626</v>
      </c>
      <c r="F1087" t="s">
        <v>1799</v>
      </c>
      <c r="H1087" t="s">
        <v>1800</v>
      </c>
      <c r="I1087" t="s">
        <v>446</v>
      </c>
      <c r="J1087" t="s">
        <v>1570</v>
      </c>
      <c r="K1087" t="s">
        <v>1809</v>
      </c>
      <c r="L1087" t="s">
        <v>1803</v>
      </c>
      <c r="M1087" t="s">
        <v>1850</v>
      </c>
      <c r="Q1087" t="s">
        <v>57</v>
      </c>
      <c r="R1087" t="s">
        <v>1919</v>
      </c>
      <c r="Y1087" t="s">
        <v>1914</v>
      </c>
      <c r="Z1087">
        <v>8536</v>
      </c>
      <c r="AE1087">
        <v>1916</v>
      </c>
      <c r="AF1087" s="4">
        <v>0.5</v>
      </c>
      <c r="AG1087">
        <f t="shared" si="105"/>
        <v>958</v>
      </c>
      <c r="AH1087" s="4">
        <v>0.18</v>
      </c>
      <c r="AI1087">
        <f t="shared" si="100"/>
        <v>1130.44</v>
      </c>
      <c r="AJ1087" s="4">
        <v>0.2</v>
      </c>
      <c r="AK1087">
        <f t="shared" si="101"/>
        <v>226.09</v>
      </c>
      <c r="AL1087">
        <f t="shared" si="102"/>
        <v>1356.53</v>
      </c>
      <c r="AM1087">
        <f t="shared" si="103"/>
        <v>559.47</v>
      </c>
      <c r="AN1087" s="4">
        <f t="shared" si="104"/>
        <v>0.291998956158664</v>
      </c>
      <c r="AO1087" t="s">
        <v>221</v>
      </c>
      <c r="AQ1087" t="s">
        <v>217</v>
      </c>
      <c r="AT1087" t="s">
        <v>869</v>
      </c>
    </row>
    <row r="1088" ht="15.75" customHeight="1" spans="1:46">
      <c r="A1088" t="s">
        <v>1891</v>
      </c>
      <c r="B1088" t="s">
        <v>1523</v>
      </c>
      <c r="C1088" t="s">
        <v>1499</v>
      </c>
      <c r="D1088" t="s">
        <v>1797</v>
      </c>
      <c r="E1088" t="s">
        <v>1626</v>
      </c>
      <c r="F1088" t="s">
        <v>1799</v>
      </c>
      <c r="H1088" t="s">
        <v>1800</v>
      </c>
      <c r="I1088" t="s">
        <v>446</v>
      </c>
      <c r="J1088" t="s">
        <v>1570</v>
      </c>
      <c r="K1088" t="s">
        <v>1911</v>
      </c>
      <c r="L1088" t="s">
        <v>1803</v>
      </c>
      <c r="M1088" t="s">
        <v>1850</v>
      </c>
      <c r="Q1088" t="s">
        <v>57</v>
      </c>
      <c r="R1088" t="s">
        <v>1920</v>
      </c>
      <c r="Y1088" t="s">
        <v>1914</v>
      </c>
      <c r="Z1088">
        <v>8536</v>
      </c>
      <c r="AE1088">
        <v>1916</v>
      </c>
      <c r="AF1088" s="4">
        <v>0.5</v>
      </c>
      <c r="AG1088">
        <f t="shared" si="105"/>
        <v>958</v>
      </c>
      <c r="AH1088" s="4">
        <v>0.18</v>
      </c>
      <c r="AI1088">
        <f t="shared" si="100"/>
        <v>1130.44</v>
      </c>
      <c r="AJ1088" s="4">
        <v>0.2</v>
      </c>
      <c r="AK1088">
        <f t="shared" si="101"/>
        <v>226.09</v>
      </c>
      <c r="AL1088">
        <f t="shared" si="102"/>
        <v>1356.53</v>
      </c>
      <c r="AM1088">
        <f t="shared" si="103"/>
        <v>559.47</v>
      </c>
      <c r="AN1088" s="4">
        <f t="shared" si="104"/>
        <v>0.291998956158664</v>
      </c>
      <c r="AO1088" t="s">
        <v>221</v>
      </c>
      <c r="AQ1088" t="s">
        <v>217</v>
      </c>
      <c r="AT1088" t="s">
        <v>869</v>
      </c>
    </row>
    <row r="1089" ht="15.75" customHeight="1" spans="1:46">
      <c r="A1089" t="s">
        <v>1891</v>
      </c>
      <c r="B1089" t="s">
        <v>1524</v>
      </c>
      <c r="C1089" t="s">
        <v>1499</v>
      </c>
      <c r="D1089" t="s">
        <v>1797</v>
      </c>
      <c r="E1089" t="s">
        <v>1626</v>
      </c>
      <c r="F1089" t="s">
        <v>1799</v>
      </c>
      <c r="H1089" t="s">
        <v>1800</v>
      </c>
      <c r="I1089" t="s">
        <v>446</v>
      </c>
      <c r="J1089" t="s">
        <v>1570</v>
      </c>
      <c r="K1089" t="s">
        <v>1815</v>
      </c>
      <c r="L1089" t="s">
        <v>1803</v>
      </c>
      <c r="M1089" t="s">
        <v>1850</v>
      </c>
      <c r="Q1089" t="s">
        <v>57</v>
      </c>
      <c r="R1089" t="s">
        <v>1921</v>
      </c>
      <c r="Y1089" t="s">
        <v>1914</v>
      </c>
      <c r="Z1089">
        <v>8536</v>
      </c>
      <c r="AE1089">
        <v>1916</v>
      </c>
      <c r="AF1089" s="4">
        <v>0.5</v>
      </c>
      <c r="AG1089">
        <f t="shared" si="105"/>
        <v>958</v>
      </c>
      <c r="AH1089" s="4">
        <v>0.18</v>
      </c>
      <c r="AI1089">
        <f t="shared" si="100"/>
        <v>1130.44</v>
      </c>
      <c r="AJ1089" s="4">
        <v>0.2</v>
      </c>
      <c r="AK1089">
        <f t="shared" si="101"/>
        <v>226.09</v>
      </c>
      <c r="AL1089">
        <f t="shared" si="102"/>
        <v>1356.53</v>
      </c>
      <c r="AM1089">
        <f t="shared" si="103"/>
        <v>559.47</v>
      </c>
      <c r="AN1089" s="4">
        <f t="shared" si="104"/>
        <v>0.291998956158664</v>
      </c>
      <c r="AO1089" t="s">
        <v>221</v>
      </c>
      <c r="AQ1089" t="s">
        <v>217</v>
      </c>
      <c r="AT1089" t="s">
        <v>869</v>
      </c>
    </row>
    <row r="1090" ht="15.75" customHeight="1" spans="1:46">
      <c r="A1090" t="s">
        <v>1891</v>
      </c>
      <c r="B1090" t="s">
        <v>1525</v>
      </c>
      <c r="C1090" t="s">
        <v>1499</v>
      </c>
      <c r="D1090" t="s">
        <v>1797</v>
      </c>
      <c r="E1090" t="s">
        <v>1626</v>
      </c>
      <c r="F1090" t="s">
        <v>1799</v>
      </c>
      <c r="H1090" t="s">
        <v>1800</v>
      </c>
      <c r="I1090" t="s">
        <v>446</v>
      </c>
      <c r="J1090" t="s">
        <v>1570</v>
      </c>
      <c r="K1090" t="s">
        <v>1892</v>
      </c>
      <c r="L1090" t="s">
        <v>1803</v>
      </c>
      <c r="M1090" t="s">
        <v>1823</v>
      </c>
      <c r="Q1090" t="s">
        <v>57</v>
      </c>
      <c r="R1090" t="s">
        <v>1922</v>
      </c>
      <c r="Y1090" t="s">
        <v>1923</v>
      </c>
      <c r="Z1090">
        <v>8536</v>
      </c>
      <c r="AE1090">
        <v>1738</v>
      </c>
      <c r="AF1090" s="4">
        <v>0.5</v>
      </c>
      <c r="AG1090">
        <f t="shared" si="105"/>
        <v>869</v>
      </c>
      <c r="AH1090" s="4">
        <v>0.18</v>
      </c>
      <c r="AI1090">
        <f t="shared" ref="AI1090:AI1153" si="106">ROUND(AG1090+(AG1090*AH1090),2)</f>
        <v>1025.42</v>
      </c>
      <c r="AJ1090" s="4">
        <v>0.2</v>
      </c>
      <c r="AK1090">
        <f t="shared" ref="AK1090:AK1153" si="107">ROUND(AI1090*AJ1090,2)</f>
        <v>205.08</v>
      </c>
      <c r="AL1090">
        <f t="shared" ref="AL1090:AL1153" si="108">AI1090+AK1090</f>
        <v>1230.5</v>
      </c>
      <c r="AM1090">
        <f t="shared" ref="AM1090:AM1153" si="109">AE1090-AL1090</f>
        <v>507.5</v>
      </c>
      <c r="AN1090" s="4">
        <f t="shared" ref="AN1090:AN1153" si="110">AM1090/AE1090</f>
        <v>0.292002301495972</v>
      </c>
      <c r="AO1090" t="s">
        <v>221</v>
      </c>
      <c r="AQ1090" t="s">
        <v>217</v>
      </c>
      <c r="AT1090" t="s">
        <v>869</v>
      </c>
    </row>
    <row r="1091" ht="15.75" customHeight="1" spans="1:46">
      <c r="A1091" t="s">
        <v>1891</v>
      </c>
      <c r="B1091" t="s">
        <v>1526</v>
      </c>
      <c r="C1091" t="s">
        <v>1499</v>
      </c>
      <c r="D1091" t="s">
        <v>1797</v>
      </c>
      <c r="E1091" t="s">
        <v>1626</v>
      </c>
      <c r="F1091" t="s">
        <v>1799</v>
      </c>
      <c r="H1091" t="s">
        <v>1800</v>
      </c>
      <c r="I1091" t="s">
        <v>446</v>
      </c>
      <c r="J1091" t="s">
        <v>1570</v>
      </c>
      <c r="K1091" t="s">
        <v>1895</v>
      </c>
      <c r="L1091" t="s">
        <v>1803</v>
      </c>
      <c r="M1091" t="s">
        <v>1823</v>
      </c>
      <c r="Q1091" t="s">
        <v>57</v>
      </c>
      <c r="R1091" t="s">
        <v>1924</v>
      </c>
      <c r="Y1091" t="s">
        <v>1923</v>
      </c>
      <c r="Z1091">
        <v>8536</v>
      </c>
      <c r="AE1091">
        <v>1738</v>
      </c>
      <c r="AF1091" s="4">
        <v>0.5</v>
      </c>
      <c r="AG1091">
        <f t="shared" si="105"/>
        <v>869</v>
      </c>
      <c r="AH1091" s="4">
        <v>0.18</v>
      </c>
      <c r="AI1091">
        <f t="shared" si="106"/>
        <v>1025.42</v>
      </c>
      <c r="AJ1091" s="4">
        <v>0.2</v>
      </c>
      <c r="AK1091">
        <f t="shared" si="107"/>
        <v>205.08</v>
      </c>
      <c r="AL1091">
        <f t="shared" si="108"/>
        <v>1230.5</v>
      </c>
      <c r="AM1091">
        <f t="shared" si="109"/>
        <v>507.5</v>
      </c>
      <c r="AN1091" s="4">
        <f t="shared" si="110"/>
        <v>0.292002301495972</v>
      </c>
      <c r="AO1091" t="s">
        <v>221</v>
      </c>
      <c r="AQ1091" t="s">
        <v>217</v>
      </c>
      <c r="AT1091" t="s">
        <v>869</v>
      </c>
    </row>
    <row r="1092" ht="15.75" customHeight="1" spans="1:46">
      <c r="A1092" t="s">
        <v>1891</v>
      </c>
      <c r="B1092" t="s">
        <v>1535</v>
      </c>
      <c r="C1092" t="s">
        <v>1499</v>
      </c>
      <c r="D1092" t="s">
        <v>1797</v>
      </c>
      <c r="E1092" t="s">
        <v>1626</v>
      </c>
      <c r="F1092" t="s">
        <v>1799</v>
      </c>
      <c r="H1092" t="s">
        <v>1800</v>
      </c>
      <c r="I1092" t="s">
        <v>446</v>
      </c>
      <c r="J1092" t="s">
        <v>1570</v>
      </c>
      <c r="K1092" t="s">
        <v>1898</v>
      </c>
      <c r="L1092" t="s">
        <v>1803</v>
      </c>
      <c r="M1092" t="s">
        <v>1823</v>
      </c>
      <c r="Q1092" t="s">
        <v>57</v>
      </c>
      <c r="R1092" t="s">
        <v>1925</v>
      </c>
      <c r="Y1092" t="s">
        <v>1923</v>
      </c>
      <c r="Z1092">
        <v>8536</v>
      </c>
      <c r="AE1092">
        <v>1738</v>
      </c>
      <c r="AF1092" s="4">
        <v>0.5</v>
      </c>
      <c r="AG1092">
        <f t="shared" ref="AG1092:AG1155" si="111">ROUND(AE1092-(AE1092*AF1092),2)</f>
        <v>869</v>
      </c>
      <c r="AH1092" s="4">
        <v>0.18</v>
      </c>
      <c r="AI1092">
        <f t="shared" si="106"/>
        <v>1025.42</v>
      </c>
      <c r="AJ1092" s="4">
        <v>0.2</v>
      </c>
      <c r="AK1092">
        <f t="shared" si="107"/>
        <v>205.08</v>
      </c>
      <c r="AL1092">
        <f t="shared" si="108"/>
        <v>1230.5</v>
      </c>
      <c r="AM1092">
        <f t="shared" si="109"/>
        <v>507.5</v>
      </c>
      <c r="AN1092" s="4">
        <f t="shared" si="110"/>
        <v>0.292002301495972</v>
      </c>
      <c r="AO1092" t="s">
        <v>221</v>
      </c>
      <c r="AQ1092" t="s">
        <v>217</v>
      </c>
      <c r="AT1092" t="s">
        <v>869</v>
      </c>
    </row>
    <row r="1093" ht="15.75" customHeight="1" spans="1:46">
      <c r="A1093" t="s">
        <v>1891</v>
      </c>
      <c r="B1093" t="s">
        <v>1537</v>
      </c>
      <c r="C1093" t="s">
        <v>1499</v>
      </c>
      <c r="D1093" t="s">
        <v>1797</v>
      </c>
      <c r="E1093" t="s">
        <v>1626</v>
      </c>
      <c r="F1093" t="s">
        <v>1799</v>
      </c>
      <c r="H1093" t="s">
        <v>1800</v>
      </c>
      <c r="I1093" t="s">
        <v>446</v>
      </c>
      <c r="J1093" t="s">
        <v>1570</v>
      </c>
      <c r="K1093" t="s">
        <v>1900</v>
      </c>
      <c r="L1093" t="s">
        <v>1803</v>
      </c>
      <c r="M1093" t="s">
        <v>1823</v>
      </c>
      <c r="Q1093" t="s">
        <v>57</v>
      </c>
      <c r="R1093" t="s">
        <v>1926</v>
      </c>
      <c r="Y1093" t="s">
        <v>1923</v>
      </c>
      <c r="Z1093">
        <v>8536</v>
      </c>
      <c r="AE1093">
        <v>1738</v>
      </c>
      <c r="AF1093" s="4">
        <v>0.5</v>
      </c>
      <c r="AG1093">
        <f t="shared" si="111"/>
        <v>869</v>
      </c>
      <c r="AH1093" s="4">
        <v>0.18</v>
      </c>
      <c r="AI1093">
        <f t="shared" si="106"/>
        <v>1025.42</v>
      </c>
      <c r="AJ1093" s="4">
        <v>0.2</v>
      </c>
      <c r="AK1093">
        <f t="shared" si="107"/>
        <v>205.08</v>
      </c>
      <c r="AL1093">
        <f t="shared" si="108"/>
        <v>1230.5</v>
      </c>
      <c r="AM1093">
        <f t="shared" si="109"/>
        <v>507.5</v>
      </c>
      <c r="AN1093" s="4">
        <f t="shared" si="110"/>
        <v>0.292002301495972</v>
      </c>
      <c r="AO1093" t="s">
        <v>221</v>
      </c>
      <c r="AQ1093" t="s">
        <v>217</v>
      </c>
      <c r="AT1093" t="s">
        <v>869</v>
      </c>
    </row>
    <row r="1094" ht="15.75" customHeight="1" spans="1:46">
      <c r="A1094" t="s">
        <v>1891</v>
      </c>
      <c r="B1094" t="s">
        <v>1538</v>
      </c>
      <c r="C1094" t="s">
        <v>1499</v>
      </c>
      <c r="D1094" t="s">
        <v>1797</v>
      </c>
      <c r="E1094" t="s">
        <v>1626</v>
      </c>
      <c r="F1094" t="s">
        <v>1799</v>
      </c>
      <c r="H1094" t="s">
        <v>1800</v>
      </c>
      <c r="I1094" t="s">
        <v>446</v>
      </c>
      <c r="J1094" t="s">
        <v>1570</v>
      </c>
      <c r="K1094" t="s">
        <v>1902</v>
      </c>
      <c r="L1094" t="s">
        <v>1803</v>
      </c>
      <c r="M1094" t="s">
        <v>1823</v>
      </c>
      <c r="Q1094" t="s">
        <v>57</v>
      </c>
      <c r="R1094" t="s">
        <v>1927</v>
      </c>
      <c r="Y1094" t="s">
        <v>1923</v>
      </c>
      <c r="Z1094">
        <v>8536</v>
      </c>
      <c r="AE1094">
        <v>1738</v>
      </c>
      <c r="AF1094" s="4">
        <v>0.5</v>
      </c>
      <c r="AG1094">
        <f t="shared" si="111"/>
        <v>869</v>
      </c>
      <c r="AH1094" s="4">
        <v>0.18</v>
      </c>
      <c r="AI1094">
        <f t="shared" si="106"/>
        <v>1025.42</v>
      </c>
      <c r="AJ1094" s="4">
        <v>0.2</v>
      </c>
      <c r="AK1094">
        <f t="shared" si="107"/>
        <v>205.08</v>
      </c>
      <c r="AL1094">
        <f t="shared" si="108"/>
        <v>1230.5</v>
      </c>
      <c r="AM1094">
        <f t="shared" si="109"/>
        <v>507.5</v>
      </c>
      <c r="AN1094" s="4">
        <f t="shared" si="110"/>
        <v>0.292002301495972</v>
      </c>
      <c r="AO1094" t="s">
        <v>221</v>
      </c>
      <c r="AQ1094" t="s">
        <v>217</v>
      </c>
      <c r="AT1094" t="s">
        <v>869</v>
      </c>
    </row>
    <row r="1095" ht="15.75" customHeight="1" spans="1:46">
      <c r="A1095" t="s">
        <v>1891</v>
      </c>
      <c r="B1095" t="s">
        <v>1539</v>
      </c>
      <c r="C1095" t="s">
        <v>1499</v>
      </c>
      <c r="D1095" t="s">
        <v>1797</v>
      </c>
      <c r="E1095" t="s">
        <v>1626</v>
      </c>
      <c r="F1095" t="s">
        <v>1799</v>
      </c>
      <c r="H1095" t="s">
        <v>1800</v>
      </c>
      <c r="I1095" t="s">
        <v>446</v>
      </c>
      <c r="J1095" t="s">
        <v>1570</v>
      </c>
      <c r="K1095" t="s">
        <v>1571</v>
      </c>
      <c r="L1095" t="s">
        <v>1803</v>
      </c>
      <c r="M1095" t="s">
        <v>1823</v>
      </c>
      <c r="Q1095" t="s">
        <v>57</v>
      </c>
      <c r="R1095">
        <v>408628</v>
      </c>
      <c r="Y1095" t="s">
        <v>1923</v>
      </c>
      <c r="Z1095">
        <v>8536</v>
      </c>
      <c r="AE1095">
        <v>1280</v>
      </c>
      <c r="AF1095" s="4">
        <v>0.5</v>
      </c>
      <c r="AG1095">
        <f t="shared" si="111"/>
        <v>640</v>
      </c>
      <c r="AH1095" s="4">
        <v>0.18</v>
      </c>
      <c r="AI1095">
        <f t="shared" si="106"/>
        <v>755.2</v>
      </c>
      <c r="AJ1095" s="4">
        <v>0.2</v>
      </c>
      <c r="AK1095">
        <f t="shared" si="107"/>
        <v>151.04</v>
      </c>
      <c r="AL1095">
        <f t="shared" si="108"/>
        <v>906.24</v>
      </c>
      <c r="AM1095">
        <f t="shared" si="109"/>
        <v>373.76</v>
      </c>
      <c r="AN1095" s="4">
        <f t="shared" si="110"/>
        <v>0.292</v>
      </c>
      <c r="AO1095" t="s">
        <v>221</v>
      </c>
      <c r="AQ1095" t="s">
        <v>217</v>
      </c>
      <c r="AT1095" t="s">
        <v>869</v>
      </c>
    </row>
    <row r="1096" ht="15.75" customHeight="1" spans="1:46">
      <c r="A1096" t="s">
        <v>1891</v>
      </c>
      <c r="B1096" t="s">
        <v>1540</v>
      </c>
      <c r="C1096" t="s">
        <v>1499</v>
      </c>
      <c r="D1096" t="s">
        <v>1797</v>
      </c>
      <c r="E1096" t="s">
        <v>1626</v>
      </c>
      <c r="F1096" t="s">
        <v>1799</v>
      </c>
      <c r="H1096" t="s">
        <v>1800</v>
      </c>
      <c r="I1096" t="s">
        <v>446</v>
      </c>
      <c r="J1096" t="s">
        <v>1570</v>
      </c>
      <c r="K1096" t="s">
        <v>1654</v>
      </c>
      <c r="L1096" t="s">
        <v>1803</v>
      </c>
      <c r="M1096" t="s">
        <v>1823</v>
      </c>
      <c r="Q1096" t="s">
        <v>57</v>
      </c>
      <c r="R1096" t="s">
        <v>1928</v>
      </c>
      <c r="Y1096" t="s">
        <v>1923</v>
      </c>
      <c r="Z1096">
        <v>8536</v>
      </c>
      <c r="AE1096">
        <v>1280</v>
      </c>
      <c r="AF1096" s="4">
        <v>0.5</v>
      </c>
      <c r="AG1096">
        <f t="shared" si="111"/>
        <v>640</v>
      </c>
      <c r="AH1096" s="4">
        <v>0.18</v>
      </c>
      <c r="AI1096">
        <f t="shared" si="106"/>
        <v>755.2</v>
      </c>
      <c r="AJ1096" s="4">
        <v>0.2</v>
      </c>
      <c r="AK1096">
        <f t="shared" si="107"/>
        <v>151.04</v>
      </c>
      <c r="AL1096">
        <f t="shared" si="108"/>
        <v>906.24</v>
      </c>
      <c r="AM1096">
        <f t="shared" si="109"/>
        <v>373.76</v>
      </c>
      <c r="AN1096" s="4">
        <f t="shared" si="110"/>
        <v>0.292</v>
      </c>
      <c r="AO1096" t="s">
        <v>221</v>
      </c>
      <c r="AQ1096" t="s">
        <v>217</v>
      </c>
      <c r="AT1096" t="s">
        <v>869</v>
      </c>
    </row>
    <row r="1097" ht="15.75" customHeight="1" spans="1:46">
      <c r="A1097" t="s">
        <v>1891</v>
      </c>
      <c r="B1097" t="s">
        <v>1541</v>
      </c>
      <c r="C1097" t="s">
        <v>1499</v>
      </c>
      <c r="D1097" t="s">
        <v>1797</v>
      </c>
      <c r="E1097" t="s">
        <v>1626</v>
      </c>
      <c r="F1097" t="s">
        <v>1799</v>
      </c>
      <c r="H1097" t="s">
        <v>1800</v>
      </c>
      <c r="I1097" t="s">
        <v>446</v>
      </c>
      <c r="J1097" t="s">
        <v>1570</v>
      </c>
      <c r="K1097" t="s">
        <v>1575</v>
      </c>
      <c r="L1097" t="s">
        <v>1803</v>
      </c>
      <c r="M1097" t="s">
        <v>1823</v>
      </c>
      <c r="Q1097" t="s">
        <v>57</v>
      </c>
      <c r="R1097" t="s">
        <v>1929</v>
      </c>
      <c r="Y1097" t="s">
        <v>1923</v>
      </c>
      <c r="Z1097">
        <v>8536</v>
      </c>
      <c r="AE1097">
        <v>1280</v>
      </c>
      <c r="AF1097" s="4">
        <v>0.5</v>
      </c>
      <c r="AG1097">
        <f t="shared" si="111"/>
        <v>640</v>
      </c>
      <c r="AH1097" s="4">
        <v>0.18</v>
      </c>
      <c r="AI1097">
        <f t="shared" si="106"/>
        <v>755.2</v>
      </c>
      <c r="AJ1097" s="4">
        <v>0.2</v>
      </c>
      <c r="AK1097">
        <f t="shared" si="107"/>
        <v>151.04</v>
      </c>
      <c r="AL1097">
        <f t="shared" si="108"/>
        <v>906.24</v>
      </c>
      <c r="AM1097">
        <f t="shared" si="109"/>
        <v>373.76</v>
      </c>
      <c r="AN1097" s="4">
        <f t="shared" si="110"/>
        <v>0.292</v>
      </c>
      <c r="AO1097" t="s">
        <v>221</v>
      </c>
      <c r="AQ1097" t="s">
        <v>217</v>
      </c>
      <c r="AT1097" t="s">
        <v>869</v>
      </c>
    </row>
    <row r="1098" ht="15.75" customHeight="1" spans="1:46">
      <c r="A1098" t="s">
        <v>1891</v>
      </c>
      <c r="B1098" t="s">
        <v>1543</v>
      </c>
      <c r="C1098" t="s">
        <v>1499</v>
      </c>
      <c r="D1098" t="s">
        <v>1797</v>
      </c>
      <c r="E1098" t="s">
        <v>1626</v>
      </c>
      <c r="F1098" t="s">
        <v>1799</v>
      </c>
      <c r="H1098" t="s">
        <v>1800</v>
      </c>
      <c r="I1098" t="s">
        <v>446</v>
      </c>
      <c r="J1098" t="s">
        <v>1570</v>
      </c>
      <c r="K1098" t="s">
        <v>1672</v>
      </c>
      <c r="L1098" t="s">
        <v>1803</v>
      </c>
      <c r="M1098" t="s">
        <v>1823</v>
      </c>
      <c r="Q1098" t="s">
        <v>57</v>
      </c>
      <c r="R1098" t="s">
        <v>1930</v>
      </c>
      <c r="Y1098" t="s">
        <v>1923</v>
      </c>
      <c r="Z1098">
        <v>8536</v>
      </c>
      <c r="AE1098">
        <v>1280</v>
      </c>
      <c r="AF1098" s="4">
        <v>0.5</v>
      </c>
      <c r="AG1098">
        <f t="shared" si="111"/>
        <v>640</v>
      </c>
      <c r="AH1098" s="4">
        <v>0.18</v>
      </c>
      <c r="AI1098">
        <f t="shared" si="106"/>
        <v>755.2</v>
      </c>
      <c r="AJ1098" s="4">
        <v>0.2</v>
      </c>
      <c r="AK1098">
        <f t="shared" si="107"/>
        <v>151.04</v>
      </c>
      <c r="AL1098">
        <f t="shared" si="108"/>
        <v>906.24</v>
      </c>
      <c r="AM1098">
        <f t="shared" si="109"/>
        <v>373.76</v>
      </c>
      <c r="AN1098" s="4">
        <f t="shared" si="110"/>
        <v>0.292</v>
      </c>
      <c r="AO1098" t="s">
        <v>221</v>
      </c>
      <c r="AQ1098" t="s">
        <v>217</v>
      </c>
      <c r="AT1098" t="s">
        <v>869</v>
      </c>
    </row>
    <row r="1099" ht="15.75" customHeight="1" spans="1:46">
      <c r="A1099" t="s">
        <v>1891</v>
      </c>
      <c r="B1099" t="s">
        <v>1544</v>
      </c>
      <c r="C1099" t="s">
        <v>1499</v>
      </c>
      <c r="D1099" t="s">
        <v>1797</v>
      </c>
      <c r="E1099" t="s">
        <v>1626</v>
      </c>
      <c r="F1099" t="s">
        <v>1799</v>
      </c>
      <c r="H1099" t="s">
        <v>1800</v>
      </c>
      <c r="I1099" t="s">
        <v>446</v>
      </c>
      <c r="J1099" t="s">
        <v>1570</v>
      </c>
      <c r="K1099" t="s">
        <v>1807</v>
      </c>
      <c r="L1099" t="s">
        <v>1803</v>
      </c>
      <c r="M1099" t="s">
        <v>1823</v>
      </c>
      <c r="Q1099" t="s">
        <v>57</v>
      </c>
      <c r="R1099" t="s">
        <v>1931</v>
      </c>
      <c r="Y1099" t="s">
        <v>1923</v>
      </c>
      <c r="Z1099">
        <v>8536</v>
      </c>
      <c r="AE1099">
        <v>1280</v>
      </c>
      <c r="AF1099" s="4">
        <v>0.5</v>
      </c>
      <c r="AG1099">
        <f t="shared" si="111"/>
        <v>640</v>
      </c>
      <c r="AH1099" s="4">
        <v>0.18</v>
      </c>
      <c r="AI1099">
        <f t="shared" si="106"/>
        <v>755.2</v>
      </c>
      <c r="AJ1099" s="4">
        <v>0.2</v>
      </c>
      <c r="AK1099">
        <f t="shared" si="107"/>
        <v>151.04</v>
      </c>
      <c r="AL1099">
        <f t="shared" si="108"/>
        <v>906.24</v>
      </c>
      <c r="AM1099">
        <f t="shared" si="109"/>
        <v>373.76</v>
      </c>
      <c r="AN1099" s="4">
        <f t="shared" si="110"/>
        <v>0.292</v>
      </c>
      <c r="AO1099" t="s">
        <v>221</v>
      </c>
      <c r="AQ1099" t="s">
        <v>217</v>
      </c>
      <c r="AT1099" t="s">
        <v>869</v>
      </c>
    </row>
    <row r="1100" ht="15.75" customHeight="1" spans="1:46">
      <c r="A1100" t="s">
        <v>1891</v>
      </c>
      <c r="B1100" t="s">
        <v>1545</v>
      </c>
      <c r="C1100" t="s">
        <v>1499</v>
      </c>
      <c r="D1100" t="s">
        <v>1797</v>
      </c>
      <c r="E1100" t="s">
        <v>1626</v>
      </c>
      <c r="F1100" t="s">
        <v>1799</v>
      </c>
      <c r="H1100" t="s">
        <v>1800</v>
      </c>
      <c r="I1100" t="s">
        <v>446</v>
      </c>
      <c r="J1100" t="s">
        <v>1570</v>
      </c>
      <c r="K1100" t="s">
        <v>1808</v>
      </c>
      <c r="L1100" t="s">
        <v>1803</v>
      </c>
      <c r="M1100" t="s">
        <v>1823</v>
      </c>
      <c r="Q1100" t="s">
        <v>57</v>
      </c>
      <c r="R1100" t="s">
        <v>1932</v>
      </c>
      <c r="Y1100" t="s">
        <v>1923</v>
      </c>
      <c r="Z1100">
        <v>8536</v>
      </c>
      <c r="AE1100">
        <v>1280</v>
      </c>
      <c r="AF1100" s="4">
        <v>0.5</v>
      </c>
      <c r="AG1100">
        <f t="shared" si="111"/>
        <v>640</v>
      </c>
      <c r="AH1100" s="4">
        <v>0.18</v>
      </c>
      <c r="AI1100">
        <f t="shared" si="106"/>
        <v>755.2</v>
      </c>
      <c r="AJ1100" s="4">
        <v>0.2</v>
      </c>
      <c r="AK1100">
        <f t="shared" si="107"/>
        <v>151.04</v>
      </c>
      <c r="AL1100">
        <f t="shared" si="108"/>
        <v>906.24</v>
      </c>
      <c r="AM1100">
        <f t="shared" si="109"/>
        <v>373.76</v>
      </c>
      <c r="AN1100" s="4">
        <f t="shared" si="110"/>
        <v>0.292</v>
      </c>
      <c r="AO1100" t="s">
        <v>221</v>
      </c>
      <c r="AQ1100" t="s">
        <v>217</v>
      </c>
      <c r="AT1100" t="s">
        <v>869</v>
      </c>
    </row>
    <row r="1101" ht="15.75" customHeight="1" spans="1:46">
      <c r="A1101" t="s">
        <v>1891</v>
      </c>
      <c r="B1101" t="s">
        <v>1546</v>
      </c>
      <c r="C1101" t="s">
        <v>1499</v>
      </c>
      <c r="D1101" t="s">
        <v>1797</v>
      </c>
      <c r="E1101" t="s">
        <v>1626</v>
      </c>
      <c r="F1101" t="s">
        <v>1799</v>
      </c>
      <c r="H1101" t="s">
        <v>1800</v>
      </c>
      <c r="I1101" t="s">
        <v>446</v>
      </c>
      <c r="J1101" t="s">
        <v>1570</v>
      </c>
      <c r="K1101" t="s">
        <v>1809</v>
      </c>
      <c r="L1101" t="s">
        <v>1803</v>
      </c>
      <c r="M1101" t="s">
        <v>1823</v>
      </c>
      <c r="Q1101" t="s">
        <v>57</v>
      </c>
      <c r="R1101" t="s">
        <v>1933</v>
      </c>
      <c r="Y1101" t="s">
        <v>1923</v>
      </c>
      <c r="Z1101">
        <v>8536</v>
      </c>
      <c r="AE1101">
        <v>2014</v>
      </c>
      <c r="AF1101" s="4">
        <v>0.5</v>
      </c>
      <c r="AG1101">
        <f t="shared" si="111"/>
        <v>1007</v>
      </c>
      <c r="AH1101" s="4">
        <v>0.18</v>
      </c>
      <c r="AI1101">
        <f t="shared" si="106"/>
        <v>1188.26</v>
      </c>
      <c r="AJ1101" s="4">
        <v>0.2</v>
      </c>
      <c r="AK1101">
        <f t="shared" si="107"/>
        <v>237.65</v>
      </c>
      <c r="AL1101">
        <f t="shared" si="108"/>
        <v>1425.91</v>
      </c>
      <c r="AM1101">
        <f t="shared" si="109"/>
        <v>588.09</v>
      </c>
      <c r="AN1101" s="4">
        <f t="shared" si="110"/>
        <v>0.292000993048659</v>
      </c>
      <c r="AO1101" t="s">
        <v>221</v>
      </c>
      <c r="AQ1101" t="s">
        <v>217</v>
      </c>
      <c r="AT1101" t="s">
        <v>869</v>
      </c>
    </row>
    <row r="1102" ht="15.75" customHeight="1" spans="1:46">
      <c r="A1102" t="s">
        <v>1891</v>
      </c>
      <c r="B1102" t="s">
        <v>1859</v>
      </c>
      <c r="C1102" t="s">
        <v>1499</v>
      </c>
      <c r="D1102" t="s">
        <v>1797</v>
      </c>
      <c r="E1102" t="s">
        <v>1626</v>
      </c>
      <c r="F1102" t="s">
        <v>1799</v>
      </c>
      <c r="H1102" t="s">
        <v>1800</v>
      </c>
      <c r="I1102" t="s">
        <v>446</v>
      </c>
      <c r="J1102" t="s">
        <v>1570</v>
      </c>
      <c r="K1102" t="s">
        <v>1911</v>
      </c>
      <c r="L1102" t="s">
        <v>1803</v>
      </c>
      <c r="M1102" t="s">
        <v>1823</v>
      </c>
      <c r="Q1102" t="s">
        <v>57</v>
      </c>
      <c r="R1102" t="s">
        <v>1934</v>
      </c>
      <c r="Y1102" t="s">
        <v>1923</v>
      </c>
      <c r="Z1102">
        <v>8536</v>
      </c>
      <c r="AE1102">
        <v>2014</v>
      </c>
      <c r="AF1102" s="4">
        <v>0.5</v>
      </c>
      <c r="AG1102">
        <f t="shared" si="111"/>
        <v>1007</v>
      </c>
      <c r="AH1102" s="4">
        <v>0.18</v>
      </c>
      <c r="AI1102">
        <f t="shared" si="106"/>
        <v>1188.26</v>
      </c>
      <c r="AJ1102" s="4">
        <v>0.2</v>
      </c>
      <c r="AK1102">
        <f t="shared" si="107"/>
        <v>237.65</v>
      </c>
      <c r="AL1102">
        <f t="shared" si="108"/>
        <v>1425.91</v>
      </c>
      <c r="AM1102">
        <f t="shared" si="109"/>
        <v>588.09</v>
      </c>
      <c r="AN1102" s="4">
        <f t="shared" si="110"/>
        <v>0.292000993048659</v>
      </c>
      <c r="AO1102" t="s">
        <v>221</v>
      </c>
      <c r="AQ1102" t="s">
        <v>217</v>
      </c>
      <c r="AT1102" t="s">
        <v>869</v>
      </c>
    </row>
    <row r="1103" ht="15.75" customHeight="1" spans="1:46">
      <c r="A1103" t="s">
        <v>1891</v>
      </c>
      <c r="B1103" t="s">
        <v>1861</v>
      </c>
      <c r="C1103" t="s">
        <v>1499</v>
      </c>
      <c r="D1103" t="s">
        <v>1797</v>
      </c>
      <c r="E1103" t="s">
        <v>1626</v>
      </c>
      <c r="F1103" t="s">
        <v>1799</v>
      </c>
      <c r="H1103" t="s">
        <v>1800</v>
      </c>
      <c r="I1103" t="s">
        <v>446</v>
      </c>
      <c r="J1103" t="s">
        <v>1570</v>
      </c>
      <c r="K1103" t="s">
        <v>1815</v>
      </c>
      <c r="L1103" t="s">
        <v>1803</v>
      </c>
      <c r="M1103" t="s">
        <v>1823</v>
      </c>
      <c r="Q1103" t="s">
        <v>57</v>
      </c>
      <c r="R1103" t="s">
        <v>1935</v>
      </c>
      <c r="Y1103" t="s">
        <v>1923</v>
      </c>
      <c r="Z1103">
        <v>8536</v>
      </c>
      <c r="AE1103">
        <v>2014</v>
      </c>
      <c r="AF1103" s="4">
        <v>0.5</v>
      </c>
      <c r="AG1103">
        <f t="shared" si="111"/>
        <v>1007</v>
      </c>
      <c r="AH1103" s="4">
        <v>0.18</v>
      </c>
      <c r="AI1103">
        <f t="shared" si="106"/>
        <v>1188.26</v>
      </c>
      <c r="AJ1103" s="4">
        <v>0.2</v>
      </c>
      <c r="AK1103">
        <f t="shared" si="107"/>
        <v>237.65</v>
      </c>
      <c r="AL1103">
        <f t="shared" si="108"/>
        <v>1425.91</v>
      </c>
      <c r="AM1103">
        <f t="shared" si="109"/>
        <v>588.09</v>
      </c>
      <c r="AN1103" s="4">
        <f t="shared" si="110"/>
        <v>0.292000993048659</v>
      </c>
      <c r="AO1103" t="s">
        <v>221</v>
      </c>
      <c r="AQ1103" t="s">
        <v>217</v>
      </c>
      <c r="AT1103" t="s">
        <v>869</v>
      </c>
    </row>
    <row r="1104" ht="15.75" customHeight="1" spans="1:46">
      <c r="A1104" t="s">
        <v>1891</v>
      </c>
      <c r="B1104" t="s">
        <v>1863</v>
      </c>
      <c r="C1104" t="s">
        <v>1499</v>
      </c>
      <c r="D1104" t="s">
        <v>1797</v>
      </c>
      <c r="E1104" t="s">
        <v>1626</v>
      </c>
      <c r="F1104" t="s">
        <v>1799</v>
      </c>
      <c r="H1104" t="s">
        <v>1800</v>
      </c>
      <c r="I1104" t="s">
        <v>446</v>
      </c>
      <c r="J1104" t="s">
        <v>1570</v>
      </c>
      <c r="K1104" t="s">
        <v>1892</v>
      </c>
      <c r="L1104" t="s">
        <v>1803</v>
      </c>
      <c r="M1104" t="s">
        <v>1832</v>
      </c>
      <c r="Q1104" t="s">
        <v>57</v>
      </c>
      <c r="R1104" t="s">
        <v>1936</v>
      </c>
      <c r="Y1104" t="s">
        <v>1937</v>
      </c>
      <c r="Z1104">
        <v>8536</v>
      </c>
      <c r="AE1104">
        <v>2560</v>
      </c>
      <c r="AF1104" s="4">
        <v>0.5</v>
      </c>
      <c r="AG1104">
        <f t="shared" si="111"/>
        <v>1280</v>
      </c>
      <c r="AH1104" s="4">
        <v>0.18</v>
      </c>
      <c r="AI1104">
        <f t="shared" si="106"/>
        <v>1510.4</v>
      </c>
      <c r="AJ1104" s="4">
        <v>0.2</v>
      </c>
      <c r="AK1104">
        <f t="shared" si="107"/>
        <v>302.08</v>
      </c>
      <c r="AL1104">
        <f t="shared" si="108"/>
        <v>1812.48</v>
      </c>
      <c r="AM1104">
        <f t="shared" si="109"/>
        <v>747.52</v>
      </c>
      <c r="AN1104" s="4">
        <f t="shared" si="110"/>
        <v>0.292</v>
      </c>
      <c r="AO1104" t="s">
        <v>221</v>
      </c>
      <c r="AQ1104" t="s">
        <v>217</v>
      </c>
      <c r="AT1104" t="s">
        <v>869</v>
      </c>
    </row>
    <row r="1105" ht="15.75" customHeight="1" spans="1:46">
      <c r="A1105" t="s">
        <v>1891</v>
      </c>
      <c r="B1105" t="s">
        <v>1938</v>
      </c>
      <c r="C1105" t="s">
        <v>1499</v>
      </c>
      <c r="D1105" t="s">
        <v>1797</v>
      </c>
      <c r="E1105" t="s">
        <v>1626</v>
      </c>
      <c r="F1105" t="s">
        <v>1799</v>
      </c>
      <c r="H1105" t="s">
        <v>1800</v>
      </c>
      <c r="I1105" t="s">
        <v>446</v>
      </c>
      <c r="J1105" t="s">
        <v>1570</v>
      </c>
      <c r="K1105" t="s">
        <v>1895</v>
      </c>
      <c r="L1105" t="s">
        <v>1803</v>
      </c>
      <c r="M1105" t="s">
        <v>1832</v>
      </c>
      <c r="Q1105" t="s">
        <v>57</v>
      </c>
      <c r="R1105" t="s">
        <v>1939</v>
      </c>
      <c r="Y1105" t="s">
        <v>1937</v>
      </c>
      <c r="Z1105">
        <v>8536</v>
      </c>
      <c r="AE1105">
        <v>2560</v>
      </c>
      <c r="AF1105" s="4">
        <v>0.5</v>
      </c>
      <c r="AG1105">
        <f t="shared" si="111"/>
        <v>1280</v>
      </c>
      <c r="AH1105" s="4">
        <v>0.18</v>
      </c>
      <c r="AI1105">
        <f t="shared" si="106"/>
        <v>1510.4</v>
      </c>
      <c r="AJ1105" s="4">
        <v>0.2</v>
      </c>
      <c r="AK1105">
        <f t="shared" si="107"/>
        <v>302.08</v>
      </c>
      <c r="AL1105">
        <f t="shared" si="108"/>
        <v>1812.48</v>
      </c>
      <c r="AM1105">
        <f t="shared" si="109"/>
        <v>747.52</v>
      </c>
      <c r="AN1105" s="4">
        <f t="shared" si="110"/>
        <v>0.292</v>
      </c>
      <c r="AO1105" t="s">
        <v>221</v>
      </c>
      <c r="AQ1105" t="s">
        <v>217</v>
      </c>
      <c r="AT1105" t="s">
        <v>869</v>
      </c>
    </row>
    <row r="1106" ht="15.75" customHeight="1" spans="1:46">
      <c r="A1106" t="s">
        <v>1891</v>
      </c>
      <c r="B1106" t="s">
        <v>1940</v>
      </c>
      <c r="C1106" t="s">
        <v>1499</v>
      </c>
      <c r="D1106" t="s">
        <v>1797</v>
      </c>
      <c r="E1106" t="s">
        <v>1626</v>
      </c>
      <c r="F1106" t="s">
        <v>1799</v>
      </c>
      <c r="H1106" t="s">
        <v>1800</v>
      </c>
      <c r="I1106" t="s">
        <v>446</v>
      </c>
      <c r="J1106" t="s">
        <v>1570</v>
      </c>
      <c r="K1106" t="s">
        <v>1898</v>
      </c>
      <c r="L1106" t="s">
        <v>1803</v>
      </c>
      <c r="M1106" t="s">
        <v>1832</v>
      </c>
      <c r="Q1106" t="s">
        <v>57</v>
      </c>
      <c r="R1106" t="s">
        <v>1941</v>
      </c>
      <c r="Y1106" t="s">
        <v>1937</v>
      </c>
      <c r="Z1106">
        <v>8536</v>
      </c>
      <c r="AE1106">
        <v>2560</v>
      </c>
      <c r="AF1106" s="4">
        <v>0.5</v>
      </c>
      <c r="AG1106">
        <f t="shared" si="111"/>
        <v>1280</v>
      </c>
      <c r="AH1106" s="4">
        <v>0.18</v>
      </c>
      <c r="AI1106">
        <f t="shared" si="106"/>
        <v>1510.4</v>
      </c>
      <c r="AJ1106" s="4">
        <v>0.2</v>
      </c>
      <c r="AK1106">
        <f t="shared" si="107"/>
        <v>302.08</v>
      </c>
      <c r="AL1106">
        <f t="shared" si="108"/>
        <v>1812.48</v>
      </c>
      <c r="AM1106">
        <f t="shared" si="109"/>
        <v>747.52</v>
      </c>
      <c r="AN1106" s="4">
        <f t="shared" si="110"/>
        <v>0.292</v>
      </c>
      <c r="AO1106" t="s">
        <v>221</v>
      </c>
      <c r="AQ1106" t="s">
        <v>217</v>
      </c>
      <c r="AT1106" t="s">
        <v>869</v>
      </c>
    </row>
    <row r="1107" ht="15.75" customHeight="1" spans="1:46">
      <c r="A1107" t="s">
        <v>1891</v>
      </c>
      <c r="B1107" t="s">
        <v>1942</v>
      </c>
      <c r="C1107" t="s">
        <v>1499</v>
      </c>
      <c r="D1107" t="s">
        <v>1797</v>
      </c>
      <c r="E1107" t="s">
        <v>1626</v>
      </c>
      <c r="F1107" t="s">
        <v>1799</v>
      </c>
      <c r="H1107" t="s">
        <v>1800</v>
      </c>
      <c r="I1107" t="s">
        <v>446</v>
      </c>
      <c r="J1107" t="s">
        <v>1570</v>
      </c>
      <c r="K1107" t="s">
        <v>1900</v>
      </c>
      <c r="L1107" t="s">
        <v>1803</v>
      </c>
      <c r="M1107" t="s">
        <v>1832</v>
      </c>
      <c r="Q1107" t="s">
        <v>57</v>
      </c>
      <c r="R1107" t="s">
        <v>1943</v>
      </c>
      <c r="Y1107" t="s">
        <v>1937</v>
      </c>
      <c r="Z1107">
        <v>8536</v>
      </c>
      <c r="AE1107">
        <v>2560</v>
      </c>
      <c r="AF1107" s="4">
        <v>0.5</v>
      </c>
      <c r="AG1107">
        <f t="shared" si="111"/>
        <v>1280</v>
      </c>
      <c r="AH1107" s="4">
        <v>0.18</v>
      </c>
      <c r="AI1107">
        <f t="shared" si="106"/>
        <v>1510.4</v>
      </c>
      <c r="AJ1107" s="4">
        <v>0.2</v>
      </c>
      <c r="AK1107">
        <f t="shared" si="107"/>
        <v>302.08</v>
      </c>
      <c r="AL1107">
        <f t="shared" si="108"/>
        <v>1812.48</v>
      </c>
      <c r="AM1107">
        <f t="shared" si="109"/>
        <v>747.52</v>
      </c>
      <c r="AN1107" s="4">
        <f t="shared" si="110"/>
        <v>0.292</v>
      </c>
      <c r="AO1107" t="s">
        <v>221</v>
      </c>
      <c r="AQ1107" t="s">
        <v>217</v>
      </c>
      <c r="AT1107" t="s">
        <v>869</v>
      </c>
    </row>
    <row r="1108" ht="15.75" customHeight="1" spans="1:46">
      <c r="A1108" t="s">
        <v>1891</v>
      </c>
      <c r="B1108" t="s">
        <v>1944</v>
      </c>
      <c r="C1108" t="s">
        <v>1499</v>
      </c>
      <c r="D1108" t="s">
        <v>1797</v>
      </c>
      <c r="E1108" t="s">
        <v>1626</v>
      </c>
      <c r="F1108" t="s">
        <v>1799</v>
      </c>
      <c r="H1108" t="s">
        <v>1800</v>
      </c>
      <c r="I1108" t="s">
        <v>446</v>
      </c>
      <c r="J1108" t="s">
        <v>1570</v>
      </c>
      <c r="K1108" t="s">
        <v>1902</v>
      </c>
      <c r="L1108" t="s">
        <v>1803</v>
      </c>
      <c r="M1108" t="s">
        <v>1832</v>
      </c>
      <c r="Q1108" t="s">
        <v>57</v>
      </c>
      <c r="R1108" t="s">
        <v>1945</v>
      </c>
      <c r="Y1108" t="s">
        <v>1937</v>
      </c>
      <c r="Z1108">
        <v>8536</v>
      </c>
      <c r="AE1108">
        <v>2560</v>
      </c>
      <c r="AF1108" s="4">
        <v>0.5</v>
      </c>
      <c r="AG1108">
        <f t="shared" si="111"/>
        <v>1280</v>
      </c>
      <c r="AH1108" s="4">
        <v>0.18</v>
      </c>
      <c r="AI1108">
        <f t="shared" si="106"/>
        <v>1510.4</v>
      </c>
      <c r="AJ1108" s="4">
        <v>0.2</v>
      </c>
      <c r="AK1108">
        <f t="shared" si="107"/>
        <v>302.08</v>
      </c>
      <c r="AL1108">
        <f t="shared" si="108"/>
        <v>1812.48</v>
      </c>
      <c r="AM1108">
        <f t="shared" si="109"/>
        <v>747.52</v>
      </c>
      <c r="AN1108" s="4">
        <f t="shared" si="110"/>
        <v>0.292</v>
      </c>
      <c r="AO1108" t="s">
        <v>221</v>
      </c>
      <c r="AQ1108" t="s">
        <v>217</v>
      </c>
      <c r="AT1108" t="s">
        <v>869</v>
      </c>
    </row>
    <row r="1109" ht="15.75" customHeight="1" spans="1:46">
      <c r="A1109" t="s">
        <v>1891</v>
      </c>
      <c r="B1109" t="s">
        <v>1946</v>
      </c>
      <c r="C1109" t="s">
        <v>1499</v>
      </c>
      <c r="D1109" t="s">
        <v>1797</v>
      </c>
      <c r="E1109" t="s">
        <v>1626</v>
      </c>
      <c r="F1109" t="s">
        <v>1799</v>
      </c>
      <c r="H1109" t="s">
        <v>1800</v>
      </c>
      <c r="I1109" t="s">
        <v>446</v>
      </c>
      <c r="J1109" t="s">
        <v>1570</v>
      </c>
      <c r="K1109" t="s">
        <v>1571</v>
      </c>
      <c r="L1109" t="s">
        <v>1803</v>
      </c>
      <c r="M1109" t="s">
        <v>1832</v>
      </c>
      <c r="Q1109" t="s">
        <v>57</v>
      </c>
      <c r="R1109" t="s">
        <v>1947</v>
      </c>
      <c r="Y1109" t="s">
        <v>1937</v>
      </c>
      <c r="Z1109">
        <v>8536</v>
      </c>
      <c r="AE1109">
        <v>2076</v>
      </c>
      <c r="AF1109" s="4">
        <v>0.5</v>
      </c>
      <c r="AG1109">
        <f t="shared" si="111"/>
        <v>1038</v>
      </c>
      <c r="AH1109" s="4">
        <v>0.18</v>
      </c>
      <c r="AI1109">
        <f t="shared" si="106"/>
        <v>1224.84</v>
      </c>
      <c r="AJ1109" s="4">
        <v>0.2</v>
      </c>
      <c r="AK1109">
        <f t="shared" si="107"/>
        <v>244.97</v>
      </c>
      <c r="AL1109">
        <f t="shared" si="108"/>
        <v>1469.81</v>
      </c>
      <c r="AM1109">
        <f t="shared" si="109"/>
        <v>606.19</v>
      </c>
      <c r="AN1109" s="4">
        <f t="shared" si="110"/>
        <v>0.291999036608863</v>
      </c>
      <c r="AO1109" t="s">
        <v>221</v>
      </c>
      <c r="AQ1109" t="s">
        <v>217</v>
      </c>
      <c r="AT1109" t="s">
        <v>869</v>
      </c>
    </row>
    <row r="1110" ht="15.75" customHeight="1" spans="1:46">
      <c r="A1110" t="s">
        <v>1891</v>
      </c>
      <c r="B1110" t="s">
        <v>1948</v>
      </c>
      <c r="C1110" t="s">
        <v>1499</v>
      </c>
      <c r="D1110" t="s">
        <v>1797</v>
      </c>
      <c r="E1110" t="s">
        <v>1626</v>
      </c>
      <c r="F1110" t="s">
        <v>1799</v>
      </c>
      <c r="H1110" t="s">
        <v>1800</v>
      </c>
      <c r="I1110" t="s">
        <v>446</v>
      </c>
      <c r="J1110" t="s">
        <v>1570</v>
      </c>
      <c r="K1110" t="s">
        <v>1654</v>
      </c>
      <c r="L1110" t="s">
        <v>1803</v>
      </c>
      <c r="M1110" t="s">
        <v>1832</v>
      </c>
      <c r="Q1110" t="s">
        <v>57</v>
      </c>
      <c r="R1110" t="s">
        <v>1949</v>
      </c>
      <c r="Y1110" t="s">
        <v>1937</v>
      </c>
      <c r="Z1110">
        <v>8536</v>
      </c>
      <c r="AE1110">
        <v>2076</v>
      </c>
      <c r="AF1110" s="4">
        <v>0.5</v>
      </c>
      <c r="AG1110">
        <f t="shared" si="111"/>
        <v>1038</v>
      </c>
      <c r="AH1110" s="4">
        <v>0.18</v>
      </c>
      <c r="AI1110">
        <f t="shared" si="106"/>
        <v>1224.84</v>
      </c>
      <c r="AJ1110" s="4">
        <v>0.2</v>
      </c>
      <c r="AK1110">
        <f t="shared" si="107"/>
        <v>244.97</v>
      </c>
      <c r="AL1110">
        <f t="shared" si="108"/>
        <v>1469.81</v>
      </c>
      <c r="AM1110">
        <f t="shared" si="109"/>
        <v>606.19</v>
      </c>
      <c r="AN1110" s="4">
        <f t="shared" si="110"/>
        <v>0.291999036608863</v>
      </c>
      <c r="AO1110" t="s">
        <v>221</v>
      </c>
      <c r="AQ1110" t="s">
        <v>217</v>
      </c>
      <c r="AT1110" t="s">
        <v>869</v>
      </c>
    </row>
    <row r="1111" ht="15.75" customHeight="1" spans="1:46">
      <c r="A1111" t="s">
        <v>1891</v>
      </c>
      <c r="B1111" t="s">
        <v>1950</v>
      </c>
      <c r="C1111" t="s">
        <v>1499</v>
      </c>
      <c r="D1111" t="s">
        <v>1797</v>
      </c>
      <c r="E1111" t="s">
        <v>1626</v>
      </c>
      <c r="F1111" t="s">
        <v>1799</v>
      </c>
      <c r="H1111" t="s">
        <v>1800</v>
      </c>
      <c r="I1111" t="s">
        <v>446</v>
      </c>
      <c r="J1111" t="s">
        <v>1570</v>
      </c>
      <c r="K1111" t="s">
        <v>1575</v>
      </c>
      <c r="L1111" t="s">
        <v>1803</v>
      </c>
      <c r="M1111" t="s">
        <v>1832</v>
      </c>
      <c r="Q1111" t="s">
        <v>57</v>
      </c>
      <c r="R1111" t="s">
        <v>1951</v>
      </c>
      <c r="Y1111" t="s">
        <v>1937</v>
      </c>
      <c r="Z1111">
        <v>8536</v>
      </c>
      <c r="AE1111">
        <v>2076</v>
      </c>
      <c r="AF1111" s="4">
        <v>0.5</v>
      </c>
      <c r="AG1111">
        <f t="shared" si="111"/>
        <v>1038</v>
      </c>
      <c r="AH1111" s="4">
        <v>0.18</v>
      </c>
      <c r="AI1111">
        <f t="shared" si="106"/>
        <v>1224.84</v>
      </c>
      <c r="AJ1111" s="4">
        <v>0.2</v>
      </c>
      <c r="AK1111">
        <f t="shared" si="107"/>
        <v>244.97</v>
      </c>
      <c r="AL1111">
        <f t="shared" si="108"/>
        <v>1469.81</v>
      </c>
      <c r="AM1111">
        <f t="shared" si="109"/>
        <v>606.19</v>
      </c>
      <c r="AN1111" s="4">
        <f t="shared" si="110"/>
        <v>0.291999036608863</v>
      </c>
      <c r="AO1111" t="s">
        <v>221</v>
      </c>
      <c r="AQ1111" t="s">
        <v>217</v>
      </c>
      <c r="AT1111" t="s">
        <v>869</v>
      </c>
    </row>
    <row r="1112" ht="15.75" customHeight="1" spans="1:46">
      <c r="A1112" t="s">
        <v>1891</v>
      </c>
      <c r="B1112" t="s">
        <v>1952</v>
      </c>
      <c r="C1112" t="s">
        <v>1499</v>
      </c>
      <c r="D1112" t="s">
        <v>1797</v>
      </c>
      <c r="E1112" t="s">
        <v>1626</v>
      </c>
      <c r="F1112" t="s">
        <v>1799</v>
      </c>
      <c r="H1112" t="s">
        <v>1800</v>
      </c>
      <c r="I1112" t="s">
        <v>446</v>
      </c>
      <c r="J1112" t="s">
        <v>1570</v>
      </c>
      <c r="K1112" t="s">
        <v>1672</v>
      </c>
      <c r="L1112" t="s">
        <v>1803</v>
      </c>
      <c r="M1112" t="s">
        <v>1832</v>
      </c>
      <c r="Q1112" t="s">
        <v>57</v>
      </c>
      <c r="R1112" t="s">
        <v>1953</v>
      </c>
      <c r="Y1112" t="s">
        <v>1937</v>
      </c>
      <c r="Z1112">
        <v>8536</v>
      </c>
      <c r="AE1112">
        <v>2076</v>
      </c>
      <c r="AF1112" s="4">
        <v>0.5</v>
      </c>
      <c r="AG1112">
        <f t="shared" si="111"/>
        <v>1038</v>
      </c>
      <c r="AH1112" s="4">
        <v>0.18</v>
      </c>
      <c r="AI1112">
        <f t="shared" si="106"/>
        <v>1224.84</v>
      </c>
      <c r="AJ1112" s="4">
        <v>0.2</v>
      </c>
      <c r="AK1112">
        <f t="shared" si="107"/>
        <v>244.97</v>
      </c>
      <c r="AL1112">
        <f t="shared" si="108"/>
        <v>1469.81</v>
      </c>
      <c r="AM1112">
        <f t="shared" si="109"/>
        <v>606.19</v>
      </c>
      <c r="AN1112" s="4">
        <f t="shared" si="110"/>
        <v>0.291999036608863</v>
      </c>
      <c r="AO1112" t="s">
        <v>221</v>
      </c>
      <c r="AQ1112" t="s">
        <v>217</v>
      </c>
      <c r="AT1112" t="s">
        <v>869</v>
      </c>
    </row>
    <row r="1113" ht="15.75" customHeight="1" spans="1:46">
      <c r="A1113" t="s">
        <v>1891</v>
      </c>
      <c r="B1113" t="s">
        <v>1954</v>
      </c>
      <c r="C1113" t="s">
        <v>1499</v>
      </c>
      <c r="D1113" t="s">
        <v>1797</v>
      </c>
      <c r="E1113" t="s">
        <v>1626</v>
      </c>
      <c r="F1113" t="s">
        <v>1799</v>
      </c>
      <c r="H1113" t="s">
        <v>1800</v>
      </c>
      <c r="I1113" t="s">
        <v>446</v>
      </c>
      <c r="J1113" t="s">
        <v>1570</v>
      </c>
      <c r="K1113" t="s">
        <v>1807</v>
      </c>
      <c r="L1113" t="s">
        <v>1803</v>
      </c>
      <c r="M1113" t="s">
        <v>1832</v>
      </c>
      <c r="Q1113" t="s">
        <v>57</v>
      </c>
      <c r="R1113" t="s">
        <v>1955</v>
      </c>
      <c r="Y1113" t="s">
        <v>1937</v>
      </c>
      <c r="Z1113">
        <v>8536</v>
      </c>
      <c r="AE1113">
        <v>2076</v>
      </c>
      <c r="AF1113" s="4">
        <v>0.5</v>
      </c>
      <c r="AG1113">
        <f t="shared" si="111"/>
        <v>1038</v>
      </c>
      <c r="AH1113" s="4">
        <v>0.18</v>
      </c>
      <c r="AI1113">
        <f t="shared" si="106"/>
        <v>1224.84</v>
      </c>
      <c r="AJ1113" s="4">
        <v>0.2</v>
      </c>
      <c r="AK1113">
        <f t="shared" si="107"/>
        <v>244.97</v>
      </c>
      <c r="AL1113">
        <f t="shared" si="108"/>
        <v>1469.81</v>
      </c>
      <c r="AM1113">
        <f t="shared" si="109"/>
        <v>606.19</v>
      </c>
      <c r="AN1113" s="4">
        <f t="shared" si="110"/>
        <v>0.291999036608863</v>
      </c>
      <c r="AO1113" t="s">
        <v>221</v>
      </c>
      <c r="AQ1113" t="s">
        <v>217</v>
      </c>
      <c r="AT1113" t="s">
        <v>869</v>
      </c>
    </row>
    <row r="1114" ht="15.75" customHeight="1" spans="1:46">
      <c r="A1114" t="s">
        <v>1891</v>
      </c>
      <c r="B1114" t="s">
        <v>1956</v>
      </c>
      <c r="C1114" t="s">
        <v>1499</v>
      </c>
      <c r="D1114" t="s">
        <v>1797</v>
      </c>
      <c r="E1114" t="s">
        <v>1626</v>
      </c>
      <c r="F1114" t="s">
        <v>1799</v>
      </c>
      <c r="H1114" t="s">
        <v>1800</v>
      </c>
      <c r="I1114" t="s">
        <v>446</v>
      </c>
      <c r="J1114" t="s">
        <v>1570</v>
      </c>
      <c r="K1114" t="s">
        <v>1808</v>
      </c>
      <c r="L1114" t="s">
        <v>1803</v>
      </c>
      <c r="M1114" t="s">
        <v>1832</v>
      </c>
      <c r="Q1114" t="s">
        <v>57</v>
      </c>
      <c r="R1114" t="s">
        <v>1957</v>
      </c>
      <c r="Y1114" t="s">
        <v>1937</v>
      </c>
      <c r="Z1114">
        <v>8536</v>
      </c>
      <c r="AE1114">
        <v>2076</v>
      </c>
      <c r="AF1114" s="4">
        <v>0.5</v>
      </c>
      <c r="AG1114">
        <f t="shared" si="111"/>
        <v>1038</v>
      </c>
      <c r="AH1114" s="4">
        <v>0.18</v>
      </c>
      <c r="AI1114">
        <f t="shared" si="106"/>
        <v>1224.84</v>
      </c>
      <c r="AJ1114" s="4">
        <v>0.2</v>
      </c>
      <c r="AK1114">
        <f t="shared" si="107"/>
        <v>244.97</v>
      </c>
      <c r="AL1114">
        <f t="shared" si="108"/>
        <v>1469.81</v>
      </c>
      <c r="AM1114">
        <f t="shared" si="109"/>
        <v>606.19</v>
      </c>
      <c r="AN1114" s="4">
        <f t="shared" si="110"/>
        <v>0.291999036608863</v>
      </c>
      <c r="AO1114" t="s">
        <v>221</v>
      </c>
      <c r="AQ1114" t="s">
        <v>217</v>
      </c>
      <c r="AT1114" t="s">
        <v>869</v>
      </c>
    </row>
    <row r="1115" ht="15.75" customHeight="1" spans="1:46">
      <c r="A1115" t="s">
        <v>1891</v>
      </c>
      <c r="B1115" t="s">
        <v>1958</v>
      </c>
      <c r="C1115" t="s">
        <v>1499</v>
      </c>
      <c r="D1115" t="s">
        <v>1797</v>
      </c>
      <c r="E1115" t="s">
        <v>1626</v>
      </c>
      <c r="F1115" t="s">
        <v>1799</v>
      </c>
      <c r="H1115" t="s">
        <v>1800</v>
      </c>
      <c r="I1115" t="s">
        <v>446</v>
      </c>
      <c r="J1115" t="s">
        <v>1570</v>
      </c>
      <c r="K1115" t="s">
        <v>1809</v>
      </c>
      <c r="L1115" t="s">
        <v>1803</v>
      </c>
      <c r="M1115" t="s">
        <v>1832</v>
      </c>
      <c r="Q1115" t="s">
        <v>57</v>
      </c>
      <c r="R1115" t="s">
        <v>1959</v>
      </c>
      <c r="Y1115" t="s">
        <v>1937</v>
      </c>
      <c r="Z1115">
        <v>8536</v>
      </c>
      <c r="AE1115">
        <v>3150</v>
      </c>
      <c r="AF1115" s="4">
        <v>0.5</v>
      </c>
      <c r="AG1115">
        <f t="shared" si="111"/>
        <v>1575</v>
      </c>
      <c r="AH1115" s="4">
        <v>0.18</v>
      </c>
      <c r="AI1115">
        <f t="shared" si="106"/>
        <v>1858.5</v>
      </c>
      <c r="AJ1115" s="4">
        <v>0.2</v>
      </c>
      <c r="AK1115">
        <f t="shared" si="107"/>
        <v>371.7</v>
      </c>
      <c r="AL1115">
        <f t="shared" si="108"/>
        <v>2230.2</v>
      </c>
      <c r="AM1115">
        <f t="shared" si="109"/>
        <v>919.8</v>
      </c>
      <c r="AN1115" s="4">
        <f t="shared" si="110"/>
        <v>0.292</v>
      </c>
      <c r="AO1115" t="s">
        <v>221</v>
      </c>
      <c r="AQ1115" t="s">
        <v>217</v>
      </c>
      <c r="AT1115" t="s">
        <v>869</v>
      </c>
    </row>
    <row r="1116" ht="15.75" customHeight="1" spans="1:46">
      <c r="A1116" t="s">
        <v>1891</v>
      </c>
      <c r="B1116" t="s">
        <v>1960</v>
      </c>
      <c r="C1116" t="s">
        <v>1499</v>
      </c>
      <c r="D1116" t="s">
        <v>1797</v>
      </c>
      <c r="E1116" t="s">
        <v>1626</v>
      </c>
      <c r="F1116" t="s">
        <v>1799</v>
      </c>
      <c r="H1116" t="s">
        <v>1800</v>
      </c>
      <c r="I1116" t="s">
        <v>446</v>
      </c>
      <c r="J1116" t="s">
        <v>1570</v>
      </c>
      <c r="K1116" t="s">
        <v>1911</v>
      </c>
      <c r="L1116" t="s">
        <v>1803</v>
      </c>
      <c r="M1116" t="s">
        <v>1832</v>
      </c>
      <c r="Q1116" t="s">
        <v>57</v>
      </c>
      <c r="R1116" t="s">
        <v>1961</v>
      </c>
      <c r="Y1116" t="s">
        <v>1937</v>
      </c>
      <c r="Z1116">
        <v>8536</v>
      </c>
      <c r="AE1116">
        <v>3150</v>
      </c>
      <c r="AF1116" s="4">
        <v>0.5</v>
      </c>
      <c r="AG1116">
        <f t="shared" si="111"/>
        <v>1575</v>
      </c>
      <c r="AH1116" s="4">
        <v>0.18</v>
      </c>
      <c r="AI1116">
        <f t="shared" si="106"/>
        <v>1858.5</v>
      </c>
      <c r="AJ1116" s="4">
        <v>0.2</v>
      </c>
      <c r="AK1116">
        <f t="shared" si="107"/>
        <v>371.7</v>
      </c>
      <c r="AL1116">
        <f t="shared" si="108"/>
        <v>2230.2</v>
      </c>
      <c r="AM1116">
        <f t="shared" si="109"/>
        <v>919.8</v>
      </c>
      <c r="AN1116" s="4">
        <f t="shared" si="110"/>
        <v>0.292</v>
      </c>
      <c r="AO1116" t="s">
        <v>221</v>
      </c>
      <c r="AQ1116" t="s">
        <v>217</v>
      </c>
      <c r="AT1116" t="s">
        <v>869</v>
      </c>
    </row>
    <row r="1117" ht="15.75" customHeight="1" spans="1:46">
      <c r="A1117" t="s">
        <v>1891</v>
      </c>
      <c r="B1117" t="s">
        <v>1962</v>
      </c>
      <c r="C1117" t="s">
        <v>1499</v>
      </c>
      <c r="D1117" t="s">
        <v>1797</v>
      </c>
      <c r="E1117" t="s">
        <v>1626</v>
      </c>
      <c r="F1117" t="s">
        <v>1799</v>
      </c>
      <c r="H1117" t="s">
        <v>1800</v>
      </c>
      <c r="I1117" t="s">
        <v>446</v>
      </c>
      <c r="J1117" t="s">
        <v>1570</v>
      </c>
      <c r="K1117" t="s">
        <v>1815</v>
      </c>
      <c r="L1117" t="s">
        <v>1803</v>
      </c>
      <c r="M1117" t="s">
        <v>1832</v>
      </c>
      <c r="Q1117" t="s">
        <v>57</v>
      </c>
      <c r="R1117" t="s">
        <v>1963</v>
      </c>
      <c r="Y1117" t="s">
        <v>1937</v>
      </c>
      <c r="Z1117">
        <v>8536</v>
      </c>
      <c r="AE1117">
        <v>3150</v>
      </c>
      <c r="AF1117" s="4">
        <v>0.5</v>
      </c>
      <c r="AG1117">
        <f t="shared" si="111"/>
        <v>1575</v>
      </c>
      <c r="AH1117" s="4">
        <v>0.18</v>
      </c>
      <c r="AI1117">
        <f t="shared" si="106"/>
        <v>1858.5</v>
      </c>
      <c r="AJ1117" s="4">
        <v>0.2</v>
      </c>
      <c r="AK1117">
        <f t="shared" si="107"/>
        <v>371.7</v>
      </c>
      <c r="AL1117">
        <f t="shared" si="108"/>
        <v>2230.2</v>
      </c>
      <c r="AM1117">
        <f t="shared" si="109"/>
        <v>919.8</v>
      </c>
      <c r="AN1117" s="4">
        <f t="shared" si="110"/>
        <v>0.292</v>
      </c>
      <c r="AO1117" t="s">
        <v>221</v>
      </c>
      <c r="AQ1117" t="s">
        <v>217</v>
      </c>
      <c r="AT1117" t="s">
        <v>869</v>
      </c>
    </row>
    <row r="1118" ht="15.75" customHeight="1" spans="1:46">
      <c r="A1118" t="s">
        <v>1891</v>
      </c>
      <c r="B1118" t="s">
        <v>1964</v>
      </c>
      <c r="C1118" t="s">
        <v>1499</v>
      </c>
      <c r="D1118" t="s">
        <v>1797</v>
      </c>
      <c r="E1118" t="s">
        <v>1626</v>
      </c>
      <c r="F1118" t="s">
        <v>1799</v>
      </c>
      <c r="H1118" t="s">
        <v>1800</v>
      </c>
      <c r="I1118" t="s">
        <v>446</v>
      </c>
      <c r="J1118" t="s">
        <v>1570</v>
      </c>
      <c r="K1118" t="s">
        <v>1892</v>
      </c>
      <c r="L1118" t="s">
        <v>1803</v>
      </c>
      <c r="M1118" t="s">
        <v>1965</v>
      </c>
      <c r="Q1118" t="s">
        <v>57</v>
      </c>
      <c r="R1118" t="s">
        <v>1966</v>
      </c>
      <c r="Y1118" t="s">
        <v>1967</v>
      </c>
      <c r="Z1118">
        <v>8536</v>
      </c>
      <c r="AE1118">
        <v>3248</v>
      </c>
      <c r="AF1118" s="4">
        <v>0.5</v>
      </c>
      <c r="AG1118">
        <f t="shared" si="111"/>
        <v>1624</v>
      </c>
      <c r="AH1118" s="4">
        <v>0.18</v>
      </c>
      <c r="AI1118">
        <f t="shared" si="106"/>
        <v>1916.32</v>
      </c>
      <c r="AJ1118" s="4">
        <v>0.2</v>
      </c>
      <c r="AK1118">
        <f t="shared" si="107"/>
        <v>383.26</v>
      </c>
      <c r="AL1118">
        <f t="shared" si="108"/>
        <v>2299.58</v>
      </c>
      <c r="AM1118">
        <f t="shared" si="109"/>
        <v>948.42</v>
      </c>
      <c r="AN1118" s="4">
        <f t="shared" si="110"/>
        <v>0.292001231527094</v>
      </c>
      <c r="AO1118" t="s">
        <v>221</v>
      </c>
      <c r="AQ1118" t="s">
        <v>217</v>
      </c>
      <c r="AT1118" t="s">
        <v>869</v>
      </c>
    </row>
    <row r="1119" ht="15.75" customHeight="1" spans="1:46">
      <c r="A1119" t="s">
        <v>1891</v>
      </c>
      <c r="B1119" t="s">
        <v>1968</v>
      </c>
      <c r="C1119" t="s">
        <v>1499</v>
      </c>
      <c r="D1119" t="s">
        <v>1797</v>
      </c>
      <c r="E1119" t="s">
        <v>1626</v>
      </c>
      <c r="F1119" t="s">
        <v>1799</v>
      </c>
      <c r="H1119" t="s">
        <v>1800</v>
      </c>
      <c r="I1119" t="s">
        <v>446</v>
      </c>
      <c r="J1119" t="s">
        <v>1570</v>
      </c>
      <c r="K1119" t="s">
        <v>1895</v>
      </c>
      <c r="L1119" t="s">
        <v>1803</v>
      </c>
      <c r="M1119" t="s">
        <v>1965</v>
      </c>
      <c r="Q1119" t="s">
        <v>57</v>
      </c>
      <c r="R1119" t="s">
        <v>1969</v>
      </c>
      <c r="Y1119" t="s">
        <v>1967</v>
      </c>
      <c r="Z1119">
        <v>8536</v>
      </c>
      <c r="AE1119">
        <v>3248</v>
      </c>
      <c r="AF1119" s="4">
        <v>0.5</v>
      </c>
      <c r="AG1119">
        <f t="shared" si="111"/>
        <v>1624</v>
      </c>
      <c r="AH1119" s="4">
        <v>0.18</v>
      </c>
      <c r="AI1119">
        <f t="shared" si="106"/>
        <v>1916.32</v>
      </c>
      <c r="AJ1119" s="4">
        <v>0.2</v>
      </c>
      <c r="AK1119">
        <f t="shared" si="107"/>
        <v>383.26</v>
      </c>
      <c r="AL1119">
        <f t="shared" si="108"/>
        <v>2299.58</v>
      </c>
      <c r="AM1119">
        <f t="shared" si="109"/>
        <v>948.42</v>
      </c>
      <c r="AN1119" s="4">
        <f t="shared" si="110"/>
        <v>0.292001231527094</v>
      </c>
      <c r="AO1119" t="s">
        <v>221</v>
      </c>
      <c r="AQ1119" t="s">
        <v>217</v>
      </c>
      <c r="AT1119" t="s">
        <v>869</v>
      </c>
    </row>
    <row r="1120" ht="15.75" customHeight="1" spans="1:46">
      <c r="A1120" t="s">
        <v>1891</v>
      </c>
      <c r="B1120" t="s">
        <v>1970</v>
      </c>
      <c r="C1120" t="s">
        <v>1499</v>
      </c>
      <c r="D1120" t="s">
        <v>1797</v>
      </c>
      <c r="E1120" t="s">
        <v>1626</v>
      </c>
      <c r="F1120" t="s">
        <v>1799</v>
      </c>
      <c r="H1120" t="s">
        <v>1800</v>
      </c>
      <c r="I1120" t="s">
        <v>446</v>
      </c>
      <c r="J1120" t="s">
        <v>1570</v>
      </c>
      <c r="K1120" t="s">
        <v>1898</v>
      </c>
      <c r="L1120" t="s">
        <v>1803</v>
      </c>
      <c r="M1120" t="s">
        <v>1965</v>
      </c>
      <c r="Q1120" t="s">
        <v>57</v>
      </c>
      <c r="R1120" t="s">
        <v>1971</v>
      </c>
      <c r="Y1120" t="s">
        <v>1967</v>
      </c>
      <c r="Z1120">
        <v>8536</v>
      </c>
      <c r="AE1120">
        <v>3248</v>
      </c>
      <c r="AF1120" s="4">
        <v>0.5</v>
      </c>
      <c r="AG1120">
        <f t="shared" si="111"/>
        <v>1624</v>
      </c>
      <c r="AH1120" s="4">
        <v>0.18</v>
      </c>
      <c r="AI1120">
        <f t="shared" si="106"/>
        <v>1916.32</v>
      </c>
      <c r="AJ1120" s="4">
        <v>0.2</v>
      </c>
      <c r="AK1120">
        <f t="shared" si="107"/>
        <v>383.26</v>
      </c>
      <c r="AL1120">
        <f t="shared" si="108"/>
        <v>2299.58</v>
      </c>
      <c r="AM1120">
        <f t="shared" si="109"/>
        <v>948.42</v>
      </c>
      <c r="AN1120" s="4">
        <f t="shared" si="110"/>
        <v>0.292001231527094</v>
      </c>
      <c r="AO1120" t="s">
        <v>221</v>
      </c>
      <c r="AQ1120" t="s">
        <v>217</v>
      </c>
      <c r="AT1120" t="s">
        <v>869</v>
      </c>
    </row>
    <row r="1121" ht="15.75" customHeight="1" spans="1:46">
      <c r="A1121" t="s">
        <v>1891</v>
      </c>
      <c r="B1121" t="s">
        <v>1972</v>
      </c>
      <c r="C1121" t="s">
        <v>1499</v>
      </c>
      <c r="D1121" t="s">
        <v>1797</v>
      </c>
      <c r="E1121" t="s">
        <v>1626</v>
      </c>
      <c r="F1121" t="s">
        <v>1799</v>
      </c>
      <c r="H1121" t="s">
        <v>1800</v>
      </c>
      <c r="I1121" t="s">
        <v>446</v>
      </c>
      <c r="J1121" t="s">
        <v>1570</v>
      </c>
      <c r="K1121" t="s">
        <v>1900</v>
      </c>
      <c r="L1121" t="s">
        <v>1803</v>
      </c>
      <c r="M1121" t="s">
        <v>1965</v>
      </c>
      <c r="Q1121" t="s">
        <v>57</v>
      </c>
      <c r="R1121" t="s">
        <v>1973</v>
      </c>
      <c r="Y1121" t="s">
        <v>1967</v>
      </c>
      <c r="Z1121">
        <v>8536</v>
      </c>
      <c r="AE1121">
        <v>3248</v>
      </c>
      <c r="AF1121" s="4">
        <v>0.5</v>
      </c>
      <c r="AG1121">
        <f t="shared" si="111"/>
        <v>1624</v>
      </c>
      <c r="AH1121" s="4">
        <v>0.18</v>
      </c>
      <c r="AI1121">
        <f t="shared" si="106"/>
        <v>1916.32</v>
      </c>
      <c r="AJ1121" s="4">
        <v>0.2</v>
      </c>
      <c r="AK1121">
        <f t="shared" si="107"/>
        <v>383.26</v>
      </c>
      <c r="AL1121">
        <f t="shared" si="108"/>
        <v>2299.58</v>
      </c>
      <c r="AM1121">
        <f t="shared" si="109"/>
        <v>948.42</v>
      </c>
      <c r="AN1121" s="4">
        <f t="shared" si="110"/>
        <v>0.292001231527094</v>
      </c>
      <c r="AO1121" t="s">
        <v>221</v>
      </c>
      <c r="AQ1121" t="s">
        <v>217</v>
      </c>
      <c r="AT1121" t="s">
        <v>869</v>
      </c>
    </row>
    <row r="1122" ht="15.75" customHeight="1" spans="1:46">
      <c r="A1122" t="s">
        <v>1891</v>
      </c>
      <c r="B1122" t="s">
        <v>1974</v>
      </c>
      <c r="C1122" t="s">
        <v>1499</v>
      </c>
      <c r="D1122" t="s">
        <v>1797</v>
      </c>
      <c r="E1122" t="s">
        <v>1626</v>
      </c>
      <c r="F1122" t="s">
        <v>1799</v>
      </c>
      <c r="H1122" t="s">
        <v>1800</v>
      </c>
      <c r="I1122" t="s">
        <v>446</v>
      </c>
      <c r="J1122" t="s">
        <v>1570</v>
      </c>
      <c r="K1122" t="s">
        <v>1902</v>
      </c>
      <c r="L1122" t="s">
        <v>1803</v>
      </c>
      <c r="M1122" t="s">
        <v>1965</v>
      </c>
      <c r="Q1122" t="s">
        <v>57</v>
      </c>
      <c r="R1122" t="s">
        <v>1975</v>
      </c>
      <c r="Y1122" t="s">
        <v>1967</v>
      </c>
      <c r="Z1122">
        <v>8536</v>
      </c>
      <c r="AE1122">
        <v>3248</v>
      </c>
      <c r="AF1122" s="4">
        <v>0.5</v>
      </c>
      <c r="AG1122">
        <f t="shared" si="111"/>
        <v>1624</v>
      </c>
      <c r="AH1122" s="4">
        <v>0.18</v>
      </c>
      <c r="AI1122">
        <f t="shared" si="106"/>
        <v>1916.32</v>
      </c>
      <c r="AJ1122" s="4">
        <v>0.2</v>
      </c>
      <c r="AK1122">
        <f t="shared" si="107"/>
        <v>383.26</v>
      </c>
      <c r="AL1122">
        <f t="shared" si="108"/>
        <v>2299.58</v>
      </c>
      <c r="AM1122">
        <f t="shared" si="109"/>
        <v>948.42</v>
      </c>
      <c r="AN1122" s="4">
        <f t="shared" si="110"/>
        <v>0.292001231527094</v>
      </c>
      <c r="AO1122" t="s">
        <v>221</v>
      </c>
      <c r="AQ1122" t="s">
        <v>217</v>
      </c>
      <c r="AT1122" t="s">
        <v>869</v>
      </c>
    </row>
    <row r="1123" ht="15.75" customHeight="1" spans="1:46">
      <c r="A1123" t="s">
        <v>1891</v>
      </c>
      <c r="B1123" t="s">
        <v>1976</v>
      </c>
      <c r="C1123" t="s">
        <v>1499</v>
      </c>
      <c r="D1123" t="s">
        <v>1797</v>
      </c>
      <c r="E1123" t="s">
        <v>1626</v>
      </c>
      <c r="F1123" t="s">
        <v>1799</v>
      </c>
      <c r="H1123" t="s">
        <v>1800</v>
      </c>
      <c r="I1123" t="s">
        <v>446</v>
      </c>
      <c r="J1123" t="s">
        <v>1570</v>
      </c>
      <c r="K1123" t="s">
        <v>1571</v>
      </c>
      <c r="L1123" t="s">
        <v>1803</v>
      </c>
      <c r="M1123" t="s">
        <v>1965</v>
      </c>
      <c r="Q1123" t="s">
        <v>57</v>
      </c>
      <c r="R1123" t="s">
        <v>1977</v>
      </c>
      <c r="Y1123" t="s">
        <v>1967</v>
      </c>
      <c r="Z1123">
        <v>8536</v>
      </c>
      <c r="AE1123">
        <v>2706</v>
      </c>
      <c r="AF1123" s="4">
        <v>0.5</v>
      </c>
      <c r="AG1123">
        <f t="shared" si="111"/>
        <v>1353</v>
      </c>
      <c r="AH1123" s="4">
        <v>0.18</v>
      </c>
      <c r="AI1123">
        <f t="shared" si="106"/>
        <v>1596.54</v>
      </c>
      <c r="AJ1123" s="4">
        <v>0.2</v>
      </c>
      <c r="AK1123">
        <f t="shared" si="107"/>
        <v>319.31</v>
      </c>
      <c r="AL1123">
        <f t="shared" si="108"/>
        <v>1915.85</v>
      </c>
      <c r="AM1123">
        <f t="shared" si="109"/>
        <v>790.15</v>
      </c>
      <c r="AN1123" s="4">
        <f t="shared" si="110"/>
        <v>0.2919992609017</v>
      </c>
      <c r="AO1123" t="s">
        <v>221</v>
      </c>
      <c r="AQ1123" t="s">
        <v>217</v>
      </c>
      <c r="AT1123" t="s">
        <v>869</v>
      </c>
    </row>
    <row r="1124" ht="15.75" customHeight="1" spans="1:46">
      <c r="A1124" t="s">
        <v>1891</v>
      </c>
      <c r="B1124" t="s">
        <v>1978</v>
      </c>
      <c r="C1124" t="s">
        <v>1499</v>
      </c>
      <c r="D1124" t="s">
        <v>1797</v>
      </c>
      <c r="E1124" t="s">
        <v>1626</v>
      </c>
      <c r="F1124" t="s">
        <v>1799</v>
      </c>
      <c r="H1124" t="s">
        <v>1800</v>
      </c>
      <c r="I1124" t="s">
        <v>446</v>
      </c>
      <c r="J1124" t="s">
        <v>1570</v>
      </c>
      <c r="K1124" t="s">
        <v>1654</v>
      </c>
      <c r="L1124" t="s">
        <v>1803</v>
      </c>
      <c r="M1124" t="s">
        <v>1965</v>
      </c>
      <c r="Q1124" t="s">
        <v>57</v>
      </c>
      <c r="R1124" t="s">
        <v>1979</v>
      </c>
      <c r="Y1124" t="s">
        <v>1967</v>
      </c>
      <c r="Z1124">
        <v>8536</v>
      </c>
      <c r="AE1124">
        <v>2706</v>
      </c>
      <c r="AF1124" s="4">
        <v>0.5</v>
      </c>
      <c r="AG1124">
        <f t="shared" si="111"/>
        <v>1353</v>
      </c>
      <c r="AH1124" s="4">
        <v>0.18</v>
      </c>
      <c r="AI1124">
        <f t="shared" si="106"/>
        <v>1596.54</v>
      </c>
      <c r="AJ1124" s="4">
        <v>0.2</v>
      </c>
      <c r="AK1124">
        <f t="shared" si="107"/>
        <v>319.31</v>
      </c>
      <c r="AL1124">
        <f t="shared" si="108"/>
        <v>1915.85</v>
      </c>
      <c r="AM1124">
        <f t="shared" si="109"/>
        <v>790.15</v>
      </c>
      <c r="AN1124" s="4">
        <f t="shared" si="110"/>
        <v>0.2919992609017</v>
      </c>
      <c r="AO1124" t="s">
        <v>221</v>
      </c>
      <c r="AQ1124" t="s">
        <v>217</v>
      </c>
      <c r="AT1124" t="s">
        <v>869</v>
      </c>
    </row>
    <row r="1125" ht="15.75" customHeight="1" spans="1:46">
      <c r="A1125" t="s">
        <v>1891</v>
      </c>
      <c r="B1125" t="s">
        <v>1980</v>
      </c>
      <c r="C1125" t="s">
        <v>1499</v>
      </c>
      <c r="D1125" t="s">
        <v>1797</v>
      </c>
      <c r="E1125" t="s">
        <v>1626</v>
      </c>
      <c r="F1125" t="s">
        <v>1799</v>
      </c>
      <c r="H1125" t="s">
        <v>1800</v>
      </c>
      <c r="I1125" t="s">
        <v>446</v>
      </c>
      <c r="J1125" t="s">
        <v>1570</v>
      </c>
      <c r="K1125" t="s">
        <v>1575</v>
      </c>
      <c r="L1125" t="s">
        <v>1803</v>
      </c>
      <c r="M1125" t="s">
        <v>1965</v>
      </c>
      <c r="Q1125" t="s">
        <v>57</v>
      </c>
      <c r="R1125" t="s">
        <v>1981</v>
      </c>
      <c r="Y1125" t="s">
        <v>1967</v>
      </c>
      <c r="Z1125">
        <v>8536</v>
      </c>
      <c r="AE1125">
        <v>2706</v>
      </c>
      <c r="AF1125" s="4">
        <v>0.5</v>
      </c>
      <c r="AG1125">
        <f t="shared" si="111"/>
        <v>1353</v>
      </c>
      <c r="AH1125" s="4">
        <v>0.18</v>
      </c>
      <c r="AI1125">
        <f t="shared" si="106"/>
        <v>1596.54</v>
      </c>
      <c r="AJ1125" s="4">
        <v>0.2</v>
      </c>
      <c r="AK1125">
        <f t="shared" si="107"/>
        <v>319.31</v>
      </c>
      <c r="AL1125">
        <f t="shared" si="108"/>
        <v>1915.85</v>
      </c>
      <c r="AM1125">
        <f t="shared" si="109"/>
        <v>790.15</v>
      </c>
      <c r="AN1125" s="4">
        <f t="shared" si="110"/>
        <v>0.2919992609017</v>
      </c>
      <c r="AO1125" t="s">
        <v>221</v>
      </c>
      <c r="AQ1125" t="s">
        <v>217</v>
      </c>
      <c r="AT1125" t="s">
        <v>869</v>
      </c>
    </row>
    <row r="1126" ht="15.75" customHeight="1" spans="1:46">
      <c r="A1126" t="s">
        <v>1891</v>
      </c>
      <c r="B1126" t="s">
        <v>1982</v>
      </c>
      <c r="C1126" t="s">
        <v>1499</v>
      </c>
      <c r="D1126" t="s">
        <v>1797</v>
      </c>
      <c r="E1126" t="s">
        <v>1626</v>
      </c>
      <c r="F1126" t="s">
        <v>1799</v>
      </c>
      <c r="H1126" t="s">
        <v>1800</v>
      </c>
      <c r="I1126" t="s">
        <v>446</v>
      </c>
      <c r="J1126" t="s">
        <v>1570</v>
      </c>
      <c r="K1126" t="s">
        <v>1672</v>
      </c>
      <c r="L1126" t="s">
        <v>1803</v>
      </c>
      <c r="M1126" t="s">
        <v>1965</v>
      </c>
      <c r="Q1126" t="s">
        <v>57</v>
      </c>
      <c r="R1126" t="s">
        <v>1983</v>
      </c>
      <c r="Y1126" t="s">
        <v>1967</v>
      </c>
      <c r="Z1126">
        <v>8536</v>
      </c>
      <c r="AE1126">
        <v>2706</v>
      </c>
      <c r="AF1126" s="4">
        <v>0.5</v>
      </c>
      <c r="AG1126">
        <f t="shared" si="111"/>
        <v>1353</v>
      </c>
      <c r="AH1126" s="4">
        <v>0.18</v>
      </c>
      <c r="AI1126">
        <f t="shared" si="106"/>
        <v>1596.54</v>
      </c>
      <c r="AJ1126" s="4">
        <v>0.2</v>
      </c>
      <c r="AK1126">
        <f t="shared" si="107"/>
        <v>319.31</v>
      </c>
      <c r="AL1126">
        <f t="shared" si="108"/>
        <v>1915.85</v>
      </c>
      <c r="AM1126">
        <f t="shared" si="109"/>
        <v>790.15</v>
      </c>
      <c r="AN1126" s="4">
        <f t="shared" si="110"/>
        <v>0.2919992609017</v>
      </c>
      <c r="AO1126" t="s">
        <v>221</v>
      </c>
      <c r="AQ1126" t="s">
        <v>217</v>
      </c>
      <c r="AT1126" t="s">
        <v>869</v>
      </c>
    </row>
    <row r="1127" ht="15.75" customHeight="1" spans="1:46">
      <c r="A1127" t="s">
        <v>1891</v>
      </c>
      <c r="B1127" t="s">
        <v>1984</v>
      </c>
      <c r="C1127" t="s">
        <v>1499</v>
      </c>
      <c r="D1127" t="s">
        <v>1797</v>
      </c>
      <c r="E1127" t="s">
        <v>1626</v>
      </c>
      <c r="F1127" t="s">
        <v>1799</v>
      </c>
      <c r="H1127" t="s">
        <v>1800</v>
      </c>
      <c r="I1127" t="s">
        <v>446</v>
      </c>
      <c r="J1127" t="s">
        <v>1570</v>
      </c>
      <c r="K1127" t="s">
        <v>1807</v>
      </c>
      <c r="L1127" t="s">
        <v>1803</v>
      </c>
      <c r="M1127" t="s">
        <v>1965</v>
      </c>
      <c r="Q1127" t="s">
        <v>57</v>
      </c>
      <c r="R1127" t="s">
        <v>1985</v>
      </c>
      <c r="Y1127" t="s">
        <v>1967</v>
      </c>
      <c r="Z1127">
        <v>8536</v>
      </c>
      <c r="AE1127">
        <v>2706</v>
      </c>
      <c r="AF1127" s="4">
        <v>0.5</v>
      </c>
      <c r="AG1127">
        <f t="shared" si="111"/>
        <v>1353</v>
      </c>
      <c r="AH1127" s="4">
        <v>0.18</v>
      </c>
      <c r="AI1127">
        <f t="shared" si="106"/>
        <v>1596.54</v>
      </c>
      <c r="AJ1127" s="4">
        <v>0.2</v>
      </c>
      <c r="AK1127">
        <f t="shared" si="107"/>
        <v>319.31</v>
      </c>
      <c r="AL1127">
        <f t="shared" si="108"/>
        <v>1915.85</v>
      </c>
      <c r="AM1127">
        <f t="shared" si="109"/>
        <v>790.15</v>
      </c>
      <c r="AN1127" s="4">
        <f t="shared" si="110"/>
        <v>0.2919992609017</v>
      </c>
      <c r="AO1127" t="s">
        <v>221</v>
      </c>
      <c r="AQ1127" t="s">
        <v>217</v>
      </c>
      <c r="AT1127" t="s">
        <v>869</v>
      </c>
    </row>
    <row r="1128" ht="15.75" customHeight="1" spans="1:46">
      <c r="A1128" t="s">
        <v>1891</v>
      </c>
      <c r="B1128" t="s">
        <v>1986</v>
      </c>
      <c r="C1128" t="s">
        <v>1499</v>
      </c>
      <c r="D1128" t="s">
        <v>1797</v>
      </c>
      <c r="E1128" t="s">
        <v>1626</v>
      </c>
      <c r="F1128" t="s">
        <v>1799</v>
      </c>
      <c r="H1128" t="s">
        <v>1800</v>
      </c>
      <c r="I1128" t="s">
        <v>446</v>
      </c>
      <c r="J1128" t="s">
        <v>1570</v>
      </c>
      <c r="K1128" t="s">
        <v>1808</v>
      </c>
      <c r="L1128" t="s">
        <v>1803</v>
      </c>
      <c r="M1128" t="s">
        <v>1965</v>
      </c>
      <c r="Q1128" t="s">
        <v>57</v>
      </c>
      <c r="R1128" t="s">
        <v>1987</v>
      </c>
      <c r="Y1128" t="s">
        <v>1967</v>
      </c>
      <c r="Z1128">
        <v>8536</v>
      </c>
      <c r="AE1128">
        <v>2706</v>
      </c>
      <c r="AF1128" s="4">
        <v>0.5</v>
      </c>
      <c r="AG1128">
        <f t="shared" si="111"/>
        <v>1353</v>
      </c>
      <c r="AH1128" s="4">
        <v>0.18</v>
      </c>
      <c r="AI1128">
        <f t="shared" si="106"/>
        <v>1596.54</v>
      </c>
      <c r="AJ1128" s="4">
        <v>0.2</v>
      </c>
      <c r="AK1128">
        <f t="shared" si="107"/>
        <v>319.31</v>
      </c>
      <c r="AL1128">
        <f t="shared" si="108"/>
        <v>1915.85</v>
      </c>
      <c r="AM1128">
        <f t="shared" si="109"/>
        <v>790.15</v>
      </c>
      <c r="AN1128" s="4">
        <f t="shared" si="110"/>
        <v>0.2919992609017</v>
      </c>
      <c r="AO1128" t="s">
        <v>221</v>
      </c>
      <c r="AQ1128" t="s">
        <v>217</v>
      </c>
      <c r="AT1128" t="s">
        <v>869</v>
      </c>
    </row>
    <row r="1129" ht="15.75" customHeight="1" spans="1:46">
      <c r="A1129" t="s">
        <v>1891</v>
      </c>
      <c r="B1129" t="s">
        <v>1988</v>
      </c>
      <c r="C1129" t="s">
        <v>1499</v>
      </c>
      <c r="D1129" t="s">
        <v>1797</v>
      </c>
      <c r="E1129" t="s">
        <v>1626</v>
      </c>
      <c r="F1129" t="s">
        <v>1799</v>
      </c>
      <c r="H1129" t="s">
        <v>1800</v>
      </c>
      <c r="I1129" t="s">
        <v>446</v>
      </c>
      <c r="J1129" t="s">
        <v>1570</v>
      </c>
      <c r="K1129" t="s">
        <v>1809</v>
      </c>
      <c r="L1129" t="s">
        <v>1803</v>
      </c>
      <c r="M1129" t="s">
        <v>1965</v>
      </c>
      <c r="Q1129" t="s">
        <v>57</v>
      </c>
      <c r="R1129" t="s">
        <v>1989</v>
      </c>
      <c r="Y1129" t="s">
        <v>1967</v>
      </c>
      <c r="Z1129">
        <v>8536</v>
      </c>
      <c r="AE1129">
        <v>3870</v>
      </c>
      <c r="AF1129" s="4">
        <v>0.5</v>
      </c>
      <c r="AG1129">
        <f t="shared" si="111"/>
        <v>1935</v>
      </c>
      <c r="AH1129" s="4">
        <v>0.18</v>
      </c>
      <c r="AI1129">
        <f t="shared" si="106"/>
        <v>2283.3</v>
      </c>
      <c r="AJ1129" s="4">
        <v>0.2</v>
      </c>
      <c r="AK1129">
        <f t="shared" si="107"/>
        <v>456.66</v>
      </c>
      <c r="AL1129">
        <f t="shared" si="108"/>
        <v>2739.96</v>
      </c>
      <c r="AM1129">
        <f t="shared" si="109"/>
        <v>1130.04</v>
      </c>
      <c r="AN1129" s="4">
        <f t="shared" si="110"/>
        <v>0.292</v>
      </c>
      <c r="AO1129" t="s">
        <v>221</v>
      </c>
      <c r="AQ1129" t="s">
        <v>217</v>
      </c>
      <c r="AT1129" t="s">
        <v>869</v>
      </c>
    </row>
    <row r="1130" ht="15.75" customHeight="1" spans="1:46">
      <c r="A1130" t="s">
        <v>1891</v>
      </c>
      <c r="B1130" t="s">
        <v>1990</v>
      </c>
      <c r="C1130" t="s">
        <v>1499</v>
      </c>
      <c r="D1130" t="s">
        <v>1797</v>
      </c>
      <c r="E1130" t="s">
        <v>1626</v>
      </c>
      <c r="F1130" t="s">
        <v>1799</v>
      </c>
      <c r="H1130" t="s">
        <v>1800</v>
      </c>
      <c r="I1130" t="s">
        <v>446</v>
      </c>
      <c r="J1130" t="s">
        <v>1570</v>
      </c>
      <c r="K1130" t="s">
        <v>1911</v>
      </c>
      <c r="L1130" t="s">
        <v>1803</v>
      </c>
      <c r="M1130" t="s">
        <v>1965</v>
      </c>
      <c r="Q1130" t="s">
        <v>57</v>
      </c>
      <c r="R1130" t="s">
        <v>1991</v>
      </c>
      <c r="Y1130" t="s">
        <v>1967</v>
      </c>
      <c r="Z1130">
        <v>8536</v>
      </c>
      <c r="AE1130">
        <v>3870</v>
      </c>
      <c r="AF1130" s="4">
        <v>0.5</v>
      </c>
      <c r="AG1130">
        <f t="shared" si="111"/>
        <v>1935</v>
      </c>
      <c r="AH1130" s="4">
        <v>0.18</v>
      </c>
      <c r="AI1130">
        <f t="shared" si="106"/>
        <v>2283.3</v>
      </c>
      <c r="AJ1130" s="4">
        <v>0.2</v>
      </c>
      <c r="AK1130">
        <f t="shared" si="107"/>
        <v>456.66</v>
      </c>
      <c r="AL1130">
        <f t="shared" si="108"/>
        <v>2739.96</v>
      </c>
      <c r="AM1130">
        <f t="shared" si="109"/>
        <v>1130.04</v>
      </c>
      <c r="AN1130" s="4">
        <f t="shared" si="110"/>
        <v>0.292</v>
      </c>
      <c r="AO1130" t="s">
        <v>221</v>
      </c>
      <c r="AQ1130" t="s">
        <v>217</v>
      </c>
      <c r="AT1130" t="s">
        <v>869</v>
      </c>
    </row>
    <row r="1131" ht="15.75" customHeight="1" spans="1:46">
      <c r="A1131" t="s">
        <v>1891</v>
      </c>
      <c r="B1131" t="s">
        <v>1992</v>
      </c>
      <c r="C1131" t="s">
        <v>1499</v>
      </c>
      <c r="D1131" t="s">
        <v>1797</v>
      </c>
      <c r="E1131" t="s">
        <v>1626</v>
      </c>
      <c r="F1131" t="s">
        <v>1799</v>
      </c>
      <c r="H1131" t="s">
        <v>1800</v>
      </c>
      <c r="I1131" t="s">
        <v>446</v>
      </c>
      <c r="J1131" t="s">
        <v>1570</v>
      </c>
      <c r="K1131" t="s">
        <v>1815</v>
      </c>
      <c r="L1131" t="s">
        <v>1803</v>
      </c>
      <c r="M1131" t="s">
        <v>1965</v>
      </c>
      <c r="Q1131" t="s">
        <v>57</v>
      </c>
      <c r="R1131" t="s">
        <v>1993</v>
      </c>
      <c r="Y1131" t="s">
        <v>1967</v>
      </c>
      <c r="Z1131">
        <v>8536</v>
      </c>
      <c r="AE1131">
        <v>3870</v>
      </c>
      <c r="AF1131" s="4">
        <v>0.5</v>
      </c>
      <c r="AG1131">
        <f t="shared" si="111"/>
        <v>1935</v>
      </c>
      <c r="AH1131" s="4">
        <v>0.18</v>
      </c>
      <c r="AI1131">
        <f t="shared" si="106"/>
        <v>2283.3</v>
      </c>
      <c r="AJ1131" s="4">
        <v>0.2</v>
      </c>
      <c r="AK1131">
        <f t="shared" si="107"/>
        <v>456.66</v>
      </c>
      <c r="AL1131">
        <f t="shared" si="108"/>
        <v>2739.96</v>
      </c>
      <c r="AM1131">
        <f t="shared" si="109"/>
        <v>1130.04</v>
      </c>
      <c r="AN1131" s="4">
        <f t="shared" si="110"/>
        <v>0.292</v>
      </c>
      <c r="AO1131" t="s">
        <v>221</v>
      </c>
      <c r="AQ1131" t="s">
        <v>217</v>
      </c>
      <c r="AT1131" t="s">
        <v>869</v>
      </c>
    </row>
    <row r="1132" ht="15.75" customHeight="1" spans="1:46">
      <c r="A1132" t="s">
        <v>1891</v>
      </c>
      <c r="B1132" t="s">
        <v>1994</v>
      </c>
      <c r="C1132" t="s">
        <v>1499</v>
      </c>
      <c r="D1132" t="s">
        <v>1797</v>
      </c>
      <c r="E1132" t="s">
        <v>1626</v>
      </c>
      <c r="F1132" t="s">
        <v>1799</v>
      </c>
      <c r="H1132" t="s">
        <v>1800</v>
      </c>
      <c r="I1132" t="s">
        <v>446</v>
      </c>
      <c r="J1132" t="s">
        <v>1570</v>
      </c>
      <c r="K1132" t="s">
        <v>1892</v>
      </c>
      <c r="L1132" t="s">
        <v>1803</v>
      </c>
      <c r="M1132" t="s">
        <v>1841</v>
      </c>
      <c r="Q1132" t="s">
        <v>57</v>
      </c>
      <c r="R1132" t="s">
        <v>1995</v>
      </c>
      <c r="Y1132" t="s">
        <v>1996</v>
      </c>
      <c r="Z1132">
        <v>8536</v>
      </c>
      <c r="AE1132">
        <v>3206</v>
      </c>
      <c r="AF1132" s="4">
        <v>0.5</v>
      </c>
      <c r="AG1132">
        <f t="shared" si="111"/>
        <v>1603</v>
      </c>
      <c r="AH1132" s="4">
        <v>0.18</v>
      </c>
      <c r="AI1132">
        <f t="shared" si="106"/>
        <v>1891.54</v>
      </c>
      <c r="AJ1132" s="4">
        <v>0.2</v>
      </c>
      <c r="AK1132">
        <f t="shared" si="107"/>
        <v>378.31</v>
      </c>
      <c r="AL1132">
        <f t="shared" si="108"/>
        <v>2269.85</v>
      </c>
      <c r="AM1132">
        <f t="shared" si="109"/>
        <v>936.15</v>
      </c>
      <c r="AN1132" s="4">
        <f t="shared" si="110"/>
        <v>0.291999376169682</v>
      </c>
      <c r="AO1132" t="s">
        <v>221</v>
      </c>
      <c r="AQ1132" t="s">
        <v>217</v>
      </c>
      <c r="AT1132" t="s">
        <v>869</v>
      </c>
    </row>
    <row r="1133" ht="15.75" customHeight="1" spans="1:46">
      <c r="A1133" t="s">
        <v>1891</v>
      </c>
      <c r="B1133" t="s">
        <v>1997</v>
      </c>
      <c r="C1133" t="s">
        <v>1499</v>
      </c>
      <c r="D1133" t="s">
        <v>1797</v>
      </c>
      <c r="E1133" t="s">
        <v>1626</v>
      </c>
      <c r="F1133" t="s">
        <v>1799</v>
      </c>
      <c r="H1133" t="s">
        <v>1800</v>
      </c>
      <c r="I1133" t="s">
        <v>446</v>
      </c>
      <c r="J1133" t="s">
        <v>1570</v>
      </c>
      <c r="K1133" t="s">
        <v>1895</v>
      </c>
      <c r="L1133" t="s">
        <v>1803</v>
      </c>
      <c r="M1133" t="s">
        <v>1841</v>
      </c>
      <c r="Q1133" t="s">
        <v>57</v>
      </c>
      <c r="R1133" t="s">
        <v>1998</v>
      </c>
      <c r="Y1133" t="s">
        <v>1996</v>
      </c>
      <c r="Z1133">
        <v>8536</v>
      </c>
      <c r="AE1133">
        <v>3206</v>
      </c>
      <c r="AF1133" s="4">
        <v>0.5</v>
      </c>
      <c r="AG1133">
        <f t="shared" si="111"/>
        <v>1603</v>
      </c>
      <c r="AH1133" s="4">
        <v>0.18</v>
      </c>
      <c r="AI1133">
        <f t="shared" si="106"/>
        <v>1891.54</v>
      </c>
      <c r="AJ1133" s="4">
        <v>0.2</v>
      </c>
      <c r="AK1133">
        <f t="shared" si="107"/>
        <v>378.31</v>
      </c>
      <c r="AL1133">
        <f t="shared" si="108"/>
        <v>2269.85</v>
      </c>
      <c r="AM1133">
        <f t="shared" si="109"/>
        <v>936.15</v>
      </c>
      <c r="AN1133" s="4">
        <f t="shared" si="110"/>
        <v>0.291999376169682</v>
      </c>
      <c r="AO1133" t="s">
        <v>221</v>
      </c>
      <c r="AQ1133" t="s">
        <v>217</v>
      </c>
      <c r="AT1133" t="s">
        <v>869</v>
      </c>
    </row>
    <row r="1134" ht="15.75" customHeight="1" spans="1:46">
      <c r="A1134" t="s">
        <v>1891</v>
      </c>
      <c r="B1134" t="s">
        <v>1999</v>
      </c>
      <c r="C1134" t="s">
        <v>1499</v>
      </c>
      <c r="D1134" t="s">
        <v>1797</v>
      </c>
      <c r="E1134" t="s">
        <v>1626</v>
      </c>
      <c r="F1134" t="s">
        <v>1799</v>
      </c>
      <c r="H1134" t="s">
        <v>1800</v>
      </c>
      <c r="I1134" t="s">
        <v>446</v>
      </c>
      <c r="J1134" t="s">
        <v>1570</v>
      </c>
      <c r="K1134" t="s">
        <v>1898</v>
      </c>
      <c r="L1134" t="s">
        <v>1803</v>
      </c>
      <c r="M1134" t="s">
        <v>1841</v>
      </c>
      <c r="Q1134" t="s">
        <v>57</v>
      </c>
      <c r="R1134" t="s">
        <v>2000</v>
      </c>
      <c r="Y1134" t="s">
        <v>1996</v>
      </c>
      <c r="Z1134">
        <v>8536</v>
      </c>
      <c r="AE1134">
        <v>3206</v>
      </c>
      <c r="AF1134" s="4">
        <v>0.5</v>
      </c>
      <c r="AG1134">
        <f t="shared" si="111"/>
        <v>1603</v>
      </c>
      <c r="AH1134" s="4">
        <v>0.18</v>
      </c>
      <c r="AI1134">
        <f t="shared" si="106"/>
        <v>1891.54</v>
      </c>
      <c r="AJ1134" s="4">
        <v>0.2</v>
      </c>
      <c r="AK1134">
        <f t="shared" si="107"/>
        <v>378.31</v>
      </c>
      <c r="AL1134">
        <f t="shared" si="108"/>
        <v>2269.85</v>
      </c>
      <c r="AM1134">
        <f t="shared" si="109"/>
        <v>936.15</v>
      </c>
      <c r="AN1134" s="4">
        <f t="shared" si="110"/>
        <v>0.291999376169682</v>
      </c>
      <c r="AO1134" t="s">
        <v>221</v>
      </c>
      <c r="AQ1134" t="s">
        <v>217</v>
      </c>
      <c r="AT1134" t="s">
        <v>869</v>
      </c>
    </row>
    <row r="1135" ht="15.75" customHeight="1" spans="1:46">
      <c r="A1135" t="s">
        <v>1891</v>
      </c>
      <c r="B1135" t="s">
        <v>2001</v>
      </c>
      <c r="C1135" t="s">
        <v>1499</v>
      </c>
      <c r="D1135" t="s">
        <v>1797</v>
      </c>
      <c r="E1135" t="s">
        <v>1626</v>
      </c>
      <c r="F1135" t="s">
        <v>1799</v>
      </c>
      <c r="H1135" t="s">
        <v>1800</v>
      </c>
      <c r="I1135" t="s">
        <v>446</v>
      </c>
      <c r="J1135" t="s">
        <v>1570</v>
      </c>
      <c r="K1135" t="s">
        <v>1900</v>
      </c>
      <c r="L1135" t="s">
        <v>1803</v>
      </c>
      <c r="M1135" t="s">
        <v>1841</v>
      </c>
      <c r="Q1135" t="s">
        <v>57</v>
      </c>
      <c r="R1135" t="s">
        <v>2002</v>
      </c>
      <c r="Y1135" t="s">
        <v>1996</v>
      </c>
      <c r="Z1135">
        <v>8536</v>
      </c>
      <c r="AE1135">
        <v>3206</v>
      </c>
      <c r="AF1135" s="4">
        <v>0.5</v>
      </c>
      <c r="AG1135">
        <f t="shared" si="111"/>
        <v>1603</v>
      </c>
      <c r="AH1135" s="4">
        <v>0.18</v>
      </c>
      <c r="AI1135">
        <f t="shared" si="106"/>
        <v>1891.54</v>
      </c>
      <c r="AJ1135" s="4">
        <v>0.2</v>
      </c>
      <c r="AK1135">
        <f t="shared" si="107"/>
        <v>378.31</v>
      </c>
      <c r="AL1135">
        <f t="shared" si="108"/>
        <v>2269.85</v>
      </c>
      <c r="AM1135">
        <f t="shared" si="109"/>
        <v>936.15</v>
      </c>
      <c r="AN1135" s="4">
        <f t="shared" si="110"/>
        <v>0.291999376169682</v>
      </c>
      <c r="AO1135" t="s">
        <v>221</v>
      </c>
      <c r="AQ1135" t="s">
        <v>217</v>
      </c>
      <c r="AT1135" t="s">
        <v>869</v>
      </c>
    </row>
    <row r="1136" ht="15.75" customHeight="1" spans="1:46">
      <c r="A1136" t="s">
        <v>1891</v>
      </c>
      <c r="B1136" t="s">
        <v>2003</v>
      </c>
      <c r="C1136" t="s">
        <v>1499</v>
      </c>
      <c r="D1136" t="s">
        <v>1797</v>
      </c>
      <c r="E1136" t="s">
        <v>1626</v>
      </c>
      <c r="F1136" t="s">
        <v>1799</v>
      </c>
      <c r="H1136" t="s">
        <v>1800</v>
      </c>
      <c r="I1136" t="s">
        <v>446</v>
      </c>
      <c r="J1136" t="s">
        <v>1570</v>
      </c>
      <c r="K1136" t="s">
        <v>1902</v>
      </c>
      <c r="L1136" t="s">
        <v>1803</v>
      </c>
      <c r="M1136" t="s">
        <v>1841</v>
      </c>
      <c r="Q1136" t="s">
        <v>57</v>
      </c>
      <c r="R1136" t="s">
        <v>2004</v>
      </c>
      <c r="Y1136" t="s">
        <v>1996</v>
      </c>
      <c r="Z1136">
        <v>8536</v>
      </c>
      <c r="AE1136">
        <v>3206</v>
      </c>
      <c r="AF1136" s="4">
        <v>0.5</v>
      </c>
      <c r="AG1136">
        <f t="shared" si="111"/>
        <v>1603</v>
      </c>
      <c r="AH1136" s="4">
        <v>0.18</v>
      </c>
      <c r="AI1136">
        <f t="shared" si="106"/>
        <v>1891.54</v>
      </c>
      <c r="AJ1136" s="4">
        <v>0.2</v>
      </c>
      <c r="AK1136">
        <f t="shared" si="107"/>
        <v>378.31</v>
      </c>
      <c r="AL1136">
        <f t="shared" si="108"/>
        <v>2269.85</v>
      </c>
      <c r="AM1136">
        <f t="shared" si="109"/>
        <v>936.15</v>
      </c>
      <c r="AN1136" s="4">
        <f t="shared" si="110"/>
        <v>0.291999376169682</v>
      </c>
      <c r="AO1136" t="s">
        <v>221</v>
      </c>
      <c r="AQ1136" t="s">
        <v>217</v>
      </c>
      <c r="AT1136" t="s">
        <v>869</v>
      </c>
    </row>
    <row r="1137" ht="15.75" customHeight="1" spans="1:46">
      <c r="A1137" t="s">
        <v>1891</v>
      </c>
      <c r="B1137" t="s">
        <v>2005</v>
      </c>
      <c r="C1137" t="s">
        <v>1499</v>
      </c>
      <c r="D1137" t="s">
        <v>1797</v>
      </c>
      <c r="E1137" t="s">
        <v>1626</v>
      </c>
      <c r="F1137" t="s">
        <v>1799</v>
      </c>
      <c r="H1137" t="s">
        <v>1800</v>
      </c>
      <c r="I1137" t="s">
        <v>446</v>
      </c>
      <c r="J1137" t="s">
        <v>1570</v>
      </c>
      <c r="K1137" t="s">
        <v>1571</v>
      </c>
      <c r="L1137" t="s">
        <v>1803</v>
      </c>
      <c r="M1137" t="s">
        <v>1841</v>
      </c>
      <c r="Q1137" t="s">
        <v>57</v>
      </c>
      <c r="R1137" t="s">
        <v>2006</v>
      </c>
      <c r="Y1137" t="s">
        <v>1996</v>
      </c>
      <c r="Z1137">
        <v>8536</v>
      </c>
      <c r="AE1137">
        <v>2820</v>
      </c>
      <c r="AF1137" s="4">
        <v>0.5</v>
      </c>
      <c r="AG1137">
        <f t="shared" si="111"/>
        <v>1410</v>
      </c>
      <c r="AH1137" s="4">
        <v>0.18</v>
      </c>
      <c r="AI1137">
        <f t="shared" si="106"/>
        <v>1663.8</v>
      </c>
      <c r="AJ1137" s="4">
        <v>0.2</v>
      </c>
      <c r="AK1137">
        <f t="shared" si="107"/>
        <v>332.76</v>
      </c>
      <c r="AL1137">
        <f t="shared" si="108"/>
        <v>1996.56</v>
      </c>
      <c r="AM1137">
        <f t="shared" si="109"/>
        <v>823.44</v>
      </c>
      <c r="AN1137" s="4">
        <f t="shared" si="110"/>
        <v>0.292</v>
      </c>
      <c r="AO1137" t="s">
        <v>221</v>
      </c>
      <c r="AQ1137" t="s">
        <v>217</v>
      </c>
      <c r="AT1137" t="s">
        <v>869</v>
      </c>
    </row>
    <row r="1138" ht="15.75" customHeight="1" spans="1:46">
      <c r="A1138" t="s">
        <v>1891</v>
      </c>
      <c r="B1138" t="s">
        <v>2007</v>
      </c>
      <c r="C1138" t="s">
        <v>1499</v>
      </c>
      <c r="D1138" t="s">
        <v>1797</v>
      </c>
      <c r="E1138" t="s">
        <v>1626</v>
      </c>
      <c r="F1138" t="s">
        <v>1799</v>
      </c>
      <c r="H1138" t="s">
        <v>1800</v>
      </c>
      <c r="I1138" t="s">
        <v>446</v>
      </c>
      <c r="J1138" t="s">
        <v>1570</v>
      </c>
      <c r="K1138" t="s">
        <v>1654</v>
      </c>
      <c r="L1138" t="s">
        <v>1803</v>
      </c>
      <c r="M1138" t="s">
        <v>1841</v>
      </c>
      <c r="Q1138" t="s">
        <v>57</v>
      </c>
      <c r="R1138" t="s">
        <v>2008</v>
      </c>
      <c r="Y1138" t="s">
        <v>1996</v>
      </c>
      <c r="Z1138">
        <v>8536</v>
      </c>
      <c r="AE1138">
        <v>2820</v>
      </c>
      <c r="AF1138" s="4">
        <v>0.5</v>
      </c>
      <c r="AG1138">
        <f t="shared" si="111"/>
        <v>1410</v>
      </c>
      <c r="AH1138" s="4">
        <v>0.18</v>
      </c>
      <c r="AI1138">
        <f t="shared" si="106"/>
        <v>1663.8</v>
      </c>
      <c r="AJ1138" s="4">
        <v>0.2</v>
      </c>
      <c r="AK1138">
        <f t="shared" si="107"/>
        <v>332.76</v>
      </c>
      <c r="AL1138">
        <f t="shared" si="108"/>
        <v>1996.56</v>
      </c>
      <c r="AM1138">
        <f t="shared" si="109"/>
        <v>823.44</v>
      </c>
      <c r="AN1138" s="4">
        <f t="shared" si="110"/>
        <v>0.292</v>
      </c>
      <c r="AO1138" t="s">
        <v>221</v>
      </c>
      <c r="AQ1138" t="s">
        <v>217</v>
      </c>
      <c r="AT1138" t="s">
        <v>869</v>
      </c>
    </row>
    <row r="1139" ht="15.75" customHeight="1" spans="1:46">
      <c r="A1139" t="s">
        <v>1891</v>
      </c>
      <c r="B1139" t="s">
        <v>2009</v>
      </c>
      <c r="C1139" t="s">
        <v>1499</v>
      </c>
      <c r="D1139" t="s">
        <v>1797</v>
      </c>
      <c r="E1139" t="s">
        <v>1626</v>
      </c>
      <c r="F1139" t="s">
        <v>1799</v>
      </c>
      <c r="H1139" t="s">
        <v>1800</v>
      </c>
      <c r="I1139" t="s">
        <v>446</v>
      </c>
      <c r="J1139" t="s">
        <v>1570</v>
      </c>
      <c r="K1139" t="s">
        <v>1575</v>
      </c>
      <c r="L1139" t="s">
        <v>1803</v>
      </c>
      <c r="M1139" t="s">
        <v>1841</v>
      </c>
      <c r="Q1139" t="s">
        <v>57</v>
      </c>
      <c r="R1139" t="s">
        <v>2010</v>
      </c>
      <c r="Y1139" t="s">
        <v>1996</v>
      </c>
      <c r="Z1139">
        <v>8536</v>
      </c>
      <c r="AE1139">
        <v>2820</v>
      </c>
      <c r="AF1139" s="4">
        <v>0.5</v>
      </c>
      <c r="AG1139">
        <f t="shared" si="111"/>
        <v>1410</v>
      </c>
      <c r="AH1139" s="4">
        <v>0.18</v>
      </c>
      <c r="AI1139">
        <f t="shared" si="106"/>
        <v>1663.8</v>
      </c>
      <c r="AJ1139" s="4">
        <v>0.2</v>
      </c>
      <c r="AK1139">
        <f t="shared" si="107"/>
        <v>332.76</v>
      </c>
      <c r="AL1139">
        <f t="shared" si="108"/>
        <v>1996.56</v>
      </c>
      <c r="AM1139">
        <f t="shared" si="109"/>
        <v>823.44</v>
      </c>
      <c r="AN1139" s="4">
        <f t="shared" si="110"/>
        <v>0.292</v>
      </c>
      <c r="AO1139" t="s">
        <v>221</v>
      </c>
      <c r="AQ1139" t="s">
        <v>217</v>
      </c>
      <c r="AT1139" t="s">
        <v>869</v>
      </c>
    </row>
    <row r="1140" ht="15.75" customHeight="1" spans="1:46">
      <c r="A1140" t="s">
        <v>1891</v>
      </c>
      <c r="B1140" t="s">
        <v>2011</v>
      </c>
      <c r="C1140" t="s">
        <v>1499</v>
      </c>
      <c r="D1140" t="s">
        <v>1797</v>
      </c>
      <c r="E1140" t="s">
        <v>1626</v>
      </c>
      <c r="F1140" t="s">
        <v>1799</v>
      </c>
      <c r="H1140" t="s">
        <v>1800</v>
      </c>
      <c r="I1140" t="s">
        <v>446</v>
      </c>
      <c r="J1140" t="s">
        <v>1570</v>
      </c>
      <c r="K1140" t="s">
        <v>1672</v>
      </c>
      <c r="L1140" t="s">
        <v>1803</v>
      </c>
      <c r="M1140" t="s">
        <v>1841</v>
      </c>
      <c r="Q1140" t="s">
        <v>57</v>
      </c>
      <c r="R1140" t="s">
        <v>2012</v>
      </c>
      <c r="Y1140" t="s">
        <v>1996</v>
      </c>
      <c r="Z1140">
        <v>8536</v>
      </c>
      <c r="AE1140">
        <v>2820</v>
      </c>
      <c r="AF1140" s="4">
        <v>0.5</v>
      </c>
      <c r="AG1140">
        <f t="shared" si="111"/>
        <v>1410</v>
      </c>
      <c r="AH1140" s="4">
        <v>0.18</v>
      </c>
      <c r="AI1140">
        <f t="shared" si="106"/>
        <v>1663.8</v>
      </c>
      <c r="AJ1140" s="4">
        <v>0.2</v>
      </c>
      <c r="AK1140">
        <f t="shared" si="107"/>
        <v>332.76</v>
      </c>
      <c r="AL1140">
        <f t="shared" si="108"/>
        <v>1996.56</v>
      </c>
      <c r="AM1140">
        <f t="shared" si="109"/>
        <v>823.44</v>
      </c>
      <c r="AN1140" s="4">
        <f t="shared" si="110"/>
        <v>0.292</v>
      </c>
      <c r="AO1140" t="s">
        <v>221</v>
      </c>
      <c r="AQ1140" t="s">
        <v>217</v>
      </c>
      <c r="AT1140" t="s">
        <v>869</v>
      </c>
    </row>
    <row r="1141" ht="15.75" customHeight="1" spans="1:46">
      <c r="A1141" t="s">
        <v>1891</v>
      </c>
      <c r="B1141" t="s">
        <v>2013</v>
      </c>
      <c r="C1141" t="s">
        <v>1499</v>
      </c>
      <c r="D1141" t="s">
        <v>1797</v>
      </c>
      <c r="E1141" t="s">
        <v>1626</v>
      </c>
      <c r="F1141" t="s">
        <v>1799</v>
      </c>
      <c r="H1141" t="s">
        <v>1800</v>
      </c>
      <c r="I1141" t="s">
        <v>446</v>
      </c>
      <c r="J1141" t="s">
        <v>1570</v>
      </c>
      <c r="K1141" t="s">
        <v>1807</v>
      </c>
      <c r="L1141" t="s">
        <v>1803</v>
      </c>
      <c r="M1141" t="s">
        <v>1841</v>
      </c>
      <c r="Q1141" t="s">
        <v>57</v>
      </c>
      <c r="R1141" t="s">
        <v>2014</v>
      </c>
      <c r="Y1141" t="s">
        <v>1996</v>
      </c>
      <c r="Z1141">
        <v>8536</v>
      </c>
      <c r="AE1141">
        <v>2820</v>
      </c>
      <c r="AF1141" s="4">
        <v>0.5</v>
      </c>
      <c r="AG1141">
        <f t="shared" si="111"/>
        <v>1410</v>
      </c>
      <c r="AH1141" s="4">
        <v>0.18</v>
      </c>
      <c r="AI1141">
        <f t="shared" si="106"/>
        <v>1663.8</v>
      </c>
      <c r="AJ1141" s="4">
        <v>0.2</v>
      </c>
      <c r="AK1141">
        <f t="shared" si="107"/>
        <v>332.76</v>
      </c>
      <c r="AL1141">
        <f t="shared" si="108"/>
        <v>1996.56</v>
      </c>
      <c r="AM1141">
        <f t="shared" si="109"/>
        <v>823.44</v>
      </c>
      <c r="AN1141" s="4">
        <f t="shared" si="110"/>
        <v>0.292</v>
      </c>
      <c r="AO1141" t="s">
        <v>221</v>
      </c>
      <c r="AQ1141" t="s">
        <v>217</v>
      </c>
      <c r="AT1141" t="s">
        <v>869</v>
      </c>
    </row>
    <row r="1142" ht="15.75" customHeight="1" spans="1:46">
      <c r="A1142" t="s">
        <v>1891</v>
      </c>
      <c r="B1142" t="s">
        <v>2015</v>
      </c>
      <c r="C1142" t="s">
        <v>1499</v>
      </c>
      <c r="D1142" t="s">
        <v>1797</v>
      </c>
      <c r="E1142" t="s">
        <v>1626</v>
      </c>
      <c r="F1142" t="s">
        <v>1799</v>
      </c>
      <c r="H1142" t="s">
        <v>1800</v>
      </c>
      <c r="I1142" t="s">
        <v>446</v>
      </c>
      <c r="J1142" t="s">
        <v>1570</v>
      </c>
      <c r="K1142" t="s">
        <v>1808</v>
      </c>
      <c r="L1142" t="s">
        <v>1803</v>
      </c>
      <c r="M1142" t="s">
        <v>1841</v>
      </c>
      <c r="Q1142" t="s">
        <v>57</v>
      </c>
      <c r="R1142" t="s">
        <v>2016</v>
      </c>
      <c r="Y1142" t="s">
        <v>1996</v>
      </c>
      <c r="Z1142">
        <v>8536</v>
      </c>
      <c r="AE1142">
        <v>2820</v>
      </c>
      <c r="AF1142" s="4">
        <v>0.5</v>
      </c>
      <c r="AG1142">
        <f t="shared" si="111"/>
        <v>1410</v>
      </c>
      <c r="AH1142" s="4">
        <v>0.18</v>
      </c>
      <c r="AI1142">
        <f t="shared" si="106"/>
        <v>1663.8</v>
      </c>
      <c r="AJ1142" s="4">
        <v>0.2</v>
      </c>
      <c r="AK1142">
        <f t="shared" si="107"/>
        <v>332.76</v>
      </c>
      <c r="AL1142">
        <f t="shared" si="108"/>
        <v>1996.56</v>
      </c>
      <c r="AM1142">
        <f t="shared" si="109"/>
        <v>823.44</v>
      </c>
      <c r="AN1142" s="4">
        <f t="shared" si="110"/>
        <v>0.292</v>
      </c>
      <c r="AO1142" t="s">
        <v>221</v>
      </c>
      <c r="AQ1142" t="s">
        <v>217</v>
      </c>
      <c r="AT1142" t="s">
        <v>869</v>
      </c>
    </row>
    <row r="1143" ht="15.75" customHeight="1" spans="1:46">
      <c r="A1143" t="s">
        <v>1891</v>
      </c>
      <c r="B1143" t="s">
        <v>2017</v>
      </c>
      <c r="C1143" t="s">
        <v>1499</v>
      </c>
      <c r="D1143" t="s">
        <v>1797</v>
      </c>
      <c r="E1143" t="s">
        <v>1626</v>
      </c>
      <c r="F1143" t="s">
        <v>1799</v>
      </c>
      <c r="H1143" t="s">
        <v>1800</v>
      </c>
      <c r="I1143" t="s">
        <v>446</v>
      </c>
      <c r="J1143" t="s">
        <v>1570</v>
      </c>
      <c r="K1143" t="s">
        <v>1809</v>
      </c>
      <c r="L1143" t="s">
        <v>1803</v>
      </c>
      <c r="M1143" t="s">
        <v>1841</v>
      </c>
      <c r="Q1143" t="s">
        <v>57</v>
      </c>
      <c r="R1143" t="s">
        <v>2018</v>
      </c>
      <c r="Y1143" t="s">
        <v>1996</v>
      </c>
      <c r="Z1143">
        <v>8536</v>
      </c>
      <c r="AE1143">
        <v>4012</v>
      </c>
      <c r="AF1143" s="4">
        <v>0.5</v>
      </c>
      <c r="AG1143">
        <f t="shared" si="111"/>
        <v>2006</v>
      </c>
      <c r="AH1143" s="4">
        <v>0.18</v>
      </c>
      <c r="AI1143">
        <f t="shared" si="106"/>
        <v>2367.08</v>
      </c>
      <c r="AJ1143" s="4">
        <v>0.2</v>
      </c>
      <c r="AK1143">
        <f t="shared" si="107"/>
        <v>473.42</v>
      </c>
      <c r="AL1143">
        <f t="shared" si="108"/>
        <v>2840.5</v>
      </c>
      <c r="AM1143">
        <f t="shared" si="109"/>
        <v>1171.5</v>
      </c>
      <c r="AN1143" s="4">
        <f t="shared" si="110"/>
        <v>0.291999002991027</v>
      </c>
      <c r="AO1143" t="s">
        <v>221</v>
      </c>
      <c r="AQ1143" t="s">
        <v>217</v>
      </c>
      <c r="AT1143" t="s">
        <v>869</v>
      </c>
    </row>
    <row r="1144" ht="15.75" customHeight="1" spans="1:46">
      <c r="A1144" t="s">
        <v>1891</v>
      </c>
      <c r="B1144" t="s">
        <v>2019</v>
      </c>
      <c r="C1144" t="s">
        <v>1499</v>
      </c>
      <c r="D1144" t="s">
        <v>1797</v>
      </c>
      <c r="E1144" t="s">
        <v>1626</v>
      </c>
      <c r="F1144" t="s">
        <v>1799</v>
      </c>
      <c r="H1144" t="s">
        <v>1800</v>
      </c>
      <c r="I1144" t="s">
        <v>446</v>
      </c>
      <c r="J1144" t="s">
        <v>1570</v>
      </c>
      <c r="K1144" t="s">
        <v>1911</v>
      </c>
      <c r="L1144" t="s">
        <v>1803</v>
      </c>
      <c r="M1144" t="s">
        <v>1841</v>
      </c>
      <c r="Q1144" t="s">
        <v>57</v>
      </c>
      <c r="R1144" s="17">
        <v>798788</v>
      </c>
      <c r="Y1144" t="s">
        <v>1996</v>
      </c>
      <c r="Z1144">
        <v>8536</v>
      </c>
      <c r="AE1144">
        <v>4012</v>
      </c>
      <c r="AF1144" s="4">
        <v>0.5</v>
      </c>
      <c r="AG1144">
        <f t="shared" si="111"/>
        <v>2006</v>
      </c>
      <c r="AH1144" s="4">
        <v>0.18</v>
      </c>
      <c r="AI1144">
        <f t="shared" si="106"/>
        <v>2367.08</v>
      </c>
      <c r="AJ1144" s="4">
        <v>0.2</v>
      </c>
      <c r="AK1144">
        <f t="shared" si="107"/>
        <v>473.42</v>
      </c>
      <c r="AL1144">
        <f t="shared" si="108"/>
        <v>2840.5</v>
      </c>
      <c r="AM1144">
        <f t="shared" si="109"/>
        <v>1171.5</v>
      </c>
      <c r="AN1144" s="4">
        <f t="shared" si="110"/>
        <v>0.291999002991027</v>
      </c>
      <c r="AO1144" t="s">
        <v>221</v>
      </c>
      <c r="AQ1144" t="s">
        <v>217</v>
      </c>
      <c r="AT1144" t="s">
        <v>869</v>
      </c>
    </row>
    <row r="1145" ht="15.75" customHeight="1" spans="1:46">
      <c r="A1145" t="s">
        <v>1891</v>
      </c>
      <c r="B1145" t="s">
        <v>2020</v>
      </c>
      <c r="C1145" t="s">
        <v>1499</v>
      </c>
      <c r="D1145" t="s">
        <v>1797</v>
      </c>
      <c r="E1145" t="s">
        <v>1626</v>
      </c>
      <c r="F1145" t="s">
        <v>1799</v>
      </c>
      <c r="H1145" t="s">
        <v>1800</v>
      </c>
      <c r="I1145" t="s">
        <v>446</v>
      </c>
      <c r="J1145" t="s">
        <v>1570</v>
      </c>
      <c r="K1145" t="s">
        <v>1815</v>
      </c>
      <c r="L1145" t="s">
        <v>1803</v>
      </c>
      <c r="M1145" t="s">
        <v>1841</v>
      </c>
      <c r="Q1145" t="s">
        <v>57</v>
      </c>
      <c r="R1145" s="17">
        <v>798819</v>
      </c>
      <c r="Y1145" t="s">
        <v>1996</v>
      </c>
      <c r="Z1145">
        <v>8536</v>
      </c>
      <c r="AE1145">
        <v>4012</v>
      </c>
      <c r="AF1145" s="4">
        <v>0.5</v>
      </c>
      <c r="AG1145">
        <f t="shared" si="111"/>
        <v>2006</v>
      </c>
      <c r="AH1145" s="4">
        <v>0.18</v>
      </c>
      <c r="AI1145">
        <f t="shared" si="106"/>
        <v>2367.08</v>
      </c>
      <c r="AJ1145" s="4">
        <v>0.2</v>
      </c>
      <c r="AK1145">
        <f t="shared" si="107"/>
        <v>473.42</v>
      </c>
      <c r="AL1145">
        <f t="shared" si="108"/>
        <v>2840.5</v>
      </c>
      <c r="AM1145">
        <f t="shared" si="109"/>
        <v>1171.5</v>
      </c>
      <c r="AN1145" s="4">
        <f t="shared" si="110"/>
        <v>0.291999002991027</v>
      </c>
      <c r="AO1145" t="s">
        <v>221</v>
      </c>
      <c r="AQ1145" t="s">
        <v>217</v>
      </c>
      <c r="AT1145" t="s">
        <v>869</v>
      </c>
    </row>
    <row r="1146" ht="15.75" customHeight="1" spans="1:46">
      <c r="A1146" t="s">
        <v>2021</v>
      </c>
      <c r="B1146" t="s">
        <v>46</v>
      </c>
      <c r="C1146" t="s">
        <v>1499</v>
      </c>
      <c r="D1146" t="s">
        <v>1797</v>
      </c>
      <c r="E1146" t="s">
        <v>1626</v>
      </c>
      <c r="F1146" t="s">
        <v>1866</v>
      </c>
      <c r="H1146" t="s">
        <v>1800</v>
      </c>
      <c r="I1146" t="s">
        <v>446</v>
      </c>
      <c r="J1146" t="s">
        <v>1570</v>
      </c>
      <c r="K1146" t="s">
        <v>1807</v>
      </c>
      <c r="L1146" t="s">
        <v>1803</v>
      </c>
      <c r="M1146" t="s">
        <v>1823</v>
      </c>
      <c r="Q1146" t="s">
        <v>57</v>
      </c>
      <c r="R1146" t="s">
        <v>2022</v>
      </c>
      <c r="Y1146" t="s">
        <v>2023</v>
      </c>
      <c r="Z1146">
        <v>8536</v>
      </c>
      <c r="AE1146">
        <v>3186</v>
      </c>
      <c r="AF1146" s="4">
        <v>0.5</v>
      </c>
      <c r="AG1146">
        <f t="shared" si="111"/>
        <v>1593</v>
      </c>
      <c r="AH1146" s="4">
        <v>0.18</v>
      </c>
      <c r="AI1146">
        <f t="shared" si="106"/>
        <v>1879.74</v>
      </c>
      <c r="AJ1146" s="4">
        <v>0.2</v>
      </c>
      <c r="AK1146">
        <f t="shared" si="107"/>
        <v>375.95</v>
      </c>
      <c r="AL1146">
        <f t="shared" si="108"/>
        <v>2255.69</v>
      </c>
      <c r="AM1146">
        <f t="shared" si="109"/>
        <v>930.31</v>
      </c>
      <c r="AN1146" s="4">
        <f t="shared" si="110"/>
        <v>0.29199937225361</v>
      </c>
      <c r="AO1146" t="s">
        <v>221</v>
      </c>
      <c r="AQ1146" t="s">
        <v>217</v>
      </c>
      <c r="AT1146" t="s">
        <v>869</v>
      </c>
    </row>
    <row r="1147" ht="15.75" customHeight="1" spans="1:46">
      <c r="A1147" t="s">
        <v>2021</v>
      </c>
      <c r="B1147" t="s">
        <v>67</v>
      </c>
      <c r="C1147" t="s">
        <v>1499</v>
      </c>
      <c r="D1147" t="s">
        <v>1797</v>
      </c>
      <c r="E1147" t="s">
        <v>1626</v>
      </c>
      <c r="F1147" t="s">
        <v>1866</v>
      </c>
      <c r="H1147" t="s">
        <v>1800</v>
      </c>
      <c r="I1147" t="s">
        <v>446</v>
      </c>
      <c r="J1147" t="s">
        <v>1570</v>
      </c>
      <c r="K1147" t="s">
        <v>1809</v>
      </c>
      <c r="L1147" t="s">
        <v>1803</v>
      </c>
      <c r="M1147" t="s">
        <v>1823</v>
      </c>
      <c r="Q1147" t="s">
        <v>57</v>
      </c>
      <c r="R1147" t="s">
        <v>2024</v>
      </c>
      <c r="Y1147" t="s">
        <v>2023</v>
      </c>
      <c r="Z1147">
        <v>8536</v>
      </c>
      <c r="AE1147">
        <v>3758</v>
      </c>
      <c r="AF1147" s="4">
        <v>0.5</v>
      </c>
      <c r="AG1147">
        <f t="shared" si="111"/>
        <v>1879</v>
      </c>
      <c r="AH1147" s="4">
        <v>0.18</v>
      </c>
      <c r="AI1147">
        <f t="shared" si="106"/>
        <v>2217.22</v>
      </c>
      <c r="AJ1147" s="4">
        <v>0.2</v>
      </c>
      <c r="AK1147">
        <f t="shared" si="107"/>
        <v>443.44</v>
      </c>
      <c r="AL1147">
        <f t="shared" si="108"/>
        <v>2660.66</v>
      </c>
      <c r="AM1147">
        <f t="shared" si="109"/>
        <v>1097.34</v>
      </c>
      <c r="AN1147" s="4">
        <f t="shared" si="110"/>
        <v>0.292001064395955</v>
      </c>
      <c r="AO1147" t="s">
        <v>221</v>
      </c>
      <c r="AQ1147" t="s">
        <v>217</v>
      </c>
      <c r="AT1147" t="s">
        <v>869</v>
      </c>
    </row>
    <row r="1148" ht="15.75" customHeight="1" spans="1:46">
      <c r="A1148" t="s">
        <v>2021</v>
      </c>
      <c r="B1148" t="s">
        <v>71</v>
      </c>
      <c r="C1148" t="s">
        <v>1499</v>
      </c>
      <c r="D1148" t="s">
        <v>1797</v>
      </c>
      <c r="E1148" t="s">
        <v>1626</v>
      </c>
      <c r="F1148" t="s">
        <v>1866</v>
      </c>
      <c r="H1148" t="s">
        <v>1800</v>
      </c>
      <c r="I1148" t="s">
        <v>446</v>
      </c>
      <c r="J1148" t="s">
        <v>1570</v>
      </c>
      <c r="K1148" t="s">
        <v>1815</v>
      </c>
      <c r="L1148" t="s">
        <v>1803</v>
      </c>
      <c r="M1148" t="s">
        <v>1823</v>
      </c>
      <c r="Q1148" t="s">
        <v>57</v>
      </c>
      <c r="R1148" t="s">
        <v>2025</v>
      </c>
      <c r="Y1148" t="s">
        <v>2023</v>
      </c>
      <c r="Z1148">
        <v>8536</v>
      </c>
      <c r="AE1148">
        <v>4510</v>
      </c>
      <c r="AF1148" s="4">
        <v>0.5</v>
      </c>
      <c r="AG1148">
        <f t="shared" si="111"/>
        <v>2255</v>
      </c>
      <c r="AH1148" s="4">
        <v>0.18</v>
      </c>
      <c r="AI1148">
        <f t="shared" si="106"/>
        <v>2660.9</v>
      </c>
      <c r="AJ1148" s="4">
        <v>0.2</v>
      </c>
      <c r="AK1148">
        <f t="shared" si="107"/>
        <v>532.18</v>
      </c>
      <c r="AL1148">
        <f t="shared" si="108"/>
        <v>3193.08</v>
      </c>
      <c r="AM1148">
        <f t="shared" si="109"/>
        <v>1316.92</v>
      </c>
      <c r="AN1148" s="4">
        <f t="shared" si="110"/>
        <v>0.292</v>
      </c>
      <c r="AO1148" t="s">
        <v>221</v>
      </c>
      <c r="AQ1148" t="s">
        <v>217</v>
      </c>
      <c r="AT1148" t="s">
        <v>869</v>
      </c>
    </row>
    <row r="1149" ht="15.75" customHeight="1" spans="1:46">
      <c r="A1149" t="s">
        <v>2021</v>
      </c>
      <c r="B1149" t="s">
        <v>75</v>
      </c>
      <c r="C1149" t="s">
        <v>1499</v>
      </c>
      <c r="D1149" t="s">
        <v>1797</v>
      </c>
      <c r="E1149" t="s">
        <v>1626</v>
      </c>
      <c r="F1149" t="s">
        <v>1866</v>
      </c>
      <c r="H1149" t="s">
        <v>1800</v>
      </c>
      <c r="I1149" t="s">
        <v>446</v>
      </c>
      <c r="J1149" t="s">
        <v>1570</v>
      </c>
      <c r="K1149" t="s">
        <v>1807</v>
      </c>
      <c r="L1149" t="s">
        <v>1803</v>
      </c>
      <c r="M1149" t="s">
        <v>1841</v>
      </c>
      <c r="Q1149" t="s">
        <v>57</v>
      </c>
      <c r="R1149" t="s">
        <v>2026</v>
      </c>
      <c r="Y1149" t="s">
        <v>2027</v>
      </c>
      <c r="Z1149">
        <v>8536</v>
      </c>
      <c r="AE1149">
        <v>4224</v>
      </c>
      <c r="AF1149" s="4">
        <v>0.5</v>
      </c>
      <c r="AG1149">
        <f t="shared" si="111"/>
        <v>2112</v>
      </c>
      <c r="AH1149" s="4">
        <v>0.18</v>
      </c>
      <c r="AI1149">
        <f t="shared" si="106"/>
        <v>2492.16</v>
      </c>
      <c r="AJ1149" s="4">
        <v>0.2</v>
      </c>
      <c r="AK1149">
        <f t="shared" si="107"/>
        <v>498.43</v>
      </c>
      <c r="AL1149">
        <f t="shared" si="108"/>
        <v>2990.59</v>
      </c>
      <c r="AM1149">
        <f t="shared" si="109"/>
        <v>1233.41</v>
      </c>
      <c r="AN1149" s="4">
        <f t="shared" si="110"/>
        <v>0.292000473484849</v>
      </c>
      <c r="AO1149" t="s">
        <v>221</v>
      </c>
      <c r="AQ1149" t="s">
        <v>217</v>
      </c>
      <c r="AT1149" t="s">
        <v>869</v>
      </c>
    </row>
    <row r="1150" ht="15.75" customHeight="1" spans="1:46">
      <c r="A1150" t="s">
        <v>2021</v>
      </c>
      <c r="B1150" t="s">
        <v>79</v>
      </c>
      <c r="C1150" t="s">
        <v>1499</v>
      </c>
      <c r="D1150" t="s">
        <v>1797</v>
      </c>
      <c r="E1150" t="s">
        <v>1626</v>
      </c>
      <c r="F1150" t="s">
        <v>1866</v>
      </c>
      <c r="H1150" t="s">
        <v>1800</v>
      </c>
      <c r="I1150" t="s">
        <v>446</v>
      </c>
      <c r="J1150" t="s">
        <v>1570</v>
      </c>
      <c r="K1150" t="s">
        <v>1809</v>
      </c>
      <c r="L1150" t="s">
        <v>1803</v>
      </c>
      <c r="M1150" t="s">
        <v>1841</v>
      </c>
      <c r="Q1150" t="s">
        <v>57</v>
      </c>
      <c r="R1150" t="s">
        <v>2028</v>
      </c>
      <c r="Y1150" t="s">
        <v>2027</v>
      </c>
      <c r="Z1150">
        <v>8536</v>
      </c>
      <c r="AE1150">
        <v>4364</v>
      </c>
      <c r="AF1150" s="4">
        <v>0.5</v>
      </c>
      <c r="AG1150">
        <f t="shared" si="111"/>
        <v>2182</v>
      </c>
      <c r="AH1150" s="4">
        <v>0.18</v>
      </c>
      <c r="AI1150">
        <f t="shared" si="106"/>
        <v>2574.76</v>
      </c>
      <c r="AJ1150" s="4">
        <v>0.2</v>
      </c>
      <c r="AK1150">
        <f t="shared" si="107"/>
        <v>514.95</v>
      </c>
      <c r="AL1150">
        <f t="shared" si="108"/>
        <v>3089.71</v>
      </c>
      <c r="AM1150">
        <f t="shared" si="109"/>
        <v>1274.29</v>
      </c>
      <c r="AN1150" s="4">
        <f t="shared" si="110"/>
        <v>0.292000458295142</v>
      </c>
      <c r="AO1150" t="s">
        <v>221</v>
      </c>
      <c r="AQ1150" t="s">
        <v>217</v>
      </c>
      <c r="AT1150" t="s">
        <v>869</v>
      </c>
    </row>
    <row r="1151" ht="15.75" customHeight="1" spans="1:46">
      <c r="A1151" t="s">
        <v>2021</v>
      </c>
      <c r="B1151" t="s">
        <v>83</v>
      </c>
      <c r="C1151" t="s">
        <v>1499</v>
      </c>
      <c r="D1151" t="s">
        <v>1797</v>
      </c>
      <c r="E1151" t="s">
        <v>1626</v>
      </c>
      <c r="F1151" t="s">
        <v>1866</v>
      </c>
      <c r="H1151" t="s">
        <v>1800</v>
      </c>
      <c r="I1151" t="s">
        <v>446</v>
      </c>
      <c r="J1151" t="s">
        <v>1570</v>
      </c>
      <c r="K1151" t="s">
        <v>1815</v>
      </c>
      <c r="L1151" t="s">
        <v>1803</v>
      </c>
      <c r="M1151" t="s">
        <v>1841</v>
      </c>
      <c r="Q1151" t="s">
        <v>57</v>
      </c>
      <c r="R1151" t="s">
        <v>2029</v>
      </c>
      <c r="Y1151" t="s">
        <v>2027</v>
      </c>
      <c r="Z1151">
        <v>8536</v>
      </c>
      <c r="AE1151">
        <v>5078</v>
      </c>
      <c r="AF1151" s="4">
        <v>0.5</v>
      </c>
      <c r="AG1151">
        <f t="shared" si="111"/>
        <v>2539</v>
      </c>
      <c r="AH1151" s="4">
        <v>0.18</v>
      </c>
      <c r="AI1151">
        <f t="shared" si="106"/>
        <v>2996.02</v>
      </c>
      <c r="AJ1151" s="4">
        <v>0.2</v>
      </c>
      <c r="AK1151">
        <f t="shared" si="107"/>
        <v>599.2</v>
      </c>
      <c r="AL1151">
        <f t="shared" si="108"/>
        <v>3595.22</v>
      </c>
      <c r="AM1151">
        <f t="shared" si="109"/>
        <v>1482.78</v>
      </c>
      <c r="AN1151" s="4">
        <f t="shared" si="110"/>
        <v>0.292000787711697</v>
      </c>
      <c r="AO1151" t="s">
        <v>221</v>
      </c>
      <c r="AQ1151" t="s">
        <v>217</v>
      </c>
      <c r="AT1151" t="s">
        <v>869</v>
      </c>
    </row>
    <row r="1152" ht="15.75" customHeight="1" spans="1:46">
      <c r="A1152" t="s">
        <v>2030</v>
      </c>
      <c r="B1152" t="s">
        <v>46</v>
      </c>
      <c r="C1152" t="s">
        <v>1499</v>
      </c>
      <c r="D1152" t="s">
        <v>2031</v>
      </c>
      <c r="E1152" t="s">
        <v>2032</v>
      </c>
      <c r="F1152" t="s">
        <v>2033</v>
      </c>
      <c r="H1152" t="s">
        <v>2034</v>
      </c>
      <c r="I1152" t="s">
        <v>2035</v>
      </c>
      <c r="J1152" t="s">
        <v>2036</v>
      </c>
      <c r="K1152" t="s">
        <v>2037</v>
      </c>
      <c r="L1152" t="s">
        <v>124</v>
      </c>
      <c r="M1152" t="s">
        <v>2038</v>
      </c>
      <c r="N1152" t="s">
        <v>2039</v>
      </c>
      <c r="O1152" t="s">
        <v>2040</v>
      </c>
      <c r="Q1152" t="s">
        <v>57</v>
      </c>
      <c r="Y1152" t="s">
        <v>2041</v>
      </c>
      <c r="Z1152">
        <v>9405</v>
      </c>
      <c r="AE1152">
        <v>380</v>
      </c>
      <c r="AF1152" s="4">
        <v>0.37</v>
      </c>
      <c r="AG1152">
        <f t="shared" si="111"/>
        <v>239.4</v>
      </c>
      <c r="AH1152" s="4">
        <v>0.18</v>
      </c>
      <c r="AI1152">
        <f t="shared" si="106"/>
        <v>282.49</v>
      </c>
      <c r="AJ1152" s="4">
        <v>0.2</v>
      </c>
      <c r="AK1152">
        <f t="shared" si="107"/>
        <v>56.5</v>
      </c>
      <c r="AL1152">
        <f t="shared" si="108"/>
        <v>338.99</v>
      </c>
      <c r="AM1152">
        <f t="shared" si="109"/>
        <v>41.01</v>
      </c>
      <c r="AN1152" s="4">
        <f t="shared" si="110"/>
        <v>0.107921052631579</v>
      </c>
      <c r="AO1152" t="s">
        <v>64</v>
      </c>
      <c r="AQ1152" t="s">
        <v>217</v>
      </c>
      <c r="AT1152" t="s">
        <v>64</v>
      </c>
    </row>
    <row r="1153" ht="15.75" customHeight="1" spans="1:46">
      <c r="A1153" t="s">
        <v>2030</v>
      </c>
      <c r="B1153" t="s">
        <v>67</v>
      </c>
      <c r="C1153" t="s">
        <v>1499</v>
      </c>
      <c r="D1153" t="s">
        <v>2031</v>
      </c>
      <c r="E1153" t="s">
        <v>2032</v>
      </c>
      <c r="F1153" t="s">
        <v>2033</v>
      </c>
      <c r="H1153" t="s">
        <v>2034</v>
      </c>
      <c r="I1153" t="s">
        <v>2035</v>
      </c>
      <c r="J1153" t="s">
        <v>2036</v>
      </c>
      <c r="K1153" t="s">
        <v>2037</v>
      </c>
      <c r="L1153" t="s">
        <v>124</v>
      </c>
      <c r="M1153" t="s">
        <v>2042</v>
      </c>
      <c r="N1153" t="s">
        <v>2039</v>
      </c>
      <c r="O1153" t="s">
        <v>2040</v>
      </c>
      <c r="Q1153" t="s">
        <v>57</v>
      </c>
      <c r="Y1153" t="s">
        <v>2041</v>
      </c>
      <c r="Z1153">
        <v>9405</v>
      </c>
      <c r="AE1153">
        <v>380</v>
      </c>
      <c r="AF1153" s="4">
        <v>0.37</v>
      </c>
      <c r="AG1153">
        <f t="shared" si="111"/>
        <v>239.4</v>
      </c>
      <c r="AH1153" s="4">
        <v>0.18</v>
      </c>
      <c r="AI1153">
        <f t="shared" si="106"/>
        <v>282.49</v>
      </c>
      <c r="AJ1153" s="4">
        <v>0.2</v>
      </c>
      <c r="AK1153">
        <f t="shared" si="107"/>
        <v>56.5</v>
      </c>
      <c r="AL1153">
        <f t="shared" si="108"/>
        <v>338.99</v>
      </c>
      <c r="AM1153">
        <f t="shared" si="109"/>
        <v>41.01</v>
      </c>
      <c r="AN1153" s="4">
        <f t="shared" si="110"/>
        <v>0.107921052631579</v>
      </c>
      <c r="AO1153" t="s">
        <v>64</v>
      </c>
      <c r="AQ1153" t="s">
        <v>217</v>
      </c>
      <c r="AT1153" t="s">
        <v>64</v>
      </c>
    </row>
    <row r="1154" ht="15.75" customHeight="1" spans="1:46">
      <c r="A1154" t="s">
        <v>2030</v>
      </c>
      <c r="B1154" t="s">
        <v>71</v>
      </c>
      <c r="C1154" t="s">
        <v>1499</v>
      </c>
      <c r="D1154" t="s">
        <v>2031</v>
      </c>
      <c r="E1154" t="s">
        <v>2032</v>
      </c>
      <c r="F1154" t="s">
        <v>2033</v>
      </c>
      <c r="H1154" t="s">
        <v>2034</v>
      </c>
      <c r="I1154" t="s">
        <v>2035</v>
      </c>
      <c r="J1154" t="s">
        <v>2036</v>
      </c>
      <c r="K1154" t="s">
        <v>2037</v>
      </c>
      <c r="L1154" t="s">
        <v>124</v>
      </c>
      <c r="M1154" t="s">
        <v>2043</v>
      </c>
      <c r="N1154" t="s">
        <v>2039</v>
      </c>
      <c r="O1154" t="s">
        <v>2040</v>
      </c>
      <c r="Q1154" t="s">
        <v>57</v>
      </c>
      <c r="Y1154" t="s">
        <v>2041</v>
      </c>
      <c r="Z1154">
        <v>9405</v>
      </c>
      <c r="AE1154">
        <v>380</v>
      </c>
      <c r="AF1154" s="4">
        <v>0.37</v>
      </c>
      <c r="AG1154">
        <f t="shared" si="111"/>
        <v>239.4</v>
      </c>
      <c r="AH1154" s="4">
        <v>0.18</v>
      </c>
      <c r="AI1154">
        <f t="shared" ref="AI1154:AI1217" si="112">ROUND(AG1154+(AG1154*AH1154),2)</f>
        <v>282.49</v>
      </c>
      <c r="AJ1154" s="4">
        <v>0.2</v>
      </c>
      <c r="AK1154">
        <f t="shared" ref="AK1154:AK1217" si="113">ROUND(AI1154*AJ1154,2)</f>
        <v>56.5</v>
      </c>
      <c r="AL1154">
        <f t="shared" ref="AL1154:AL1217" si="114">AI1154+AK1154</f>
        <v>338.99</v>
      </c>
      <c r="AM1154">
        <f t="shared" ref="AM1154:AM1217" si="115">AE1154-AL1154</f>
        <v>41.01</v>
      </c>
      <c r="AN1154" s="4">
        <f t="shared" ref="AN1154:AN1217" si="116">AM1154/AE1154</f>
        <v>0.107921052631579</v>
      </c>
      <c r="AO1154" t="s">
        <v>64</v>
      </c>
      <c r="AQ1154" t="s">
        <v>217</v>
      </c>
      <c r="AT1154" t="s">
        <v>64</v>
      </c>
    </row>
    <row r="1155" ht="15.75" customHeight="1" spans="1:46">
      <c r="A1155" t="s">
        <v>2030</v>
      </c>
      <c r="B1155" t="s">
        <v>75</v>
      </c>
      <c r="C1155" t="s">
        <v>1499</v>
      </c>
      <c r="D1155" t="s">
        <v>2031</v>
      </c>
      <c r="E1155" t="s">
        <v>2032</v>
      </c>
      <c r="F1155" t="s">
        <v>2033</v>
      </c>
      <c r="H1155" t="s">
        <v>2034</v>
      </c>
      <c r="I1155" t="s">
        <v>2044</v>
      </c>
      <c r="J1155" t="s">
        <v>2036</v>
      </c>
      <c r="K1155" t="s">
        <v>1378</v>
      </c>
      <c r="L1155" t="s">
        <v>124</v>
      </c>
      <c r="M1155" t="s">
        <v>2038</v>
      </c>
      <c r="N1155" t="s">
        <v>2039</v>
      </c>
      <c r="O1155" t="s">
        <v>2040</v>
      </c>
      <c r="Q1155" t="s">
        <v>57</v>
      </c>
      <c r="Y1155" t="s">
        <v>2041</v>
      </c>
      <c r="Z1155">
        <v>9405</v>
      </c>
      <c r="AE1155">
        <v>640</v>
      </c>
      <c r="AF1155" s="4">
        <v>0.37</v>
      </c>
      <c r="AG1155">
        <f t="shared" si="111"/>
        <v>403.2</v>
      </c>
      <c r="AH1155" s="4">
        <v>0.18</v>
      </c>
      <c r="AI1155">
        <f t="shared" si="112"/>
        <v>475.78</v>
      </c>
      <c r="AJ1155" s="4">
        <v>0.2</v>
      </c>
      <c r="AK1155">
        <f t="shared" si="113"/>
        <v>95.16</v>
      </c>
      <c r="AL1155">
        <f t="shared" si="114"/>
        <v>570.94</v>
      </c>
      <c r="AM1155">
        <f t="shared" si="115"/>
        <v>69.0600000000001</v>
      </c>
      <c r="AN1155" s="4">
        <f t="shared" si="116"/>
        <v>0.10790625</v>
      </c>
      <c r="AO1155" t="s">
        <v>64</v>
      </c>
      <c r="AQ1155" t="s">
        <v>217</v>
      </c>
      <c r="AT1155" t="s">
        <v>64</v>
      </c>
    </row>
    <row r="1156" ht="15.75" customHeight="1" spans="1:46">
      <c r="A1156" t="s">
        <v>2030</v>
      </c>
      <c r="B1156" t="s">
        <v>79</v>
      </c>
      <c r="C1156" t="s">
        <v>1499</v>
      </c>
      <c r="D1156" t="s">
        <v>2031</v>
      </c>
      <c r="E1156" t="s">
        <v>2032</v>
      </c>
      <c r="F1156" t="s">
        <v>2033</v>
      </c>
      <c r="H1156" t="s">
        <v>2034</v>
      </c>
      <c r="I1156" t="s">
        <v>2044</v>
      </c>
      <c r="J1156" t="s">
        <v>2036</v>
      </c>
      <c r="K1156" t="s">
        <v>1378</v>
      </c>
      <c r="L1156" t="s">
        <v>124</v>
      </c>
      <c r="M1156" t="s">
        <v>2042</v>
      </c>
      <c r="N1156" t="s">
        <v>2039</v>
      </c>
      <c r="O1156" t="s">
        <v>2040</v>
      </c>
      <c r="Q1156" t="s">
        <v>57</v>
      </c>
      <c r="Y1156" t="s">
        <v>2041</v>
      </c>
      <c r="Z1156">
        <v>9405</v>
      </c>
      <c r="AE1156">
        <v>640</v>
      </c>
      <c r="AF1156" s="4">
        <v>0.37</v>
      </c>
      <c r="AG1156">
        <f t="shared" ref="AG1156:AG1219" si="117">ROUND(AE1156-(AE1156*AF1156),2)</f>
        <v>403.2</v>
      </c>
      <c r="AH1156" s="4">
        <v>0.18</v>
      </c>
      <c r="AI1156">
        <f t="shared" si="112"/>
        <v>475.78</v>
      </c>
      <c r="AJ1156" s="4">
        <v>0.2</v>
      </c>
      <c r="AK1156">
        <f t="shared" si="113"/>
        <v>95.16</v>
      </c>
      <c r="AL1156">
        <f t="shared" si="114"/>
        <v>570.94</v>
      </c>
      <c r="AM1156">
        <f t="shared" si="115"/>
        <v>69.0600000000001</v>
      </c>
      <c r="AN1156" s="4">
        <f t="shared" si="116"/>
        <v>0.10790625</v>
      </c>
      <c r="AO1156" t="s">
        <v>64</v>
      </c>
      <c r="AQ1156" t="s">
        <v>217</v>
      </c>
      <c r="AT1156" t="s">
        <v>64</v>
      </c>
    </row>
    <row r="1157" ht="15.75" customHeight="1" spans="1:46">
      <c r="A1157" t="s">
        <v>2030</v>
      </c>
      <c r="B1157" t="s">
        <v>83</v>
      </c>
      <c r="C1157" t="s">
        <v>1499</v>
      </c>
      <c r="D1157" t="s">
        <v>2031</v>
      </c>
      <c r="E1157" t="s">
        <v>2032</v>
      </c>
      <c r="F1157" t="s">
        <v>2033</v>
      </c>
      <c r="H1157" t="s">
        <v>2034</v>
      </c>
      <c r="I1157" t="s">
        <v>2044</v>
      </c>
      <c r="J1157" t="s">
        <v>2036</v>
      </c>
      <c r="K1157" t="s">
        <v>1378</v>
      </c>
      <c r="L1157" t="s">
        <v>124</v>
      </c>
      <c r="M1157" t="s">
        <v>2043</v>
      </c>
      <c r="N1157" t="s">
        <v>2039</v>
      </c>
      <c r="O1157" t="s">
        <v>2040</v>
      </c>
      <c r="Q1157" t="s">
        <v>57</v>
      </c>
      <c r="Y1157" t="s">
        <v>2041</v>
      </c>
      <c r="Z1157">
        <v>9405</v>
      </c>
      <c r="AE1157">
        <v>640</v>
      </c>
      <c r="AF1157" s="4">
        <v>0.37</v>
      </c>
      <c r="AG1157">
        <f t="shared" si="117"/>
        <v>403.2</v>
      </c>
      <c r="AH1157" s="4">
        <v>0.18</v>
      </c>
      <c r="AI1157">
        <f t="shared" si="112"/>
        <v>475.78</v>
      </c>
      <c r="AJ1157" s="4">
        <v>0.2</v>
      </c>
      <c r="AK1157">
        <f t="shared" si="113"/>
        <v>95.16</v>
      </c>
      <c r="AL1157">
        <f t="shared" si="114"/>
        <v>570.94</v>
      </c>
      <c r="AM1157">
        <f t="shared" si="115"/>
        <v>69.0600000000001</v>
      </c>
      <c r="AN1157" s="4">
        <f t="shared" si="116"/>
        <v>0.10790625</v>
      </c>
      <c r="AO1157" t="s">
        <v>64</v>
      </c>
      <c r="AQ1157" t="s">
        <v>217</v>
      </c>
      <c r="AT1157" t="s">
        <v>64</v>
      </c>
    </row>
    <row r="1158" ht="15.75" customHeight="1" spans="1:46">
      <c r="A1158" t="s">
        <v>2030</v>
      </c>
      <c r="B1158" t="s">
        <v>131</v>
      </c>
      <c r="C1158" t="s">
        <v>1499</v>
      </c>
      <c r="D1158" t="s">
        <v>2031</v>
      </c>
      <c r="E1158" t="s">
        <v>2032</v>
      </c>
      <c r="F1158" t="s">
        <v>2033</v>
      </c>
      <c r="H1158" t="s">
        <v>2034</v>
      </c>
      <c r="I1158" t="s">
        <v>2045</v>
      </c>
      <c r="J1158" t="s">
        <v>2036</v>
      </c>
      <c r="K1158" t="s">
        <v>2046</v>
      </c>
      <c r="L1158" t="s">
        <v>124</v>
      </c>
      <c r="M1158" t="s">
        <v>2038</v>
      </c>
      <c r="N1158" t="s">
        <v>2039</v>
      </c>
      <c r="O1158" t="s">
        <v>2040</v>
      </c>
      <c r="Q1158" t="s">
        <v>57</v>
      </c>
      <c r="Y1158" t="s">
        <v>2041</v>
      </c>
      <c r="Z1158">
        <v>9405</v>
      </c>
      <c r="AE1158">
        <v>805</v>
      </c>
      <c r="AF1158" s="4">
        <v>0.37</v>
      </c>
      <c r="AG1158">
        <f t="shared" si="117"/>
        <v>507.15</v>
      </c>
      <c r="AH1158" s="4">
        <v>0.18</v>
      </c>
      <c r="AI1158">
        <f t="shared" si="112"/>
        <v>598.44</v>
      </c>
      <c r="AJ1158" s="4">
        <v>0.2</v>
      </c>
      <c r="AK1158">
        <f t="shared" si="113"/>
        <v>119.69</v>
      </c>
      <c r="AL1158">
        <f t="shared" si="114"/>
        <v>718.13</v>
      </c>
      <c r="AM1158">
        <f t="shared" si="115"/>
        <v>86.8699999999999</v>
      </c>
      <c r="AN1158" s="4">
        <f t="shared" si="116"/>
        <v>0.107913043478261</v>
      </c>
      <c r="AO1158" t="s">
        <v>64</v>
      </c>
      <c r="AQ1158" t="s">
        <v>217</v>
      </c>
      <c r="AT1158" t="s">
        <v>64</v>
      </c>
    </row>
    <row r="1159" ht="15.75" customHeight="1" spans="1:46">
      <c r="A1159" t="s">
        <v>2030</v>
      </c>
      <c r="B1159" t="s">
        <v>133</v>
      </c>
      <c r="C1159" t="s">
        <v>1499</v>
      </c>
      <c r="D1159" t="s">
        <v>2031</v>
      </c>
      <c r="E1159" t="s">
        <v>2032</v>
      </c>
      <c r="F1159" t="s">
        <v>2033</v>
      </c>
      <c r="H1159" t="s">
        <v>2034</v>
      </c>
      <c r="I1159" t="s">
        <v>2045</v>
      </c>
      <c r="J1159" t="s">
        <v>2036</v>
      </c>
      <c r="K1159" t="s">
        <v>2046</v>
      </c>
      <c r="L1159" t="s">
        <v>124</v>
      </c>
      <c r="M1159" t="s">
        <v>2042</v>
      </c>
      <c r="N1159" t="s">
        <v>2039</v>
      </c>
      <c r="O1159" t="s">
        <v>2040</v>
      </c>
      <c r="Q1159" t="s">
        <v>57</v>
      </c>
      <c r="Y1159" t="s">
        <v>2041</v>
      </c>
      <c r="Z1159">
        <v>9405</v>
      </c>
      <c r="AE1159">
        <v>805</v>
      </c>
      <c r="AF1159" s="4">
        <v>0.37</v>
      </c>
      <c r="AG1159">
        <f t="shared" si="117"/>
        <v>507.15</v>
      </c>
      <c r="AH1159" s="4">
        <v>0.18</v>
      </c>
      <c r="AI1159">
        <f t="shared" si="112"/>
        <v>598.44</v>
      </c>
      <c r="AJ1159" s="4">
        <v>0.2</v>
      </c>
      <c r="AK1159">
        <f t="shared" si="113"/>
        <v>119.69</v>
      </c>
      <c r="AL1159">
        <f t="shared" si="114"/>
        <v>718.13</v>
      </c>
      <c r="AM1159">
        <f t="shared" si="115"/>
        <v>86.8699999999999</v>
      </c>
      <c r="AN1159" s="4">
        <f t="shared" si="116"/>
        <v>0.107913043478261</v>
      </c>
      <c r="AO1159" t="s">
        <v>64</v>
      </c>
      <c r="AQ1159" t="s">
        <v>217</v>
      </c>
      <c r="AT1159" t="s">
        <v>64</v>
      </c>
    </row>
    <row r="1160" ht="15.75" customHeight="1" spans="1:46">
      <c r="A1160" t="s">
        <v>2030</v>
      </c>
      <c r="B1160" t="s">
        <v>135</v>
      </c>
      <c r="C1160" t="s">
        <v>1499</v>
      </c>
      <c r="D1160" t="s">
        <v>2031</v>
      </c>
      <c r="E1160" t="s">
        <v>2032</v>
      </c>
      <c r="F1160" t="s">
        <v>2033</v>
      </c>
      <c r="H1160" t="s">
        <v>2034</v>
      </c>
      <c r="I1160" t="s">
        <v>2045</v>
      </c>
      <c r="J1160" t="s">
        <v>2036</v>
      </c>
      <c r="K1160" t="s">
        <v>2046</v>
      </c>
      <c r="L1160" t="s">
        <v>124</v>
      </c>
      <c r="M1160" t="s">
        <v>2043</v>
      </c>
      <c r="N1160" t="s">
        <v>2039</v>
      </c>
      <c r="O1160" t="s">
        <v>2040</v>
      </c>
      <c r="Q1160" t="s">
        <v>57</v>
      </c>
      <c r="Y1160" t="s">
        <v>2041</v>
      </c>
      <c r="Z1160">
        <v>9405</v>
      </c>
      <c r="AE1160">
        <v>805</v>
      </c>
      <c r="AF1160" s="4">
        <v>0.37</v>
      </c>
      <c r="AG1160">
        <f t="shared" si="117"/>
        <v>507.15</v>
      </c>
      <c r="AH1160" s="4">
        <v>0.18</v>
      </c>
      <c r="AI1160">
        <f t="shared" si="112"/>
        <v>598.44</v>
      </c>
      <c r="AJ1160" s="4">
        <v>0.2</v>
      </c>
      <c r="AK1160">
        <f t="shared" si="113"/>
        <v>119.69</v>
      </c>
      <c r="AL1160">
        <f t="shared" si="114"/>
        <v>718.13</v>
      </c>
      <c r="AM1160">
        <f t="shared" si="115"/>
        <v>86.8699999999999</v>
      </c>
      <c r="AN1160" s="4">
        <f t="shared" si="116"/>
        <v>0.107913043478261</v>
      </c>
      <c r="AO1160" t="s">
        <v>64</v>
      </c>
      <c r="AQ1160" t="s">
        <v>217</v>
      </c>
      <c r="AT1160" t="s">
        <v>64</v>
      </c>
    </row>
    <row r="1161" ht="15.75" customHeight="1" spans="1:46">
      <c r="A1161" t="s">
        <v>2030</v>
      </c>
      <c r="B1161" t="s">
        <v>137</v>
      </c>
      <c r="C1161" t="s">
        <v>1499</v>
      </c>
      <c r="D1161" t="s">
        <v>2031</v>
      </c>
      <c r="E1161" t="s">
        <v>2032</v>
      </c>
      <c r="F1161" t="s">
        <v>2033</v>
      </c>
      <c r="H1161" t="s">
        <v>2034</v>
      </c>
      <c r="I1161" t="s">
        <v>2047</v>
      </c>
      <c r="J1161" t="s">
        <v>2036</v>
      </c>
      <c r="K1161" t="s">
        <v>2048</v>
      </c>
      <c r="L1161" t="s">
        <v>124</v>
      </c>
      <c r="M1161" t="s">
        <v>2038</v>
      </c>
      <c r="N1161" t="s">
        <v>2039</v>
      </c>
      <c r="O1161" t="s">
        <v>2040</v>
      </c>
      <c r="Q1161" t="s">
        <v>57</v>
      </c>
      <c r="Y1161" t="s">
        <v>2041</v>
      </c>
      <c r="Z1161">
        <v>9405</v>
      </c>
      <c r="AE1161">
        <v>975</v>
      </c>
      <c r="AF1161" s="4">
        <v>0.37</v>
      </c>
      <c r="AG1161">
        <f t="shared" si="117"/>
        <v>614.25</v>
      </c>
      <c r="AH1161" s="4">
        <v>0.18</v>
      </c>
      <c r="AI1161">
        <f t="shared" si="112"/>
        <v>724.82</v>
      </c>
      <c r="AJ1161" s="4">
        <v>0.2</v>
      </c>
      <c r="AK1161">
        <f t="shared" si="113"/>
        <v>144.96</v>
      </c>
      <c r="AL1161">
        <f t="shared" si="114"/>
        <v>869.78</v>
      </c>
      <c r="AM1161">
        <f t="shared" si="115"/>
        <v>105.22</v>
      </c>
      <c r="AN1161" s="4">
        <f t="shared" si="116"/>
        <v>0.107917948717949</v>
      </c>
      <c r="AO1161" t="s">
        <v>64</v>
      </c>
      <c r="AQ1161" t="s">
        <v>217</v>
      </c>
      <c r="AT1161" t="s">
        <v>64</v>
      </c>
    </row>
    <row r="1162" ht="15.75" customHeight="1" spans="1:46">
      <c r="A1162" t="s">
        <v>2030</v>
      </c>
      <c r="B1162" t="s">
        <v>138</v>
      </c>
      <c r="C1162" t="s">
        <v>1499</v>
      </c>
      <c r="D1162" t="s">
        <v>2031</v>
      </c>
      <c r="E1162" t="s">
        <v>2032</v>
      </c>
      <c r="F1162" t="s">
        <v>2033</v>
      </c>
      <c r="H1162" t="s">
        <v>2034</v>
      </c>
      <c r="I1162" t="s">
        <v>2047</v>
      </c>
      <c r="J1162" t="s">
        <v>2036</v>
      </c>
      <c r="K1162" t="s">
        <v>2048</v>
      </c>
      <c r="L1162" t="s">
        <v>124</v>
      </c>
      <c r="M1162" t="s">
        <v>2042</v>
      </c>
      <c r="N1162" t="s">
        <v>2039</v>
      </c>
      <c r="O1162" t="s">
        <v>2040</v>
      </c>
      <c r="Q1162" t="s">
        <v>57</v>
      </c>
      <c r="Y1162" t="s">
        <v>2041</v>
      </c>
      <c r="Z1162">
        <v>9405</v>
      </c>
      <c r="AE1162">
        <v>975</v>
      </c>
      <c r="AF1162" s="4">
        <v>0.37</v>
      </c>
      <c r="AG1162">
        <f t="shared" si="117"/>
        <v>614.25</v>
      </c>
      <c r="AH1162" s="4">
        <v>0.18</v>
      </c>
      <c r="AI1162">
        <f t="shared" si="112"/>
        <v>724.82</v>
      </c>
      <c r="AJ1162" s="4">
        <v>0.2</v>
      </c>
      <c r="AK1162">
        <f t="shared" si="113"/>
        <v>144.96</v>
      </c>
      <c r="AL1162">
        <f t="shared" si="114"/>
        <v>869.78</v>
      </c>
      <c r="AM1162">
        <f t="shared" si="115"/>
        <v>105.22</v>
      </c>
      <c r="AN1162" s="4">
        <f t="shared" si="116"/>
        <v>0.107917948717949</v>
      </c>
      <c r="AO1162" t="s">
        <v>64</v>
      </c>
      <c r="AQ1162" t="s">
        <v>217</v>
      </c>
      <c r="AT1162" t="s">
        <v>64</v>
      </c>
    </row>
    <row r="1163" ht="15.75" customHeight="1" spans="1:46">
      <c r="A1163" t="s">
        <v>2030</v>
      </c>
      <c r="B1163" t="s">
        <v>140</v>
      </c>
      <c r="C1163" t="s">
        <v>1499</v>
      </c>
      <c r="D1163" t="s">
        <v>2031</v>
      </c>
      <c r="E1163" t="s">
        <v>2032</v>
      </c>
      <c r="F1163" t="s">
        <v>2033</v>
      </c>
      <c r="H1163" t="s">
        <v>2034</v>
      </c>
      <c r="I1163" t="s">
        <v>2047</v>
      </c>
      <c r="J1163" t="s">
        <v>2036</v>
      </c>
      <c r="K1163" t="s">
        <v>2048</v>
      </c>
      <c r="L1163" t="s">
        <v>124</v>
      </c>
      <c r="M1163" t="s">
        <v>2043</v>
      </c>
      <c r="N1163" t="s">
        <v>2039</v>
      </c>
      <c r="O1163" t="s">
        <v>2040</v>
      </c>
      <c r="Q1163" t="s">
        <v>57</v>
      </c>
      <c r="Y1163" t="s">
        <v>2041</v>
      </c>
      <c r="Z1163">
        <v>9405</v>
      </c>
      <c r="AE1163">
        <v>975</v>
      </c>
      <c r="AF1163" s="4">
        <v>0.37</v>
      </c>
      <c r="AG1163">
        <f t="shared" si="117"/>
        <v>614.25</v>
      </c>
      <c r="AH1163" s="4">
        <v>0.18</v>
      </c>
      <c r="AI1163">
        <f t="shared" si="112"/>
        <v>724.82</v>
      </c>
      <c r="AJ1163" s="4">
        <v>0.2</v>
      </c>
      <c r="AK1163">
        <f t="shared" si="113"/>
        <v>144.96</v>
      </c>
      <c r="AL1163">
        <f t="shared" si="114"/>
        <v>869.78</v>
      </c>
      <c r="AM1163">
        <f t="shared" si="115"/>
        <v>105.22</v>
      </c>
      <c r="AN1163" s="4">
        <f t="shared" si="116"/>
        <v>0.107917948717949</v>
      </c>
      <c r="AO1163" t="s">
        <v>64</v>
      </c>
      <c r="AQ1163" t="s">
        <v>217</v>
      </c>
      <c r="AT1163" t="s">
        <v>64</v>
      </c>
    </row>
    <row r="1164" ht="15.75" customHeight="1" spans="1:46">
      <c r="A1164" t="s">
        <v>2030</v>
      </c>
      <c r="B1164" t="s">
        <v>202</v>
      </c>
      <c r="C1164" t="s">
        <v>1499</v>
      </c>
      <c r="D1164" t="s">
        <v>2031</v>
      </c>
      <c r="E1164" t="s">
        <v>2032</v>
      </c>
      <c r="F1164" t="s">
        <v>2033</v>
      </c>
      <c r="H1164" t="s">
        <v>2034</v>
      </c>
      <c r="I1164" t="s">
        <v>2049</v>
      </c>
      <c r="J1164" t="s">
        <v>2036</v>
      </c>
      <c r="K1164" t="s">
        <v>2050</v>
      </c>
      <c r="L1164" t="s">
        <v>124</v>
      </c>
      <c r="M1164" t="s">
        <v>2038</v>
      </c>
      <c r="N1164" t="s">
        <v>2039</v>
      </c>
      <c r="O1164" t="s">
        <v>2040</v>
      </c>
      <c r="Q1164" t="s">
        <v>57</v>
      </c>
      <c r="Y1164" t="s">
        <v>2041</v>
      </c>
      <c r="Z1164">
        <v>9405</v>
      </c>
      <c r="AE1164">
        <v>1650</v>
      </c>
      <c r="AF1164" s="4">
        <v>0.37</v>
      </c>
      <c r="AG1164">
        <f t="shared" si="117"/>
        <v>1039.5</v>
      </c>
      <c r="AH1164" s="4">
        <v>0.18</v>
      </c>
      <c r="AI1164">
        <f t="shared" si="112"/>
        <v>1226.61</v>
      </c>
      <c r="AJ1164" s="4">
        <v>0.2</v>
      </c>
      <c r="AK1164">
        <f t="shared" si="113"/>
        <v>245.32</v>
      </c>
      <c r="AL1164">
        <f t="shared" si="114"/>
        <v>1471.93</v>
      </c>
      <c r="AM1164">
        <f t="shared" si="115"/>
        <v>178.07</v>
      </c>
      <c r="AN1164" s="4">
        <f t="shared" si="116"/>
        <v>0.107921212121212</v>
      </c>
      <c r="AO1164" t="s">
        <v>64</v>
      </c>
      <c r="AQ1164" t="s">
        <v>217</v>
      </c>
      <c r="AT1164" t="s">
        <v>64</v>
      </c>
    </row>
    <row r="1165" ht="15.75" customHeight="1" spans="1:46">
      <c r="A1165" t="s">
        <v>2030</v>
      </c>
      <c r="B1165" t="s">
        <v>203</v>
      </c>
      <c r="C1165" t="s">
        <v>1499</v>
      </c>
      <c r="D1165" t="s">
        <v>2031</v>
      </c>
      <c r="E1165" t="s">
        <v>2032</v>
      </c>
      <c r="F1165" t="s">
        <v>2033</v>
      </c>
      <c r="H1165" t="s">
        <v>2034</v>
      </c>
      <c r="I1165" t="s">
        <v>2049</v>
      </c>
      <c r="J1165" t="s">
        <v>2036</v>
      </c>
      <c r="K1165" t="s">
        <v>2050</v>
      </c>
      <c r="L1165" t="s">
        <v>124</v>
      </c>
      <c r="M1165" t="s">
        <v>2042</v>
      </c>
      <c r="N1165" t="s">
        <v>2039</v>
      </c>
      <c r="O1165" t="s">
        <v>2040</v>
      </c>
      <c r="Q1165" t="s">
        <v>57</v>
      </c>
      <c r="Y1165" t="s">
        <v>2041</v>
      </c>
      <c r="Z1165">
        <v>9405</v>
      </c>
      <c r="AE1165">
        <v>1650</v>
      </c>
      <c r="AF1165" s="4">
        <v>0.37</v>
      </c>
      <c r="AG1165">
        <f t="shared" si="117"/>
        <v>1039.5</v>
      </c>
      <c r="AH1165" s="4">
        <v>0.18</v>
      </c>
      <c r="AI1165">
        <f t="shared" si="112"/>
        <v>1226.61</v>
      </c>
      <c r="AJ1165" s="4">
        <v>0.2</v>
      </c>
      <c r="AK1165">
        <f t="shared" si="113"/>
        <v>245.32</v>
      </c>
      <c r="AL1165">
        <f t="shared" si="114"/>
        <v>1471.93</v>
      </c>
      <c r="AM1165">
        <f t="shared" si="115"/>
        <v>178.07</v>
      </c>
      <c r="AN1165" s="4">
        <f t="shared" si="116"/>
        <v>0.107921212121212</v>
      </c>
      <c r="AO1165" t="s">
        <v>64</v>
      </c>
      <c r="AQ1165" t="s">
        <v>217</v>
      </c>
      <c r="AT1165" t="s">
        <v>64</v>
      </c>
    </row>
    <row r="1166" ht="15.75" customHeight="1" spans="1:46">
      <c r="A1166" t="s">
        <v>2030</v>
      </c>
      <c r="B1166" t="s">
        <v>204</v>
      </c>
      <c r="C1166" t="s">
        <v>1499</v>
      </c>
      <c r="D1166" t="s">
        <v>2031</v>
      </c>
      <c r="E1166" t="s">
        <v>2032</v>
      </c>
      <c r="F1166" t="s">
        <v>2033</v>
      </c>
      <c r="H1166" t="s">
        <v>2034</v>
      </c>
      <c r="I1166" t="s">
        <v>2049</v>
      </c>
      <c r="J1166" t="s">
        <v>2036</v>
      </c>
      <c r="K1166" t="s">
        <v>2050</v>
      </c>
      <c r="L1166" t="s">
        <v>124</v>
      </c>
      <c r="M1166" t="s">
        <v>2043</v>
      </c>
      <c r="N1166" t="s">
        <v>2039</v>
      </c>
      <c r="O1166" t="s">
        <v>2040</v>
      </c>
      <c r="Q1166" t="s">
        <v>57</v>
      </c>
      <c r="Y1166" t="s">
        <v>2041</v>
      </c>
      <c r="Z1166">
        <v>9405</v>
      </c>
      <c r="AE1166">
        <v>1650</v>
      </c>
      <c r="AF1166" s="4">
        <v>0.37</v>
      </c>
      <c r="AG1166">
        <f t="shared" si="117"/>
        <v>1039.5</v>
      </c>
      <c r="AH1166" s="4">
        <v>0.18</v>
      </c>
      <c r="AI1166">
        <f t="shared" si="112"/>
        <v>1226.61</v>
      </c>
      <c r="AJ1166" s="4">
        <v>0.2</v>
      </c>
      <c r="AK1166">
        <f t="shared" si="113"/>
        <v>245.32</v>
      </c>
      <c r="AL1166">
        <f t="shared" si="114"/>
        <v>1471.93</v>
      </c>
      <c r="AM1166">
        <f t="shared" si="115"/>
        <v>178.07</v>
      </c>
      <c r="AN1166" s="4">
        <f t="shared" si="116"/>
        <v>0.107921212121212</v>
      </c>
      <c r="AO1166" t="s">
        <v>64</v>
      </c>
      <c r="AQ1166" t="s">
        <v>217</v>
      </c>
      <c r="AT1166" t="s">
        <v>64</v>
      </c>
    </row>
    <row r="1167" ht="15.75" customHeight="1" spans="1:46">
      <c r="A1167" t="s">
        <v>2030</v>
      </c>
      <c r="B1167" t="s">
        <v>205</v>
      </c>
      <c r="C1167" t="s">
        <v>1499</v>
      </c>
      <c r="D1167" t="s">
        <v>2031</v>
      </c>
      <c r="E1167" t="s">
        <v>2032</v>
      </c>
      <c r="F1167" t="s">
        <v>2033</v>
      </c>
      <c r="H1167" t="s">
        <v>2034</v>
      </c>
      <c r="I1167" t="s">
        <v>2044</v>
      </c>
      <c r="J1167" t="s">
        <v>2036</v>
      </c>
      <c r="K1167" t="s">
        <v>1378</v>
      </c>
      <c r="L1167" t="s">
        <v>124</v>
      </c>
      <c r="M1167" t="s">
        <v>2038</v>
      </c>
      <c r="N1167" t="s">
        <v>2039</v>
      </c>
      <c r="O1167" t="s">
        <v>2051</v>
      </c>
      <c r="Q1167" t="s">
        <v>57</v>
      </c>
      <c r="Y1167" t="s">
        <v>2052</v>
      </c>
      <c r="Z1167">
        <v>9405</v>
      </c>
      <c r="AE1167">
        <v>640</v>
      </c>
      <c r="AF1167" s="4">
        <v>0.37</v>
      </c>
      <c r="AG1167">
        <f t="shared" si="117"/>
        <v>403.2</v>
      </c>
      <c r="AH1167" s="4">
        <v>0.18</v>
      </c>
      <c r="AI1167">
        <f t="shared" si="112"/>
        <v>475.78</v>
      </c>
      <c r="AJ1167" s="4">
        <v>0.2</v>
      </c>
      <c r="AK1167">
        <f t="shared" si="113"/>
        <v>95.16</v>
      </c>
      <c r="AL1167">
        <f t="shared" si="114"/>
        <v>570.94</v>
      </c>
      <c r="AM1167">
        <f t="shared" si="115"/>
        <v>69.0600000000001</v>
      </c>
      <c r="AN1167" s="4">
        <f t="shared" si="116"/>
        <v>0.10790625</v>
      </c>
      <c r="AO1167" t="s">
        <v>64</v>
      </c>
      <c r="AQ1167" t="s">
        <v>217</v>
      </c>
      <c r="AT1167" t="s">
        <v>64</v>
      </c>
    </row>
    <row r="1168" ht="15.75" customHeight="1" spans="1:46">
      <c r="A1168" t="s">
        <v>2030</v>
      </c>
      <c r="B1168" t="s">
        <v>206</v>
      </c>
      <c r="C1168" t="s">
        <v>1499</v>
      </c>
      <c r="D1168" t="s">
        <v>2031</v>
      </c>
      <c r="E1168" t="s">
        <v>2032</v>
      </c>
      <c r="F1168" t="s">
        <v>2033</v>
      </c>
      <c r="H1168" t="s">
        <v>2034</v>
      </c>
      <c r="I1168" t="s">
        <v>2044</v>
      </c>
      <c r="J1168" t="s">
        <v>2036</v>
      </c>
      <c r="K1168" t="s">
        <v>1378</v>
      </c>
      <c r="L1168" t="s">
        <v>124</v>
      </c>
      <c r="M1168" t="s">
        <v>2042</v>
      </c>
      <c r="N1168" t="s">
        <v>2039</v>
      </c>
      <c r="O1168" t="s">
        <v>2051</v>
      </c>
      <c r="Q1168" t="s">
        <v>57</v>
      </c>
      <c r="Y1168" t="s">
        <v>2052</v>
      </c>
      <c r="Z1168">
        <v>9405</v>
      </c>
      <c r="AE1168">
        <v>640</v>
      </c>
      <c r="AF1168" s="4">
        <v>0.37</v>
      </c>
      <c r="AG1168">
        <f t="shared" si="117"/>
        <v>403.2</v>
      </c>
      <c r="AH1168" s="4">
        <v>0.18</v>
      </c>
      <c r="AI1168">
        <f t="shared" si="112"/>
        <v>475.78</v>
      </c>
      <c r="AJ1168" s="4">
        <v>0.2</v>
      </c>
      <c r="AK1168">
        <f t="shared" si="113"/>
        <v>95.16</v>
      </c>
      <c r="AL1168">
        <f t="shared" si="114"/>
        <v>570.94</v>
      </c>
      <c r="AM1168">
        <f t="shared" si="115"/>
        <v>69.0600000000001</v>
      </c>
      <c r="AN1168" s="4">
        <f t="shared" si="116"/>
        <v>0.10790625</v>
      </c>
      <c r="AO1168" t="s">
        <v>64</v>
      </c>
      <c r="AQ1168" t="s">
        <v>217</v>
      </c>
      <c r="AT1168" t="s">
        <v>64</v>
      </c>
    </row>
    <row r="1169" ht="15.75" customHeight="1" spans="1:46">
      <c r="A1169" t="s">
        <v>2030</v>
      </c>
      <c r="B1169" t="s">
        <v>207</v>
      </c>
      <c r="C1169" t="s">
        <v>1499</v>
      </c>
      <c r="D1169" t="s">
        <v>2031</v>
      </c>
      <c r="E1169" t="s">
        <v>2032</v>
      </c>
      <c r="F1169" t="s">
        <v>2033</v>
      </c>
      <c r="H1169" t="s">
        <v>2034</v>
      </c>
      <c r="I1169" t="s">
        <v>2044</v>
      </c>
      <c r="J1169" t="s">
        <v>2036</v>
      </c>
      <c r="K1169" t="s">
        <v>1378</v>
      </c>
      <c r="L1169" t="s">
        <v>124</v>
      </c>
      <c r="M1169" t="s">
        <v>2043</v>
      </c>
      <c r="N1169" t="s">
        <v>2039</v>
      </c>
      <c r="O1169" t="s">
        <v>2051</v>
      </c>
      <c r="Q1169" t="s">
        <v>57</v>
      </c>
      <c r="Y1169" t="s">
        <v>2052</v>
      </c>
      <c r="Z1169">
        <v>9405</v>
      </c>
      <c r="AE1169">
        <v>640</v>
      </c>
      <c r="AF1169" s="4">
        <v>0.37</v>
      </c>
      <c r="AG1169">
        <f t="shared" si="117"/>
        <v>403.2</v>
      </c>
      <c r="AH1169" s="4">
        <v>0.18</v>
      </c>
      <c r="AI1169">
        <f t="shared" si="112"/>
        <v>475.78</v>
      </c>
      <c r="AJ1169" s="4">
        <v>0.2</v>
      </c>
      <c r="AK1169">
        <f t="shared" si="113"/>
        <v>95.16</v>
      </c>
      <c r="AL1169">
        <f t="shared" si="114"/>
        <v>570.94</v>
      </c>
      <c r="AM1169">
        <f t="shared" si="115"/>
        <v>69.0600000000001</v>
      </c>
      <c r="AN1169" s="4">
        <f t="shared" si="116"/>
        <v>0.10790625</v>
      </c>
      <c r="AO1169" t="s">
        <v>64</v>
      </c>
      <c r="AQ1169" t="s">
        <v>217</v>
      </c>
      <c r="AT1169" t="s">
        <v>64</v>
      </c>
    </row>
    <row r="1170" ht="15.75" customHeight="1" spans="1:46">
      <c r="A1170" t="s">
        <v>2030</v>
      </c>
      <c r="B1170" t="s">
        <v>208</v>
      </c>
      <c r="C1170" t="s">
        <v>1499</v>
      </c>
      <c r="D1170" t="s">
        <v>2031</v>
      </c>
      <c r="E1170" t="s">
        <v>2032</v>
      </c>
      <c r="F1170" t="s">
        <v>2033</v>
      </c>
      <c r="H1170" t="s">
        <v>2034</v>
      </c>
      <c r="I1170" t="s">
        <v>2045</v>
      </c>
      <c r="J1170" t="s">
        <v>2036</v>
      </c>
      <c r="K1170" t="s">
        <v>2046</v>
      </c>
      <c r="L1170" t="s">
        <v>124</v>
      </c>
      <c r="M1170" t="s">
        <v>2038</v>
      </c>
      <c r="N1170" t="s">
        <v>2039</v>
      </c>
      <c r="O1170" t="s">
        <v>2051</v>
      </c>
      <c r="Q1170" t="s">
        <v>57</v>
      </c>
      <c r="Y1170" t="s">
        <v>2052</v>
      </c>
      <c r="Z1170">
        <v>9405</v>
      </c>
      <c r="AE1170">
        <v>805</v>
      </c>
      <c r="AF1170" s="4">
        <v>0.37</v>
      </c>
      <c r="AG1170">
        <f t="shared" si="117"/>
        <v>507.15</v>
      </c>
      <c r="AH1170" s="4">
        <v>0.18</v>
      </c>
      <c r="AI1170">
        <f t="shared" si="112"/>
        <v>598.44</v>
      </c>
      <c r="AJ1170" s="4">
        <v>0.2</v>
      </c>
      <c r="AK1170">
        <f t="shared" si="113"/>
        <v>119.69</v>
      </c>
      <c r="AL1170">
        <f t="shared" si="114"/>
        <v>718.13</v>
      </c>
      <c r="AM1170">
        <f t="shared" si="115"/>
        <v>86.8699999999999</v>
      </c>
      <c r="AN1170" s="4">
        <f t="shared" si="116"/>
        <v>0.107913043478261</v>
      </c>
      <c r="AO1170" t="s">
        <v>64</v>
      </c>
      <c r="AQ1170" t="s">
        <v>217</v>
      </c>
      <c r="AT1170" t="s">
        <v>64</v>
      </c>
    </row>
    <row r="1171" ht="15.75" customHeight="1" spans="1:46">
      <c r="A1171" t="s">
        <v>2030</v>
      </c>
      <c r="B1171" t="s">
        <v>209</v>
      </c>
      <c r="C1171" t="s">
        <v>1499</v>
      </c>
      <c r="D1171" t="s">
        <v>2031</v>
      </c>
      <c r="E1171" t="s">
        <v>2032</v>
      </c>
      <c r="F1171" t="s">
        <v>2033</v>
      </c>
      <c r="H1171" t="s">
        <v>2034</v>
      </c>
      <c r="I1171" t="s">
        <v>2045</v>
      </c>
      <c r="J1171" t="s">
        <v>2036</v>
      </c>
      <c r="K1171" t="s">
        <v>2046</v>
      </c>
      <c r="L1171" t="s">
        <v>124</v>
      </c>
      <c r="M1171" t="s">
        <v>2042</v>
      </c>
      <c r="N1171" t="s">
        <v>2039</v>
      </c>
      <c r="O1171" t="s">
        <v>2051</v>
      </c>
      <c r="Q1171" t="s">
        <v>57</v>
      </c>
      <c r="Y1171" t="s">
        <v>2052</v>
      </c>
      <c r="Z1171">
        <v>9405</v>
      </c>
      <c r="AE1171">
        <v>805</v>
      </c>
      <c r="AF1171" s="4">
        <v>0.37</v>
      </c>
      <c r="AG1171">
        <f t="shared" si="117"/>
        <v>507.15</v>
      </c>
      <c r="AH1171" s="4">
        <v>0.18</v>
      </c>
      <c r="AI1171">
        <f t="shared" si="112"/>
        <v>598.44</v>
      </c>
      <c r="AJ1171" s="4">
        <v>0.2</v>
      </c>
      <c r="AK1171">
        <f t="shared" si="113"/>
        <v>119.69</v>
      </c>
      <c r="AL1171">
        <f t="shared" si="114"/>
        <v>718.13</v>
      </c>
      <c r="AM1171">
        <f t="shared" si="115"/>
        <v>86.8699999999999</v>
      </c>
      <c r="AN1171" s="4">
        <f t="shared" si="116"/>
        <v>0.107913043478261</v>
      </c>
      <c r="AO1171" t="s">
        <v>64</v>
      </c>
      <c r="AQ1171" t="s">
        <v>217</v>
      </c>
      <c r="AT1171" t="s">
        <v>64</v>
      </c>
    </row>
    <row r="1172" ht="15.75" customHeight="1" spans="1:46">
      <c r="A1172" t="s">
        <v>2030</v>
      </c>
      <c r="B1172" t="s">
        <v>210</v>
      </c>
      <c r="C1172" t="s">
        <v>1499</v>
      </c>
      <c r="D1172" t="s">
        <v>2031</v>
      </c>
      <c r="E1172" t="s">
        <v>2032</v>
      </c>
      <c r="F1172" t="s">
        <v>2033</v>
      </c>
      <c r="H1172" t="s">
        <v>2034</v>
      </c>
      <c r="I1172" t="s">
        <v>2045</v>
      </c>
      <c r="J1172" t="s">
        <v>2036</v>
      </c>
      <c r="K1172" t="s">
        <v>2046</v>
      </c>
      <c r="L1172" t="s">
        <v>124</v>
      </c>
      <c r="M1172" t="s">
        <v>2043</v>
      </c>
      <c r="N1172" t="s">
        <v>2039</v>
      </c>
      <c r="O1172" t="s">
        <v>2051</v>
      </c>
      <c r="Q1172" t="s">
        <v>57</v>
      </c>
      <c r="Y1172" t="s">
        <v>2052</v>
      </c>
      <c r="Z1172">
        <v>9405</v>
      </c>
      <c r="AE1172">
        <v>805</v>
      </c>
      <c r="AF1172" s="4">
        <v>0.37</v>
      </c>
      <c r="AG1172">
        <f t="shared" si="117"/>
        <v>507.15</v>
      </c>
      <c r="AH1172" s="4">
        <v>0.18</v>
      </c>
      <c r="AI1172">
        <f t="shared" si="112"/>
        <v>598.44</v>
      </c>
      <c r="AJ1172" s="4">
        <v>0.2</v>
      </c>
      <c r="AK1172">
        <f t="shared" si="113"/>
        <v>119.69</v>
      </c>
      <c r="AL1172">
        <f t="shared" si="114"/>
        <v>718.13</v>
      </c>
      <c r="AM1172">
        <f t="shared" si="115"/>
        <v>86.8699999999999</v>
      </c>
      <c r="AN1172" s="4">
        <f t="shared" si="116"/>
        <v>0.107913043478261</v>
      </c>
      <c r="AO1172" t="s">
        <v>64</v>
      </c>
      <c r="AQ1172" t="s">
        <v>217</v>
      </c>
      <c r="AT1172" t="s">
        <v>64</v>
      </c>
    </row>
    <row r="1173" ht="15.75" customHeight="1" spans="1:46">
      <c r="A1173" t="s">
        <v>2030</v>
      </c>
      <c r="B1173" t="s">
        <v>211</v>
      </c>
      <c r="C1173" t="s">
        <v>1499</v>
      </c>
      <c r="D1173" t="s">
        <v>2031</v>
      </c>
      <c r="E1173" t="s">
        <v>2032</v>
      </c>
      <c r="F1173" t="s">
        <v>2033</v>
      </c>
      <c r="H1173" t="s">
        <v>2034</v>
      </c>
      <c r="I1173" t="s">
        <v>2047</v>
      </c>
      <c r="J1173" t="s">
        <v>2036</v>
      </c>
      <c r="K1173" t="s">
        <v>2048</v>
      </c>
      <c r="L1173" t="s">
        <v>124</v>
      </c>
      <c r="M1173" t="s">
        <v>2038</v>
      </c>
      <c r="N1173" t="s">
        <v>2039</v>
      </c>
      <c r="O1173" t="s">
        <v>2051</v>
      </c>
      <c r="Q1173" t="s">
        <v>57</v>
      </c>
      <c r="Y1173" t="s">
        <v>2052</v>
      </c>
      <c r="Z1173">
        <v>9405</v>
      </c>
      <c r="AE1173">
        <v>975</v>
      </c>
      <c r="AF1173" s="4">
        <v>0.37</v>
      </c>
      <c r="AG1173">
        <f t="shared" si="117"/>
        <v>614.25</v>
      </c>
      <c r="AH1173" s="4">
        <v>0.18</v>
      </c>
      <c r="AI1173">
        <f t="shared" si="112"/>
        <v>724.82</v>
      </c>
      <c r="AJ1173" s="4">
        <v>0.2</v>
      </c>
      <c r="AK1173">
        <f t="shared" si="113"/>
        <v>144.96</v>
      </c>
      <c r="AL1173">
        <f t="shared" si="114"/>
        <v>869.78</v>
      </c>
      <c r="AM1173">
        <f t="shared" si="115"/>
        <v>105.22</v>
      </c>
      <c r="AN1173" s="4">
        <f t="shared" si="116"/>
        <v>0.107917948717949</v>
      </c>
      <c r="AO1173" t="s">
        <v>64</v>
      </c>
      <c r="AQ1173" t="s">
        <v>217</v>
      </c>
      <c r="AT1173" t="s">
        <v>64</v>
      </c>
    </row>
    <row r="1174" ht="15.75" customHeight="1" spans="1:46">
      <c r="A1174" t="s">
        <v>2030</v>
      </c>
      <c r="B1174" t="s">
        <v>212</v>
      </c>
      <c r="C1174" t="s">
        <v>1499</v>
      </c>
      <c r="D1174" t="s">
        <v>2031</v>
      </c>
      <c r="E1174" t="s">
        <v>2032</v>
      </c>
      <c r="F1174" t="s">
        <v>2033</v>
      </c>
      <c r="H1174" t="s">
        <v>2034</v>
      </c>
      <c r="I1174" t="s">
        <v>2047</v>
      </c>
      <c r="J1174" t="s">
        <v>2036</v>
      </c>
      <c r="K1174" t="s">
        <v>2048</v>
      </c>
      <c r="L1174" t="s">
        <v>124</v>
      </c>
      <c r="M1174" t="s">
        <v>2042</v>
      </c>
      <c r="N1174" t="s">
        <v>2039</v>
      </c>
      <c r="O1174" t="s">
        <v>2051</v>
      </c>
      <c r="Q1174" t="s">
        <v>57</v>
      </c>
      <c r="Y1174" t="s">
        <v>2052</v>
      </c>
      <c r="Z1174">
        <v>9405</v>
      </c>
      <c r="AE1174">
        <v>975</v>
      </c>
      <c r="AF1174" s="4">
        <v>0.37</v>
      </c>
      <c r="AG1174">
        <f t="shared" si="117"/>
        <v>614.25</v>
      </c>
      <c r="AH1174" s="4">
        <v>0.18</v>
      </c>
      <c r="AI1174">
        <f t="shared" si="112"/>
        <v>724.82</v>
      </c>
      <c r="AJ1174" s="4">
        <v>0.2</v>
      </c>
      <c r="AK1174">
        <f t="shared" si="113"/>
        <v>144.96</v>
      </c>
      <c r="AL1174">
        <f t="shared" si="114"/>
        <v>869.78</v>
      </c>
      <c r="AM1174">
        <f t="shared" si="115"/>
        <v>105.22</v>
      </c>
      <c r="AN1174" s="4">
        <f t="shared" si="116"/>
        <v>0.107917948717949</v>
      </c>
      <c r="AO1174" t="s">
        <v>64</v>
      </c>
      <c r="AQ1174" t="s">
        <v>217</v>
      </c>
      <c r="AT1174" t="s">
        <v>64</v>
      </c>
    </row>
    <row r="1175" ht="15.75" customHeight="1" spans="1:46">
      <c r="A1175" t="s">
        <v>2030</v>
      </c>
      <c r="B1175" t="s">
        <v>213</v>
      </c>
      <c r="C1175" t="s">
        <v>1499</v>
      </c>
      <c r="D1175" t="s">
        <v>2031</v>
      </c>
      <c r="E1175" t="s">
        <v>2032</v>
      </c>
      <c r="F1175" t="s">
        <v>2033</v>
      </c>
      <c r="H1175" t="s">
        <v>2034</v>
      </c>
      <c r="I1175" t="s">
        <v>2047</v>
      </c>
      <c r="J1175" t="s">
        <v>2036</v>
      </c>
      <c r="K1175" t="s">
        <v>2048</v>
      </c>
      <c r="L1175" t="s">
        <v>124</v>
      </c>
      <c r="M1175" t="s">
        <v>2043</v>
      </c>
      <c r="N1175" t="s">
        <v>2039</v>
      </c>
      <c r="O1175" t="s">
        <v>2051</v>
      </c>
      <c r="Q1175" t="s">
        <v>57</v>
      </c>
      <c r="Y1175" t="s">
        <v>2052</v>
      </c>
      <c r="Z1175">
        <v>9405</v>
      </c>
      <c r="AE1175">
        <v>975</v>
      </c>
      <c r="AF1175" s="4">
        <v>0.37</v>
      </c>
      <c r="AG1175">
        <f t="shared" si="117"/>
        <v>614.25</v>
      </c>
      <c r="AH1175" s="4">
        <v>0.18</v>
      </c>
      <c r="AI1175">
        <f t="shared" si="112"/>
        <v>724.82</v>
      </c>
      <c r="AJ1175" s="4">
        <v>0.2</v>
      </c>
      <c r="AK1175">
        <f t="shared" si="113"/>
        <v>144.96</v>
      </c>
      <c r="AL1175">
        <f t="shared" si="114"/>
        <v>869.78</v>
      </c>
      <c r="AM1175">
        <f t="shared" si="115"/>
        <v>105.22</v>
      </c>
      <c r="AN1175" s="4">
        <f t="shared" si="116"/>
        <v>0.107917948717949</v>
      </c>
      <c r="AO1175" t="s">
        <v>64</v>
      </c>
      <c r="AQ1175" t="s">
        <v>217</v>
      </c>
      <c r="AT1175" t="s">
        <v>64</v>
      </c>
    </row>
    <row r="1176" ht="15.75" customHeight="1" spans="1:46">
      <c r="A1176" t="s">
        <v>2030</v>
      </c>
      <c r="B1176" t="s">
        <v>1520</v>
      </c>
      <c r="C1176" t="s">
        <v>1499</v>
      </c>
      <c r="D1176" t="s">
        <v>2031</v>
      </c>
      <c r="E1176" t="s">
        <v>2032</v>
      </c>
      <c r="F1176" t="s">
        <v>2033</v>
      </c>
      <c r="H1176" t="s">
        <v>2034</v>
      </c>
      <c r="I1176" t="s">
        <v>2049</v>
      </c>
      <c r="J1176" t="s">
        <v>2036</v>
      </c>
      <c r="K1176" t="s">
        <v>2050</v>
      </c>
      <c r="L1176" t="s">
        <v>124</v>
      </c>
      <c r="M1176" t="s">
        <v>2038</v>
      </c>
      <c r="N1176" t="s">
        <v>2039</v>
      </c>
      <c r="O1176" t="s">
        <v>2051</v>
      </c>
      <c r="Q1176" t="s">
        <v>57</v>
      </c>
      <c r="Y1176" t="s">
        <v>2052</v>
      </c>
      <c r="Z1176">
        <v>9405</v>
      </c>
      <c r="AE1176">
        <v>1650</v>
      </c>
      <c r="AF1176" s="4">
        <v>0.37</v>
      </c>
      <c r="AG1176">
        <f t="shared" si="117"/>
        <v>1039.5</v>
      </c>
      <c r="AH1176" s="4">
        <v>0.18</v>
      </c>
      <c r="AI1176">
        <f t="shared" si="112"/>
        <v>1226.61</v>
      </c>
      <c r="AJ1176" s="4">
        <v>0.2</v>
      </c>
      <c r="AK1176">
        <f t="shared" si="113"/>
        <v>245.32</v>
      </c>
      <c r="AL1176">
        <f t="shared" si="114"/>
        <v>1471.93</v>
      </c>
      <c r="AM1176">
        <f t="shared" si="115"/>
        <v>178.07</v>
      </c>
      <c r="AN1176" s="4">
        <f t="shared" si="116"/>
        <v>0.107921212121212</v>
      </c>
      <c r="AO1176" t="s">
        <v>64</v>
      </c>
      <c r="AQ1176" t="s">
        <v>217</v>
      </c>
      <c r="AT1176" t="s">
        <v>64</v>
      </c>
    </row>
    <row r="1177" ht="15.75" customHeight="1" spans="1:46">
      <c r="A1177" t="s">
        <v>2030</v>
      </c>
      <c r="B1177" t="s">
        <v>1521</v>
      </c>
      <c r="C1177" t="s">
        <v>1499</v>
      </c>
      <c r="D1177" t="s">
        <v>2031</v>
      </c>
      <c r="E1177" t="s">
        <v>2032</v>
      </c>
      <c r="F1177" t="s">
        <v>2033</v>
      </c>
      <c r="H1177" t="s">
        <v>2034</v>
      </c>
      <c r="I1177" t="s">
        <v>2049</v>
      </c>
      <c r="J1177" t="s">
        <v>2036</v>
      </c>
      <c r="K1177" t="s">
        <v>2050</v>
      </c>
      <c r="L1177" t="s">
        <v>124</v>
      </c>
      <c r="M1177" t="s">
        <v>2042</v>
      </c>
      <c r="N1177" t="s">
        <v>2039</v>
      </c>
      <c r="O1177" t="s">
        <v>2051</v>
      </c>
      <c r="Q1177" t="s">
        <v>57</v>
      </c>
      <c r="Y1177" t="s">
        <v>2052</v>
      </c>
      <c r="Z1177">
        <v>9405</v>
      </c>
      <c r="AE1177">
        <v>1650</v>
      </c>
      <c r="AF1177" s="4">
        <v>0.37</v>
      </c>
      <c r="AG1177">
        <f t="shared" si="117"/>
        <v>1039.5</v>
      </c>
      <c r="AH1177" s="4">
        <v>0.18</v>
      </c>
      <c r="AI1177">
        <f t="shared" si="112"/>
        <v>1226.61</v>
      </c>
      <c r="AJ1177" s="4">
        <v>0.2</v>
      </c>
      <c r="AK1177">
        <f t="shared" si="113"/>
        <v>245.32</v>
      </c>
      <c r="AL1177">
        <f t="shared" si="114"/>
        <v>1471.93</v>
      </c>
      <c r="AM1177">
        <f t="shared" si="115"/>
        <v>178.07</v>
      </c>
      <c r="AN1177" s="4">
        <f t="shared" si="116"/>
        <v>0.107921212121212</v>
      </c>
      <c r="AO1177" t="s">
        <v>64</v>
      </c>
      <c r="AQ1177" t="s">
        <v>217</v>
      </c>
      <c r="AT1177" t="s">
        <v>64</v>
      </c>
    </row>
    <row r="1178" ht="15.75" customHeight="1" spans="1:46">
      <c r="A1178" t="s">
        <v>2030</v>
      </c>
      <c r="B1178" t="s">
        <v>1523</v>
      </c>
      <c r="C1178" t="s">
        <v>1499</v>
      </c>
      <c r="D1178" t="s">
        <v>2031</v>
      </c>
      <c r="E1178" t="s">
        <v>2032</v>
      </c>
      <c r="F1178" t="s">
        <v>2033</v>
      </c>
      <c r="H1178" t="s">
        <v>2034</v>
      </c>
      <c r="I1178" t="s">
        <v>2049</v>
      </c>
      <c r="J1178" t="s">
        <v>2036</v>
      </c>
      <c r="K1178" t="s">
        <v>2050</v>
      </c>
      <c r="L1178" t="s">
        <v>124</v>
      </c>
      <c r="M1178" t="s">
        <v>2043</v>
      </c>
      <c r="N1178" t="s">
        <v>2039</v>
      </c>
      <c r="O1178" t="s">
        <v>2051</v>
      </c>
      <c r="Q1178" t="s">
        <v>57</v>
      </c>
      <c r="Y1178" t="s">
        <v>2052</v>
      </c>
      <c r="Z1178">
        <v>9405</v>
      </c>
      <c r="AE1178">
        <v>1650</v>
      </c>
      <c r="AF1178" s="4">
        <v>0.37</v>
      </c>
      <c r="AG1178">
        <f t="shared" si="117"/>
        <v>1039.5</v>
      </c>
      <c r="AH1178" s="4">
        <v>0.18</v>
      </c>
      <c r="AI1178">
        <f t="shared" si="112"/>
        <v>1226.61</v>
      </c>
      <c r="AJ1178" s="4">
        <v>0.2</v>
      </c>
      <c r="AK1178">
        <f t="shared" si="113"/>
        <v>245.32</v>
      </c>
      <c r="AL1178">
        <f t="shared" si="114"/>
        <v>1471.93</v>
      </c>
      <c r="AM1178">
        <f t="shared" si="115"/>
        <v>178.07</v>
      </c>
      <c r="AN1178" s="4">
        <f t="shared" si="116"/>
        <v>0.107921212121212</v>
      </c>
      <c r="AO1178" t="s">
        <v>64</v>
      </c>
      <c r="AQ1178" t="s">
        <v>217</v>
      </c>
      <c r="AT1178" t="s">
        <v>64</v>
      </c>
    </row>
    <row r="1179" ht="15.75" customHeight="1" spans="1:46">
      <c r="A1179" t="s">
        <v>2053</v>
      </c>
      <c r="B1179" t="s">
        <v>46</v>
      </c>
      <c r="C1179" t="s">
        <v>1499</v>
      </c>
      <c r="D1179" t="s">
        <v>2031</v>
      </c>
      <c r="E1179" t="s">
        <v>2032</v>
      </c>
      <c r="F1179" t="s">
        <v>2054</v>
      </c>
      <c r="H1179" t="s">
        <v>2034</v>
      </c>
      <c r="I1179" t="s">
        <v>2044</v>
      </c>
      <c r="J1179" t="s">
        <v>2036</v>
      </c>
      <c r="K1179" t="s">
        <v>788</v>
      </c>
      <c r="L1179" t="s">
        <v>124</v>
      </c>
      <c r="M1179" t="s">
        <v>2038</v>
      </c>
      <c r="N1179" t="s">
        <v>2039</v>
      </c>
      <c r="O1179" t="s">
        <v>2040</v>
      </c>
      <c r="Q1179" t="s">
        <v>57</v>
      </c>
      <c r="Y1179" t="s">
        <v>2055</v>
      </c>
      <c r="Z1179">
        <v>9405</v>
      </c>
      <c r="AE1179">
        <v>700</v>
      </c>
      <c r="AF1179" s="4">
        <v>0.37</v>
      </c>
      <c r="AG1179">
        <f t="shared" si="117"/>
        <v>441</v>
      </c>
      <c r="AH1179" s="4">
        <v>0.18</v>
      </c>
      <c r="AI1179">
        <f t="shared" si="112"/>
        <v>520.38</v>
      </c>
      <c r="AJ1179" s="4">
        <v>0.2</v>
      </c>
      <c r="AK1179">
        <f t="shared" si="113"/>
        <v>104.08</v>
      </c>
      <c r="AL1179">
        <f t="shared" si="114"/>
        <v>624.46</v>
      </c>
      <c r="AM1179">
        <f t="shared" si="115"/>
        <v>75.54</v>
      </c>
      <c r="AN1179" s="4">
        <f t="shared" si="116"/>
        <v>0.107914285714286</v>
      </c>
      <c r="AO1179" t="s">
        <v>64</v>
      </c>
      <c r="AQ1179" t="s">
        <v>217</v>
      </c>
      <c r="AT1179" t="s">
        <v>64</v>
      </c>
    </row>
    <row r="1180" ht="15.75" customHeight="1" spans="1:46">
      <c r="A1180" t="s">
        <v>2053</v>
      </c>
      <c r="B1180" t="s">
        <v>67</v>
      </c>
      <c r="C1180" t="s">
        <v>1499</v>
      </c>
      <c r="D1180" t="s">
        <v>2031</v>
      </c>
      <c r="E1180" t="s">
        <v>2032</v>
      </c>
      <c r="F1180" t="s">
        <v>2054</v>
      </c>
      <c r="H1180" t="s">
        <v>2034</v>
      </c>
      <c r="I1180" t="s">
        <v>2044</v>
      </c>
      <c r="J1180" t="s">
        <v>2036</v>
      </c>
      <c r="K1180" t="s">
        <v>788</v>
      </c>
      <c r="L1180" t="s">
        <v>124</v>
      </c>
      <c r="M1180" t="s">
        <v>2042</v>
      </c>
      <c r="N1180" t="s">
        <v>2039</v>
      </c>
      <c r="O1180" t="s">
        <v>2040</v>
      </c>
      <c r="Q1180" t="s">
        <v>57</v>
      </c>
      <c r="Y1180" t="s">
        <v>2055</v>
      </c>
      <c r="Z1180">
        <v>9405</v>
      </c>
      <c r="AE1180">
        <v>700</v>
      </c>
      <c r="AF1180" s="4">
        <v>0.37</v>
      </c>
      <c r="AG1180">
        <f t="shared" si="117"/>
        <v>441</v>
      </c>
      <c r="AH1180" s="4">
        <v>0.18</v>
      </c>
      <c r="AI1180">
        <f t="shared" si="112"/>
        <v>520.38</v>
      </c>
      <c r="AJ1180" s="4">
        <v>0.2</v>
      </c>
      <c r="AK1180">
        <f t="shared" si="113"/>
        <v>104.08</v>
      </c>
      <c r="AL1180">
        <f t="shared" si="114"/>
        <v>624.46</v>
      </c>
      <c r="AM1180">
        <f t="shared" si="115"/>
        <v>75.54</v>
      </c>
      <c r="AN1180" s="4">
        <f t="shared" si="116"/>
        <v>0.107914285714286</v>
      </c>
      <c r="AO1180" t="s">
        <v>64</v>
      </c>
      <c r="AQ1180" t="s">
        <v>217</v>
      </c>
      <c r="AT1180" t="s">
        <v>64</v>
      </c>
    </row>
    <row r="1181" ht="15.75" customHeight="1" spans="1:46">
      <c r="A1181" t="s">
        <v>2053</v>
      </c>
      <c r="B1181" t="s">
        <v>71</v>
      </c>
      <c r="C1181" t="s">
        <v>1499</v>
      </c>
      <c r="D1181" t="s">
        <v>2031</v>
      </c>
      <c r="E1181" t="s">
        <v>2032</v>
      </c>
      <c r="F1181" t="s">
        <v>2054</v>
      </c>
      <c r="H1181" t="s">
        <v>2034</v>
      </c>
      <c r="I1181" t="s">
        <v>2044</v>
      </c>
      <c r="J1181" t="s">
        <v>2036</v>
      </c>
      <c r="K1181" t="s">
        <v>788</v>
      </c>
      <c r="L1181" t="s">
        <v>124</v>
      </c>
      <c r="M1181" t="s">
        <v>2043</v>
      </c>
      <c r="N1181" t="s">
        <v>2039</v>
      </c>
      <c r="O1181" t="s">
        <v>2040</v>
      </c>
      <c r="Q1181" t="s">
        <v>57</v>
      </c>
      <c r="Y1181" t="s">
        <v>2055</v>
      </c>
      <c r="Z1181">
        <v>9405</v>
      </c>
      <c r="AE1181">
        <v>700</v>
      </c>
      <c r="AF1181" s="4">
        <v>0.37</v>
      </c>
      <c r="AG1181">
        <f t="shared" si="117"/>
        <v>441</v>
      </c>
      <c r="AH1181" s="4">
        <v>0.18</v>
      </c>
      <c r="AI1181">
        <f t="shared" si="112"/>
        <v>520.38</v>
      </c>
      <c r="AJ1181" s="4">
        <v>0.2</v>
      </c>
      <c r="AK1181">
        <f t="shared" si="113"/>
        <v>104.08</v>
      </c>
      <c r="AL1181">
        <f t="shared" si="114"/>
        <v>624.46</v>
      </c>
      <c r="AM1181">
        <f t="shared" si="115"/>
        <v>75.54</v>
      </c>
      <c r="AN1181" s="4">
        <f t="shared" si="116"/>
        <v>0.107914285714286</v>
      </c>
      <c r="AO1181" t="s">
        <v>64</v>
      </c>
      <c r="AQ1181" t="s">
        <v>217</v>
      </c>
      <c r="AT1181" t="s">
        <v>64</v>
      </c>
    </row>
    <row r="1182" ht="15.75" customHeight="1" spans="1:46">
      <c r="A1182" t="s">
        <v>2053</v>
      </c>
      <c r="B1182" t="s">
        <v>75</v>
      </c>
      <c r="C1182" t="s">
        <v>1499</v>
      </c>
      <c r="D1182" t="s">
        <v>2031</v>
      </c>
      <c r="E1182" t="s">
        <v>2032</v>
      </c>
      <c r="F1182" t="s">
        <v>2054</v>
      </c>
      <c r="H1182" t="s">
        <v>2034</v>
      </c>
      <c r="I1182" t="s">
        <v>2045</v>
      </c>
      <c r="J1182" t="s">
        <v>2036</v>
      </c>
      <c r="K1182" t="s">
        <v>2056</v>
      </c>
      <c r="L1182" t="s">
        <v>124</v>
      </c>
      <c r="M1182" t="s">
        <v>2038</v>
      </c>
      <c r="N1182" t="s">
        <v>2039</v>
      </c>
      <c r="O1182" t="s">
        <v>2040</v>
      </c>
      <c r="Q1182" t="s">
        <v>57</v>
      </c>
      <c r="Y1182" t="s">
        <v>2055</v>
      </c>
      <c r="Z1182">
        <v>9405</v>
      </c>
      <c r="AE1182">
        <v>900</v>
      </c>
      <c r="AF1182" s="4">
        <v>0.37</v>
      </c>
      <c r="AG1182">
        <f t="shared" si="117"/>
        <v>567</v>
      </c>
      <c r="AH1182" s="4">
        <v>0.18</v>
      </c>
      <c r="AI1182">
        <f t="shared" si="112"/>
        <v>669.06</v>
      </c>
      <c r="AJ1182" s="4">
        <v>0.2</v>
      </c>
      <c r="AK1182">
        <f t="shared" si="113"/>
        <v>133.81</v>
      </c>
      <c r="AL1182">
        <f t="shared" si="114"/>
        <v>802.87</v>
      </c>
      <c r="AM1182">
        <f t="shared" si="115"/>
        <v>97.1300000000001</v>
      </c>
      <c r="AN1182" s="4">
        <f t="shared" si="116"/>
        <v>0.107922222222222</v>
      </c>
      <c r="AO1182" t="s">
        <v>64</v>
      </c>
      <c r="AQ1182" t="s">
        <v>217</v>
      </c>
      <c r="AT1182" t="s">
        <v>64</v>
      </c>
    </row>
    <row r="1183" ht="15.75" customHeight="1" spans="1:46">
      <c r="A1183" t="s">
        <v>2053</v>
      </c>
      <c r="B1183" t="s">
        <v>79</v>
      </c>
      <c r="C1183" t="s">
        <v>1499</v>
      </c>
      <c r="D1183" t="s">
        <v>2031</v>
      </c>
      <c r="E1183" t="s">
        <v>2032</v>
      </c>
      <c r="F1183" t="s">
        <v>2054</v>
      </c>
      <c r="H1183" t="s">
        <v>2034</v>
      </c>
      <c r="I1183" t="s">
        <v>2045</v>
      </c>
      <c r="J1183" t="s">
        <v>2036</v>
      </c>
      <c r="K1183" t="s">
        <v>2056</v>
      </c>
      <c r="L1183" t="s">
        <v>124</v>
      </c>
      <c r="M1183" t="s">
        <v>2042</v>
      </c>
      <c r="N1183" t="s">
        <v>2039</v>
      </c>
      <c r="O1183" t="s">
        <v>2040</v>
      </c>
      <c r="Q1183" t="s">
        <v>57</v>
      </c>
      <c r="Y1183" t="s">
        <v>2055</v>
      </c>
      <c r="Z1183">
        <v>9405</v>
      </c>
      <c r="AE1183">
        <v>900</v>
      </c>
      <c r="AF1183" s="4">
        <v>0.37</v>
      </c>
      <c r="AG1183">
        <f t="shared" si="117"/>
        <v>567</v>
      </c>
      <c r="AH1183" s="4">
        <v>0.18</v>
      </c>
      <c r="AI1183">
        <f t="shared" si="112"/>
        <v>669.06</v>
      </c>
      <c r="AJ1183" s="4">
        <v>0.2</v>
      </c>
      <c r="AK1183">
        <f t="shared" si="113"/>
        <v>133.81</v>
      </c>
      <c r="AL1183">
        <f t="shared" si="114"/>
        <v>802.87</v>
      </c>
      <c r="AM1183">
        <f t="shared" si="115"/>
        <v>97.1300000000001</v>
      </c>
      <c r="AN1183" s="4">
        <f t="shared" si="116"/>
        <v>0.107922222222222</v>
      </c>
      <c r="AO1183" t="s">
        <v>64</v>
      </c>
      <c r="AQ1183" t="s">
        <v>217</v>
      </c>
      <c r="AT1183" t="s">
        <v>64</v>
      </c>
    </row>
    <row r="1184" ht="15.75" customHeight="1" spans="1:46">
      <c r="A1184" t="s">
        <v>2053</v>
      </c>
      <c r="B1184" t="s">
        <v>83</v>
      </c>
      <c r="C1184" t="s">
        <v>1499</v>
      </c>
      <c r="D1184" t="s">
        <v>2031</v>
      </c>
      <c r="E1184" t="s">
        <v>2032</v>
      </c>
      <c r="F1184" t="s">
        <v>2054</v>
      </c>
      <c r="H1184" t="s">
        <v>2034</v>
      </c>
      <c r="I1184" t="s">
        <v>2045</v>
      </c>
      <c r="J1184" t="s">
        <v>2036</v>
      </c>
      <c r="K1184" t="s">
        <v>2056</v>
      </c>
      <c r="L1184" t="s">
        <v>124</v>
      </c>
      <c r="M1184" t="s">
        <v>2043</v>
      </c>
      <c r="N1184" t="s">
        <v>2039</v>
      </c>
      <c r="O1184" t="s">
        <v>2040</v>
      </c>
      <c r="Q1184" t="s">
        <v>57</v>
      </c>
      <c r="Y1184" t="s">
        <v>2055</v>
      </c>
      <c r="Z1184">
        <v>9405</v>
      </c>
      <c r="AE1184">
        <v>900</v>
      </c>
      <c r="AF1184" s="4">
        <v>0.37</v>
      </c>
      <c r="AG1184">
        <f t="shared" si="117"/>
        <v>567</v>
      </c>
      <c r="AH1184" s="4">
        <v>0.18</v>
      </c>
      <c r="AI1184">
        <f t="shared" si="112"/>
        <v>669.06</v>
      </c>
      <c r="AJ1184" s="4">
        <v>0.2</v>
      </c>
      <c r="AK1184">
        <f t="shared" si="113"/>
        <v>133.81</v>
      </c>
      <c r="AL1184">
        <f t="shared" si="114"/>
        <v>802.87</v>
      </c>
      <c r="AM1184">
        <f t="shared" si="115"/>
        <v>97.1300000000001</v>
      </c>
      <c r="AN1184" s="4">
        <f t="shared" si="116"/>
        <v>0.107922222222222</v>
      </c>
      <c r="AO1184" t="s">
        <v>64</v>
      </c>
      <c r="AQ1184" t="s">
        <v>217</v>
      </c>
      <c r="AT1184" t="s">
        <v>64</v>
      </c>
    </row>
    <row r="1185" ht="15.75" customHeight="1" spans="1:46">
      <c r="A1185" t="s">
        <v>2053</v>
      </c>
      <c r="B1185" t="s">
        <v>131</v>
      </c>
      <c r="C1185" t="s">
        <v>1499</v>
      </c>
      <c r="D1185" t="s">
        <v>2031</v>
      </c>
      <c r="E1185" t="s">
        <v>2032</v>
      </c>
      <c r="F1185" t="s">
        <v>2054</v>
      </c>
      <c r="H1185" t="s">
        <v>2034</v>
      </c>
      <c r="I1185" t="s">
        <v>2047</v>
      </c>
      <c r="J1185" t="s">
        <v>2036</v>
      </c>
      <c r="K1185" t="s">
        <v>2057</v>
      </c>
      <c r="L1185" t="s">
        <v>124</v>
      </c>
      <c r="M1185" t="s">
        <v>2038</v>
      </c>
      <c r="N1185" t="s">
        <v>2039</v>
      </c>
      <c r="O1185" t="s">
        <v>2040</v>
      </c>
      <c r="Q1185" t="s">
        <v>57</v>
      </c>
      <c r="Y1185" t="s">
        <v>2055</v>
      </c>
      <c r="Z1185">
        <v>9405</v>
      </c>
      <c r="AE1185">
        <v>1100</v>
      </c>
      <c r="AF1185" s="4">
        <v>0.37</v>
      </c>
      <c r="AG1185">
        <f t="shared" si="117"/>
        <v>693</v>
      </c>
      <c r="AH1185" s="4">
        <v>0.18</v>
      </c>
      <c r="AI1185">
        <f t="shared" si="112"/>
        <v>817.74</v>
      </c>
      <c r="AJ1185" s="4">
        <v>0.2</v>
      </c>
      <c r="AK1185">
        <f t="shared" si="113"/>
        <v>163.55</v>
      </c>
      <c r="AL1185">
        <f t="shared" si="114"/>
        <v>981.29</v>
      </c>
      <c r="AM1185">
        <f t="shared" si="115"/>
        <v>118.71</v>
      </c>
      <c r="AN1185" s="4">
        <f t="shared" si="116"/>
        <v>0.107918181818182</v>
      </c>
      <c r="AO1185" t="s">
        <v>64</v>
      </c>
      <c r="AQ1185" t="s">
        <v>217</v>
      </c>
      <c r="AT1185" t="s">
        <v>64</v>
      </c>
    </row>
    <row r="1186" ht="15.75" customHeight="1" spans="1:46">
      <c r="A1186" t="s">
        <v>2053</v>
      </c>
      <c r="B1186" t="s">
        <v>133</v>
      </c>
      <c r="C1186" t="s">
        <v>1499</v>
      </c>
      <c r="D1186" t="s">
        <v>2031</v>
      </c>
      <c r="E1186" t="s">
        <v>2032</v>
      </c>
      <c r="F1186" t="s">
        <v>2054</v>
      </c>
      <c r="H1186" t="s">
        <v>2034</v>
      </c>
      <c r="I1186" t="s">
        <v>2047</v>
      </c>
      <c r="J1186" t="s">
        <v>2036</v>
      </c>
      <c r="K1186" t="s">
        <v>2057</v>
      </c>
      <c r="L1186" t="s">
        <v>124</v>
      </c>
      <c r="M1186" t="s">
        <v>2042</v>
      </c>
      <c r="N1186" t="s">
        <v>2039</v>
      </c>
      <c r="O1186" t="s">
        <v>2040</v>
      </c>
      <c r="Q1186" t="s">
        <v>57</v>
      </c>
      <c r="Y1186" t="s">
        <v>2055</v>
      </c>
      <c r="Z1186">
        <v>9405</v>
      </c>
      <c r="AE1186">
        <v>1100</v>
      </c>
      <c r="AF1186" s="4">
        <v>0.37</v>
      </c>
      <c r="AG1186">
        <f t="shared" si="117"/>
        <v>693</v>
      </c>
      <c r="AH1186" s="4">
        <v>0.18</v>
      </c>
      <c r="AI1186">
        <f t="shared" si="112"/>
        <v>817.74</v>
      </c>
      <c r="AJ1186" s="4">
        <v>0.2</v>
      </c>
      <c r="AK1186">
        <f t="shared" si="113"/>
        <v>163.55</v>
      </c>
      <c r="AL1186">
        <f t="shared" si="114"/>
        <v>981.29</v>
      </c>
      <c r="AM1186">
        <f t="shared" si="115"/>
        <v>118.71</v>
      </c>
      <c r="AN1186" s="4">
        <f t="shared" si="116"/>
        <v>0.107918181818182</v>
      </c>
      <c r="AO1186" t="s">
        <v>64</v>
      </c>
      <c r="AQ1186" t="s">
        <v>217</v>
      </c>
      <c r="AT1186" t="s">
        <v>64</v>
      </c>
    </row>
    <row r="1187" ht="15.75" customHeight="1" spans="1:46">
      <c r="A1187" t="s">
        <v>2053</v>
      </c>
      <c r="B1187" t="s">
        <v>135</v>
      </c>
      <c r="C1187" t="s">
        <v>1499</v>
      </c>
      <c r="D1187" t="s">
        <v>2031</v>
      </c>
      <c r="E1187" t="s">
        <v>2032</v>
      </c>
      <c r="F1187" t="s">
        <v>2054</v>
      </c>
      <c r="H1187" t="s">
        <v>2034</v>
      </c>
      <c r="I1187" t="s">
        <v>2047</v>
      </c>
      <c r="J1187" t="s">
        <v>2036</v>
      </c>
      <c r="K1187" t="s">
        <v>2057</v>
      </c>
      <c r="L1187" t="s">
        <v>124</v>
      </c>
      <c r="M1187" t="s">
        <v>2043</v>
      </c>
      <c r="N1187" t="s">
        <v>2039</v>
      </c>
      <c r="O1187" t="s">
        <v>2040</v>
      </c>
      <c r="Q1187" t="s">
        <v>57</v>
      </c>
      <c r="Y1187" t="s">
        <v>2055</v>
      </c>
      <c r="Z1187">
        <v>9405</v>
      </c>
      <c r="AE1187">
        <v>1100</v>
      </c>
      <c r="AF1187" s="4">
        <v>0.37</v>
      </c>
      <c r="AG1187">
        <f t="shared" si="117"/>
        <v>693</v>
      </c>
      <c r="AH1187" s="4">
        <v>0.18</v>
      </c>
      <c r="AI1187">
        <f t="shared" si="112"/>
        <v>817.74</v>
      </c>
      <c r="AJ1187" s="4">
        <v>0.2</v>
      </c>
      <c r="AK1187">
        <f t="shared" si="113"/>
        <v>163.55</v>
      </c>
      <c r="AL1187">
        <f t="shared" si="114"/>
        <v>981.29</v>
      </c>
      <c r="AM1187">
        <f t="shared" si="115"/>
        <v>118.71</v>
      </c>
      <c r="AN1187" s="4">
        <f t="shared" si="116"/>
        <v>0.107918181818182</v>
      </c>
      <c r="AO1187" t="s">
        <v>64</v>
      </c>
      <c r="AQ1187" t="s">
        <v>217</v>
      </c>
      <c r="AT1187" t="s">
        <v>64</v>
      </c>
    </row>
    <row r="1188" ht="15.75" customHeight="1" spans="1:46">
      <c r="A1188" t="s">
        <v>2053</v>
      </c>
      <c r="B1188" t="s">
        <v>137</v>
      </c>
      <c r="C1188" t="s">
        <v>1499</v>
      </c>
      <c r="D1188" t="s">
        <v>2031</v>
      </c>
      <c r="E1188" t="s">
        <v>2032</v>
      </c>
      <c r="F1188" t="s">
        <v>2054</v>
      </c>
      <c r="H1188" t="s">
        <v>2034</v>
      </c>
      <c r="I1188" t="s">
        <v>2058</v>
      </c>
      <c r="J1188" t="s">
        <v>2036</v>
      </c>
      <c r="K1188" t="s">
        <v>2059</v>
      </c>
      <c r="L1188" t="s">
        <v>124</v>
      </c>
      <c r="M1188" t="s">
        <v>2038</v>
      </c>
      <c r="N1188" t="s">
        <v>2039</v>
      </c>
      <c r="O1188" t="s">
        <v>2040</v>
      </c>
      <c r="Q1188" t="s">
        <v>57</v>
      </c>
      <c r="Y1188" t="s">
        <v>2055</v>
      </c>
      <c r="Z1188">
        <v>9405</v>
      </c>
      <c r="AE1188">
        <v>1500</v>
      </c>
      <c r="AF1188" s="4">
        <v>0.37</v>
      </c>
      <c r="AG1188">
        <f t="shared" si="117"/>
        <v>945</v>
      </c>
      <c r="AH1188" s="4">
        <v>0.18</v>
      </c>
      <c r="AI1188">
        <f t="shared" si="112"/>
        <v>1115.1</v>
      </c>
      <c r="AJ1188" s="4">
        <v>0.2</v>
      </c>
      <c r="AK1188">
        <f t="shared" si="113"/>
        <v>223.02</v>
      </c>
      <c r="AL1188">
        <f t="shared" si="114"/>
        <v>1338.12</v>
      </c>
      <c r="AM1188">
        <f t="shared" si="115"/>
        <v>161.88</v>
      </c>
      <c r="AN1188" s="4">
        <f t="shared" si="116"/>
        <v>0.10792</v>
      </c>
      <c r="AO1188" t="s">
        <v>64</v>
      </c>
      <c r="AQ1188" t="s">
        <v>217</v>
      </c>
      <c r="AT1188" t="s">
        <v>64</v>
      </c>
    </row>
    <row r="1189" ht="15.75" customHeight="1" spans="1:46">
      <c r="A1189" t="s">
        <v>2053</v>
      </c>
      <c r="B1189" t="s">
        <v>138</v>
      </c>
      <c r="C1189" t="s">
        <v>1499</v>
      </c>
      <c r="D1189" t="s">
        <v>2031</v>
      </c>
      <c r="E1189" t="s">
        <v>2032</v>
      </c>
      <c r="F1189" t="s">
        <v>2054</v>
      </c>
      <c r="H1189" t="s">
        <v>2034</v>
      </c>
      <c r="I1189" t="s">
        <v>2058</v>
      </c>
      <c r="J1189" t="s">
        <v>2036</v>
      </c>
      <c r="K1189" t="s">
        <v>2059</v>
      </c>
      <c r="L1189" t="s">
        <v>124</v>
      </c>
      <c r="M1189" t="s">
        <v>2042</v>
      </c>
      <c r="N1189" t="s">
        <v>2039</v>
      </c>
      <c r="O1189" t="s">
        <v>2040</v>
      </c>
      <c r="Q1189" t="s">
        <v>57</v>
      </c>
      <c r="Y1189" t="s">
        <v>2055</v>
      </c>
      <c r="Z1189">
        <v>9405</v>
      </c>
      <c r="AE1189">
        <v>1500</v>
      </c>
      <c r="AF1189" s="4">
        <v>0.37</v>
      </c>
      <c r="AG1189">
        <f t="shared" si="117"/>
        <v>945</v>
      </c>
      <c r="AH1189" s="4">
        <v>0.18</v>
      </c>
      <c r="AI1189">
        <f t="shared" si="112"/>
        <v>1115.1</v>
      </c>
      <c r="AJ1189" s="4">
        <v>0.2</v>
      </c>
      <c r="AK1189">
        <f t="shared" si="113"/>
        <v>223.02</v>
      </c>
      <c r="AL1189">
        <f t="shared" si="114"/>
        <v>1338.12</v>
      </c>
      <c r="AM1189">
        <f t="shared" si="115"/>
        <v>161.88</v>
      </c>
      <c r="AN1189" s="4">
        <f t="shared" si="116"/>
        <v>0.10792</v>
      </c>
      <c r="AO1189" t="s">
        <v>64</v>
      </c>
      <c r="AQ1189" t="s">
        <v>217</v>
      </c>
      <c r="AT1189" t="s">
        <v>64</v>
      </c>
    </row>
    <row r="1190" ht="15.75" customHeight="1" spans="1:46">
      <c r="A1190" t="s">
        <v>2053</v>
      </c>
      <c r="B1190" t="s">
        <v>140</v>
      </c>
      <c r="C1190" t="s">
        <v>1499</v>
      </c>
      <c r="D1190" t="s">
        <v>2031</v>
      </c>
      <c r="E1190" t="s">
        <v>2032</v>
      </c>
      <c r="F1190" t="s">
        <v>2054</v>
      </c>
      <c r="H1190" t="s">
        <v>2034</v>
      </c>
      <c r="I1190" t="s">
        <v>2058</v>
      </c>
      <c r="J1190" t="s">
        <v>2036</v>
      </c>
      <c r="K1190" t="s">
        <v>2059</v>
      </c>
      <c r="L1190" t="s">
        <v>124</v>
      </c>
      <c r="M1190" t="s">
        <v>2043</v>
      </c>
      <c r="N1190" t="s">
        <v>2039</v>
      </c>
      <c r="O1190" t="s">
        <v>2040</v>
      </c>
      <c r="Q1190" t="s">
        <v>57</v>
      </c>
      <c r="Y1190" t="s">
        <v>2055</v>
      </c>
      <c r="Z1190">
        <v>9405</v>
      </c>
      <c r="AE1190">
        <v>1500</v>
      </c>
      <c r="AF1190" s="4">
        <v>0.37</v>
      </c>
      <c r="AG1190">
        <f t="shared" si="117"/>
        <v>945</v>
      </c>
      <c r="AH1190" s="4">
        <v>0.18</v>
      </c>
      <c r="AI1190">
        <f t="shared" si="112"/>
        <v>1115.1</v>
      </c>
      <c r="AJ1190" s="4">
        <v>0.2</v>
      </c>
      <c r="AK1190">
        <f t="shared" si="113"/>
        <v>223.02</v>
      </c>
      <c r="AL1190">
        <f t="shared" si="114"/>
        <v>1338.12</v>
      </c>
      <c r="AM1190">
        <f t="shared" si="115"/>
        <v>161.88</v>
      </c>
      <c r="AN1190" s="4">
        <f t="shared" si="116"/>
        <v>0.10792</v>
      </c>
      <c r="AO1190" t="s">
        <v>64</v>
      </c>
      <c r="AQ1190" t="s">
        <v>217</v>
      </c>
      <c r="AT1190" t="s">
        <v>64</v>
      </c>
    </row>
    <row r="1191" ht="15.75" customHeight="1" spans="1:46">
      <c r="A1191" t="s">
        <v>2053</v>
      </c>
      <c r="B1191" t="s">
        <v>202</v>
      </c>
      <c r="C1191" t="s">
        <v>1499</v>
      </c>
      <c r="D1191" t="s">
        <v>2031</v>
      </c>
      <c r="E1191" t="s">
        <v>2032</v>
      </c>
      <c r="F1191" t="s">
        <v>2054</v>
      </c>
      <c r="H1191" t="s">
        <v>2034</v>
      </c>
      <c r="I1191" t="s">
        <v>2044</v>
      </c>
      <c r="J1191" t="s">
        <v>2036</v>
      </c>
      <c r="K1191" t="s">
        <v>788</v>
      </c>
      <c r="L1191" t="s">
        <v>124</v>
      </c>
      <c r="M1191" t="s">
        <v>2038</v>
      </c>
      <c r="N1191" t="s">
        <v>2039</v>
      </c>
      <c r="O1191" t="s">
        <v>2051</v>
      </c>
      <c r="Q1191" t="s">
        <v>57</v>
      </c>
      <c r="Y1191" t="s">
        <v>2060</v>
      </c>
      <c r="Z1191">
        <v>9405</v>
      </c>
      <c r="AE1191">
        <v>700</v>
      </c>
      <c r="AF1191" s="4">
        <v>0.37</v>
      </c>
      <c r="AG1191">
        <f t="shared" si="117"/>
        <v>441</v>
      </c>
      <c r="AH1191" s="4">
        <v>0.18</v>
      </c>
      <c r="AI1191">
        <f t="shared" si="112"/>
        <v>520.38</v>
      </c>
      <c r="AJ1191" s="4">
        <v>0.2</v>
      </c>
      <c r="AK1191">
        <f t="shared" si="113"/>
        <v>104.08</v>
      </c>
      <c r="AL1191">
        <f t="shared" si="114"/>
        <v>624.46</v>
      </c>
      <c r="AM1191">
        <f t="shared" si="115"/>
        <v>75.54</v>
      </c>
      <c r="AN1191" s="4">
        <f t="shared" si="116"/>
        <v>0.107914285714286</v>
      </c>
      <c r="AO1191" t="s">
        <v>64</v>
      </c>
      <c r="AQ1191" t="s">
        <v>217</v>
      </c>
      <c r="AT1191" t="s">
        <v>64</v>
      </c>
    </row>
    <row r="1192" ht="15.75" customHeight="1" spans="1:46">
      <c r="A1192" t="s">
        <v>2053</v>
      </c>
      <c r="B1192" t="s">
        <v>203</v>
      </c>
      <c r="C1192" t="s">
        <v>1499</v>
      </c>
      <c r="D1192" t="s">
        <v>2031</v>
      </c>
      <c r="E1192" t="s">
        <v>2032</v>
      </c>
      <c r="F1192" t="s">
        <v>2054</v>
      </c>
      <c r="H1192" t="s">
        <v>2034</v>
      </c>
      <c r="I1192" t="s">
        <v>2044</v>
      </c>
      <c r="J1192" t="s">
        <v>2036</v>
      </c>
      <c r="K1192" t="s">
        <v>788</v>
      </c>
      <c r="L1192" t="s">
        <v>124</v>
      </c>
      <c r="M1192" t="s">
        <v>2042</v>
      </c>
      <c r="N1192" t="s">
        <v>2039</v>
      </c>
      <c r="O1192" t="s">
        <v>2051</v>
      </c>
      <c r="Q1192" t="s">
        <v>57</v>
      </c>
      <c r="Y1192" t="s">
        <v>2060</v>
      </c>
      <c r="Z1192">
        <v>9405</v>
      </c>
      <c r="AE1192">
        <v>700</v>
      </c>
      <c r="AF1192" s="4">
        <v>0.37</v>
      </c>
      <c r="AG1192">
        <f t="shared" si="117"/>
        <v>441</v>
      </c>
      <c r="AH1192" s="4">
        <v>0.18</v>
      </c>
      <c r="AI1192">
        <f t="shared" si="112"/>
        <v>520.38</v>
      </c>
      <c r="AJ1192" s="4">
        <v>0.2</v>
      </c>
      <c r="AK1192">
        <f t="shared" si="113"/>
        <v>104.08</v>
      </c>
      <c r="AL1192">
        <f t="shared" si="114"/>
        <v>624.46</v>
      </c>
      <c r="AM1192">
        <f t="shared" si="115"/>
        <v>75.54</v>
      </c>
      <c r="AN1192" s="4">
        <f t="shared" si="116"/>
        <v>0.107914285714286</v>
      </c>
      <c r="AO1192" t="s">
        <v>64</v>
      </c>
      <c r="AQ1192" t="s">
        <v>217</v>
      </c>
      <c r="AT1192" t="s">
        <v>64</v>
      </c>
    </row>
    <row r="1193" ht="15.75" customHeight="1" spans="1:46">
      <c r="A1193" t="s">
        <v>2053</v>
      </c>
      <c r="B1193" t="s">
        <v>204</v>
      </c>
      <c r="C1193" t="s">
        <v>1499</v>
      </c>
      <c r="D1193" t="s">
        <v>2031</v>
      </c>
      <c r="E1193" t="s">
        <v>2032</v>
      </c>
      <c r="F1193" t="s">
        <v>2054</v>
      </c>
      <c r="H1193" t="s">
        <v>2034</v>
      </c>
      <c r="I1193" t="s">
        <v>2044</v>
      </c>
      <c r="J1193" t="s">
        <v>2036</v>
      </c>
      <c r="K1193" t="s">
        <v>788</v>
      </c>
      <c r="L1193" t="s">
        <v>124</v>
      </c>
      <c r="M1193" t="s">
        <v>2043</v>
      </c>
      <c r="N1193" t="s">
        <v>2039</v>
      </c>
      <c r="O1193" t="s">
        <v>2051</v>
      </c>
      <c r="Q1193" t="s">
        <v>57</v>
      </c>
      <c r="Y1193" t="s">
        <v>2060</v>
      </c>
      <c r="Z1193">
        <v>9405</v>
      </c>
      <c r="AE1193">
        <v>700</v>
      </c>
      <c r="AF1193" s="4">
        <v>0.37</v>
      </c>
      <c r="AG1193">
        <f t="shared" si="117"/>
        <v>441</v>
      </c>
      <c r="AH1193" s="4">
        <v>0.18</v>
      </c>
      <c r="AI1193">
        <f t="shared" si="112"/>
        <v>520.38</v>
      </c>
      <c r="AJ1193" s="4">
        <v>0.2</v>
      </c>
      <c r="AK1193">
        <f t="shared" si="113"/>
        <v>104.08</v>
      </c>
      <c r="AL1193">
        <f t="shared" si="114"/>
        <v>624.46</v>
      </c>
      <c r="AM1193">
        <f t="shared" si="115"/>
        <v>75.54</v>
      </c>
      <c r="AN1193" s="4">
        <f t="shared" si="116"/>
        <v>0.107914285714286</v>
      </c>
      <c r="AO1193" t="s">
        <v>64</v>
      </c>
      <c r="AQ1193" t="s">
        <v>217</v>
      </c>
      <c r="AT1193" t="s">
        <v>64</v>
      </c>
    </row>
    <row r="1194" ht="15.75" customHeight="1" spans="1:46">
      <c r="A1194" t="s">
        <v>2053</v>
      </c>
      <c r="B1194" t="s">
        <v>205</v>
      </c>
      <c r="C1194" t="s">
        <v>1499</v>
      </c>
      <c r="D1194" t="s">
        <v>2031</v>
      </c>
      <c r="E1194" t="s">
        <v>2032</v>
      </c>
      <c r="F1194" t="s">
        <v>2054</v>
      </c>
      <c r="H1194" t="s">
        <v>2034</v>
      </c>
      <c r="I1194" t="s">
        <v>2045</v>
      </c>
      <c r="J1194" t="s">
        <v>2036</v>
      </c>
      <c r="K1194" t="s">
        <v>2056</v>
      </c>
      <c r="L1194" t="s">
        <v>124</v>
      </c>
      <c r="M1194" t="s">
        <v>2038</v>
      </c>
      <c r="N1194" t="s">
        <v>2039</v>
      </c>
      <c r="O1194" t="s">
        <v>2051</v>
      </c>
      <c r="Q1194" t="s">
        <v>57</v>
      </c>
      <c r="Y1194" t="s">
        <v>2060</v>
      </c>
      <c r="Z1194">
        <v>9405</v>
      </c>
      <c r="AE1194">
        <v>900</v>
      </c>
      <c r="AF1194" s="4">
        <v>0.37</v>
      </c>
      <c r="AG1194">
        <f t="shared" si="117"/>
        <v>567</v>
      </c>
      <c r="AH1194" s="4">
        <v>0.18</v>
      </c>
      <c r="AI1194">
        <f t="shared" si="112"/>
        <v>669.06</v>
      </c>
      <c r="AJ1194" s="4">
        <v>0.2</v>
      </c>
      <c r="AK1194">
        <f t="shared" si="113"/>
        <v>133.81</v>
      </c>
      <c r="AL1194">
        <f t="shared" si="114"/>
        <v>802.87</v>
      </c>
      <c r="AM1194">
        <f t="shared" si="115"/>
        <v>97.1300000000001</v>
      </c>
      <c r="AN1194" s="4">
        <f t="shared" si="116"/>
        <v>0.107922222222222</v>
      </c>
      <c r="AO1194" t="s">
        <v>64</v>
      </c>
      <c r="AQ1194" t="s">
        <v>217</v>
      </c>
      <c r="AT1194" t="s">
        <v>64</v>
      </c>
    </row>
    <row r="1195" ht="15.75" customHeight="1" spans="1:46">
      <c r="A1195" t="s">
        <v>2053</v>
      </c>
      <c r="B1195" t="s">
        <v>206</v>
      </c>
      <c r="C1195" t="s">
        <v>1499</v>
      </c>
      <c r="D1195" t="s">
        <v>2031</v>
      </c>
      <c r="E1195" t="s">
        <v>2032</v>
      </c>
      <c r="F1195" t="s">
        <v>2054</v>
      </c>
      <c r="H1195" t="s">
        <v>2034</v>
      </c>
      <c r="I1195" t="s">
        <v>2045</v>
      </c>
      <c r="J1195" t="s">
        <v>2036</v>
      </c>
      <c r="K1195" t="s">
        <v>2056</v>
      </c>
      <c r="L1195" t="s">
        <v>124</v>
      </c>
      <c r="M1195" t="s">
        <v>2042</v>
      </c>
      <c r="N1195" t="s">
        <v>2039</v>
      </c>
      <c r="O1195" t="s">
        <v>2051</v>
      </c>
      <c r="Q1195" t="s">
        <v>57</v>
      </c>
      <c r="Y1195" t="s">
        <v>2060</v>
      </c>
      <c r="Z1195">
        <v>9405</v>
      </c>
      <c r="AE1195">
        <v>900</v>
      </c>
      <c r="AF1195" s="4">
        <v>0.37</v>
      </c>
      <c r="AG1195">
        <f t="shared" si="117"/>
        <v>567</v>
      </c>
      <c r="AH1195" s="4">
        <v>0.18</v>
      </c>
      <c r="AI1195">
        <f t="shared" si="112"/>
        <v>669.06</v>
      </c>
      <c r="AJ1195" s="4">
        <v>0.2</v>
      </c>
      <c r="AK1195">
        <f t="shared" si="113"/>
        <v>133.81</v>
      </c>
      <c r="AL1195">
        <f t="shared" si="114"/>
        <v>802.87</v>
      </c>
      <c r="AM1195">
        <f t="shared" si="115"/>
        <v>97.1300000000001</v>
      </c>
      <c r="AN1195" s="4">
        <f t="shared" si="116"/>
        <v>0.107922222222222</v>
      </c>
      <c r="AO1195" t="s">
        <v>64</v>
      </c>
      <c r="AQ1195" t="s">
        <v>217</v>
      </c>
      <c r="AT1195" t="s">
        <v>64</v>
      </c>
    </row>
    <row r="1196" ht="15.75" customHeight="1" spans="1:46">
      <c r="A1196" t="s">
        <v>2053</v>
      </c>
      <c r="B1196" t="s">
        <v>207</v>
      </c>
      <c r="C1196" t="s">
        <v>1499</v>
      </c>
      <c r="D1196" t="s">
        <v>2031</v>
      </c>
      <c r="E1196" t="s">
        <v>2032</v>
      </c>
      <c r="F1196" t="s">
        <v>2054</v>
      </c>
      <c r="H1196" t="s">
        <v>2034</v>
      </c>
      <c r="I1196" t="s">
        <v>2045</v>
      </c>
      <c r="J1196" t="s">
        <v>2036</v>
      </c>
      <c r="K1196" t="s">
        <v>2056</v>
      </c>
      <c r="L1196" t="s">
        <v>124</v>
      </c>
      <c r="M1196" t="s">
        <v>2043</v>
      </c>
      <c r="N1196" t="s">
        <v>2039</v>
      </c>
      <c r="O1196" t="s">
        <v>2051</v>
      </c>
      <c r="Q1196" t="s">
        <v>57</v>
      </c>
      <c r="Y1196" t="s">
        <v>2060</v>
      </c>
      <c r="Z1196">
        <v>9405</v>
      </c>
      <c r="AE1196">
        <v>900</v>
      </c>
      <c r="AF1196" s="4">
        <v>0.37</v>
      </c>
      <c r="AG1196">
        <f t="shared" si="117"/>
        <v>567</v>
      </c>
      <c r="AH1196" s="4">
        <v>0.18</v>
      </c>
      <c r="AI1196">
        <f t="shared" si="112"/>
        <v>669.06</v>
      </c>
      <c r="AJ1196" s="4">
        <v>0.2</v>
      </c>
      <c r="AK1196">
        <f t="shared" si="113"/>
        <v>133.81</v>
      </c>
      <c r="AL1196">
        <f t="shared" si="114"/>
        <v>802.87</v>
      </c>
      <c r="AM1196">
        <f t="shared" si="115"/>
        <v>97.1300000000001</v>
      </c>
      <c r="AN1196" s="4">
        <f t="shared" si="116"/>
        <v>0.107922222222222</v>
      </c>
      <c r="AO1196" t="s">
        <v>64</v>
      </c>
      <c r="AQ1196" t="s">
        <v>217</v>
      </c>
      <c r="AT1196" t="s">
        <v>64</v>
      </c>
    </row>
    <row r="1197" ht="15.75" customHeight="1" spans="1:46">
      <c r="A1197" t="s">
        <v>2053</v>
      </c>
      <c r="B1197" t="s">
        <v>208</v>
      </c>
      <c r="C1197" t="s">
        <v>1499</v>
      </c>
      <c r="D1197" t="s">
        <v>2031</v>
      </c>
      <c r="E1197" t="s">
        <v>2032</v>
      </c>
      <c r="F1197" t="s">
        <v>2054</v>
      </c>
      <c r="H1197" t="s">
        <v>2034</v>
      </c>
      <c r="I1197" t="s">
        <v>2047</v>
      </c>
      <c r="J1197" t="s">
        <v>2036</v>
      </c>
      <c r="K1197" t="s">
        <v>2057</v>
      </c>
      <c r="L1197" t="s">
        <v>124</v>
      </c>
      <c r="M1197" t="s">
        <v>2038</v>
      </c>
      <c r="N1197" t="s">
        <v>2039</v>
      </c>
      <c r="O1197" t="s">
        <v>2051</v>
      </c>
      <c r="Q1197" t="s">
        <v>57</v>
      </c>
      <c r="Y1197" t="s">
        <v>2060</v>
      </c>
      <c r="Z1197">
        <v>9405</v>
      </c>
      <c r="AE1197">
        <v>1100</v>
      </c>
      <c r="AF1197" s="4">
        <v>0.37</v>
      </c>
      <c r="AG1197">
        <f t="shared" si="117"/>
        <v>693</v>
      </c>
      <c r="AH1197" s="4">
        <v>0.18</v>
      </c>
      <c r="AI1197">
        <f t="shared" si="112"/>
        <v>817.74</v>
      </c>
      <c r="AJ1197" s="4">
        <v>0.2</v>
      </c>
      <c r="AK1197">
        <f t="shared" si="113"/>
        <v>163.55</v>
      </c>
      <c r="AL1197">
        <f t="shared" si="114"/>
        <v>981.29</v>
      </c>
      <c r="AM1197">
        <f t="shared" si="115"/>
        <v>118.71</v>
      </c>
      <c r="AN1197" s="4">
        <f t="shared" si="116"/>
        <v>0.107918181818182</v>
      </c>
      <c r="AO1197" t="s">
        <v>64</v>
      </c>
      <c r="AQ1197" t="s">
        <v>217</v>
      </c>
      <c r="AT1197" t="s">
        <v>64</v>
      </c>
    </row>
    <row r="1198" ht="15.75" customHeight="1" spans="1:46">
      <c r="A1198" t="s">
        <v>2053</v>
      </c>
      <c r="B1198" t="s">
        <v>209</v>
      </c>
      <c r="C1198" t="s">
        <v>1499</v>
      </c>
      <c r="D1198" t="s">
        <v>2031</v>
      </c>
      <c r="E1198" t="s">
        <v>2032</v>
      </c>
      <c r="F1198" t="s">
        <v>2054</v>
      </c>
      <c r="H1198" t="s">
        <v>2034</v>
      </c>
      <c r="I1198" t="s">
        <v>2047</v>
      </c>
      <c r="J1198" t="s">
        <v>2036</v>
      </c>
      <c r="K1198" t="s">
        <v>2057</v>
      </c>
      <c r="L1198" t="s">
        <v>124</v>
      </c>
      <c r="M1198" t="s">
        <v>2042</v>
      </c>
      <c r="N1198" t="s">
        <v>2039</v>
      </c>
      <c r="O1198" t="s">
        <v>2051</v>
      </c>
      <c r="Q1198" t="s">
        <v>57</v>
      </c>
      <c r="Y1198" t="s">
        <v>2060</v>
      </c>
      <c r="Z1198">
        <v>9405</v>
      </c>
      <c r="AE1198">
        <v>1100</v>
      </c>
      <c r="AF1198" s="4">
        <v>0.37</v>
      </c>
      <c r="AG1198">
        <f t="shared" si="117"/>
        <v>693</v>
      </c>
      <c r="AH1198" s="4">
        <v>0.18</v>
      </c>
      <c r="AI1198">
        <f t="shared" si="112"/>
        <v>817.74</v>
      </c>
      <c r="AJ1198" s="4">
        <v>0.2</v>
      </c>
      <c r="AK1198">
        <f t="shared" si="113"/>
        <v>163.55</v>
      </c>
      <c r="AL1198">
        <f t="shared" si="114"/>
        <v>981.29</v>
      </c>
      <c r="AM1198">
        <f t="shared" si="115"/>
        <v>118.71</v>
      </c>
      <c r="AN1198" s="4">
        <f t="shared" si="116"/>
        <v>0.107918181818182</v>
      </c>
      <c r="AO1198" t="s">
        <v>64</v>
      </c>
      <c r="AQ1198" t="s">
        <v>217</v>
      </c>
      <c r="AT1198" t="s">
        <v>64</v>
      </c>
    </row>
    <row r="1199" ht="15.75" customHeight="1" spans="1:46">
      <c r="A1199" t="s">
        <v>2053</v>
      </c>
      <c r="B1199" t="s">
        <v>210</v>
      </c>
      <c r="C1199" t="s">
        <v>1499</v>
      </c>
      <c r="D1199" t="s">
        <v>2031</v>
      </c>
      <c r="E1199" t="s">
        <v>2032</v>
      </c>
      <c r="F1199" t="s">
        <v>2054</v>
      </c>
      <c r="H1199" t="s">
        <v>2034</v>
      </c>
      <c r="I1199" t="s">
        <v>2047</v>
      </c>
      <c r="J1199" t="s">
        <v>2036</v>
      </c>
      <c r="K1199" t="s">
        <v>2057</v>
      </c>
      <c r="L1199" t="s">
        <v>124</v>
      </c>
      <c r="M1199" t="s">
        <v>2043</v>
      </c>
      <c r="N1199" t="s">
        <v>2039</v>
      </c>
      <c r="O1199" t="s">
        <v>2051</v>
      </c>
      <c r="Q1199" t="s">
        <v>57</v>
      </c>
      <c r="Y1199" t="s">
        <v>2060</v>
      </c>
      <c r="Z1199">
        <v>9405</v>
      </c>
      <c r="AE1199">
        <v>1100</v>
      </c>
      <c r="AF1199" s="4">
        <v>0.37</v>
      </c>
      <c r="AG1199">
        <f t="shared" si="117"/>
        <v>693</v>
      </c>
      <c r="AH1199" s="4">
        <v>0.18</v>
      </c>
      <c r="AI1199">
        <f t="shared" si="112"/>
        <v>817.74</v>
      </c>
      <c r="AJ1199" s="4">
        <v>0.2</v>
      </c>
      <c r="AK1199">
        <f t="shared" si="113"/>
        <v>163.55</v>
      </c>
      <c r="AL1199">
        <f t="shared" si="114"/>
        <v>981.29</v>
      </c>
      <c r="AM1199">
        <f t="shared" si="115"/>
        <v>118.71</v>
      </c>
      <c r="AN1199" s="4">
        <f t="shared" si="116"/>
        <v>0.107918181818182</v>
      </c>
      <c r="AO1199" t="s">
        <v>64</v>
      </c>
      <c r="AQ1199" t="s">
        <v>217</v>
      </c>
      <c r="AT1199" t="s">
        <v>64</v>
      </c>
    </row>
    <row r="1200" ht="15.75" customHeight="1" spans="1:46">
      <c r="A1200" t="s">
        <v>2053</v>
      </c>
      <c r="B1200" t="s">
        <v>211</v>
      </c>
      <c r="C1200" t="s">
        <v>1499</v>
      </c>
      <c r="D1200" t="s">
        <v>2031</v>
      </c>
      <c r="E1200" t="s">
        <v>2032</v>
      </c>
      <c r="F1200" t="s">
        <v>2054</v>
      </c>
      <c r="H1200" t="s">
        <v>2034</v>
      </c>
      <c r="I1200" t="s">
        <v>2058</v>
      </c>
      <c r="J1200" t="s">
        <v>2036</v>
      </c>
      <c r="K1200" t="s">
        <v>2059</v>
      </c>
      <c r="L1200" t="s">
        <v>124</v>
      </c>
      <c r="M1200" t="s">
        <v>2038</v>
      </c>
      <c r="N1200" t="s">
        <v>2039</v>
      </c>
      <c r="O1200" t="s">
        <v>2051</v>
      </c>
      <c r="Q1200" t="s">
        <v>57</v>
      </c>
      <c r="Y1200" t="s">
        <v>2060</v>
      </c>
      <c r="Z1200">
        <v>9405</v>
      </c>
      <c r="AE1200">
        <v>1500</v>
      </c>
      <c r="AF1200" s="4">
        <v>0.37</v>
      </c>
      <c r="AG1200">
        <f t="shared" si="117"/>
        <v>945</v>
      </c>
      <c r="AH1200" s="4">
        <v>0.18</v>
      </c>
      <c r="AI1200">
        <f t="shared" si="112"/>
        <v>1115.1</v>
      </c>
      <c r="AJ1200" s="4">
        <v>0.2</v>
      </c>
      <c r="AK1200">
        <f t="shared" si="113"/>
        <v>223.02</v>
      </c>
      <c r="AL1200">
        <f t="shared" si="114"/>
        <v>1338.12</v>
      </c>
      <c r="AM1200">
        <f t="shared" si="115"/>
        <v>161.88</v>
      </c>
      <c r="AN1200" s="4">
        <f t="shared" si="116"/>
        <v>0.10792</v>
      </c>
      <c r="AO1200" t="s">
        <v>64</v>
      </c>
      <c r="AQ1200" t="s">
        <v>217</v>
      </c>
      <c r="AT1200" t="s">
        <v>64</v>
      </c>
    </row>
    <row r="1201" ht="15.75" customHeight="1" spans="1:46">
      <c r="A1201" t="s">
        <v>2053</v>
      </c>
      <c r="B1201" t="s">
        <v>212</v>
      </c>
      <c r="C1201" t="s">
        <v>1499</v>
      </c>
      <c r="D1201" t="s">
        <v>2031</v>
      </c>
      <c r="E1201" t="s">
        <v>2032</v>
      </c>
      <c r="F1201" t="s">
        <v>2054</v>
      </c>
      <c r="H1201" t="s">
        <v>2034</v>
      </c>
      <c r="I1201" t="s">
        <v>2058</v>
      </c>
      <c r="J1201" t="s">
        <v>2036</v>
      </c>
      <c r="K1201" t="s">
        <v>2059</v>
      </c>
      <c r="L1201" t="s">
        <v>124</v>
      </c>
      <c r="M1201" t="s">
        <v>2042</v>
      </c>
      <c r="N1201" t="s">
        <v>2039</v>
      </c>
      <c r="O1201" t="s">
        <v>2051</v>
      </c>
      <c r="Q1201" t="s">
        <v>57</v>
      </c>
      <c r="Y1201" t="s">
        <v>2060</v>
      </c>
      <c r="Z1201">
        <v>9405</v>
      </c>
      <c r="AE1201">
        <v>1500</v>
      </c>
      <c r="AF1201" s="4">
        <v>0.37</v>
      </c>
      <c r="AG1201">
        <f t="shared" si="117"/>
        <v>945</v>
      </c>
      <c r="AH1201" s="4">
        <v>0.18</v>
      </c>
      <c r="AI1201">
        <f t="shared" si="112"/>
        <v>1115.1</v>
      </c>
      <c r="AJ1201" s="4">
        <v>0.2</v>
      </c>
      <c r="AK1201">
        <f t="shared" si="113"/>
        <v>223.02</v>
      </c>
      <c r="AL1201">
        <f t="shared" si="114"/>
        <v>1338.12</v>
      </c>
      <c r="AM1201">
        <f t="shared" si="115"/>
        <v>161.88</v>
      </c>
      <c r="AN1201" s="4">
        <f t="shared" si="116"/>
        <v>0.10792</v>
      </c>
      <c r="AO1201" t="s">
        <v>64</v>
      </c>
      <c r="AQ1201" t="s">
        <v>217</v>
      </c>
      <c r="AT1201" t="s">
        <v>64</v>
      </c>
    </row>
    <row r="1202" ht="15.75" customHeight="1" spans="1:46">
      <c r="A1202" t="s">
        <v>2053</v>
      </c>
      <c r="B1202" t="s">
        <v>213</v>
      </c>
      <c r="C1202" t="s">
        <v>1499</v>
      </c>
      <c r="D1202" t="s">
        <v>2031</v>
      </c>
      <c r="E1202" t="s">
        <v>2032</v>
      </c>
      <c r="F1202" t="s">
        <v>2054</v>
      </c>
      <c r="H1202" t="s">
        <v>2034</v>
      </c>
      <c r="I1202" t="s">
        <v>2058</v>
      </c>
      <c r="J1202" t="s">
        <v>2036</v>
      </c>
      <c r="K1202" t="s">
        <v>2059</v>
      </c>
      <c r="L1202" t="s">
        <v>124</v>
      </c>
      <c r="M1202" t="s">
        <v>2043</v>
      </c>
      <c r="N1202" t="s">
        <v>2039</v>
      </c>
      <c r="O1202" t="s">
        <v>2051</v>
      </c>
      <c r="Q1202" t="s">
        <v>57</v>
      </c>
      <c r="Y1202" t="s">
        <v>2060</v>
      </c>
      <c r="Z1202">
        <v>9405</v>
      </c>
      <c r="AE1202">
        <v>1500</v>
      </c>
      <c r="AF1202" s="4">
        <v>0.37</v>
      </c>
      <c r="AG1202">
        <f t="shared" si="117"/>
        <v>945</v>
      </c>
      <c r="AH1202" s="4">
        <v>0.18</v>
      </c>
      <c r="AI1202">
        <f t="shared" si="112"/>
        <v>1115.1</v>
      </c>
      <c r="AJ1202" s="4">
        <v>0.2</v>
      </c>
      <c r="AK1202">
        <f t="shared" si="113"/>
        <v>223.02</v>
      </c>
      <c r="AL1202">
        <f t="shared" si="114"/>
        <v>1338.12</v>
      </c>
      <c r="AM1202">
        <f t="shared" si="115"/>
        <v>161.88</v>
      </c>
      <c r="AN1202" s="4">
        <f t="shared" si="116"/>
        <v>0.10792</v>
      </c>
      <c r="AO1202" t="s">
        <v>64</v>
      </c>
      <c r="AQ1202" t="s">
        <v>217</v>
      </c>
      <c r="AT1202" t="s">
        <v>64</v>
      </c>
    </row>
    <row r="1203" ht="15.75" customHeight="1" spans="1:46">
      <c r="A1203" t="s">
        <v>2061</v>
      </c>
      <c r="B1203" t="s">
        <v>46</v>
      </c>
      <c r="C1203" t="s">
        <v>1499</v>
      </c>
      <c r="D1203" t="s">
        <v>2031</v>
      </c>
      <c r="E1203" t="s">
        <v>2032</v>
      </c>
      <c r="F1203" t="s">
        <v>2062</v>
      </c>
      <c r="H1203" t="s">
        <v>2034</v>
      </c>
      <c r="I1203" t="s">
        <v>2035</v>
      </c>
      <c r="J1203" t="s">
        <v>2036</v>
      </c>
      <c r="K1203" t="s">
        <v>1378</v>
      </c>
      <c r="L1203" t="s">
        <v>124</v>
      </c>
      <c r="M1203" t="s">
        <v>2038</v>
      </c>
      <c r="N1203" t="s">
        <v>2039</v>
      </c>
      <c r="O1203" t="s">
        <v>2040</v>
      </c>
      <c r="Q1203" t="s">
        <v>57</v>
      </c>
      <c r="Y1203" t="s">
        <v>2063</v>
      </c>
      <c r="Z1203">
        <v>9405</v>
      </c>
      <c r="AE1203">
        <v>1200</v>
      </c>
      <c r="AF1203" s="4">
        <v>0.4</v>
      </c>
      <c r="AG1203">
        <f t="shared" si="117"/>
        <v>720</v>
      </c>
      <c r="AH1203" s="4">
        <v>0.18</v>
      </c>
      <c r="AI1203">
        <f t="shared" si="112"/>
        <v>849.6</v>
      </c>
      <c r="AJ1203" s="4">
        <v>0.2</v>
      </c>
      <c r="AK1203">
        <f t="shared" si="113"/>
        <v>169.92</v>
      </c>
      <c r="AL1203">
        <f t="shared" si="114"/>
        <v>1019.52</v>
      </c>
      <c r="AM1203">
        <f t="shared" si="115"/>
        <v>180.48</v>
      </c>
      <c r="AN1203" s="4">
        <f t="shared" si="116"/>
        <v>0.1504</v>
      </c>
      <c r="AO1203" t="s">
        <v>64</v>
      </c>
      <c r="AQ1203" t="s">
        <v>217</v>
      </c>
      <c r="AT1203" t="s">
        <v>64</v>
      </c>
    </row>
    <row r="1204" ht="15.75" customHeight="1" spans="1:46">
      <c r="A1204" t="s">
        <v>2061</v>
      </c>
      <c r="B1204" t="s">
        <v>67</v>
      </c>
      <c r="C1204" t="s">
        <v>1499</v>
      </c>
      <c r="D1204" t="s">
        <v>2031</v>
      </c>
      <c r="E1204" t="s">
        <v>2032</v>
      </c>
      <c r="F1204" t="s">
        <v>2062</v>
      </c>
      <c r="H1204" t="s">
        <v>2034</v>
      </c>
      <c r="I1204" t="s">
        <v>2035</v>
      </c>
      <c r="J1204" t="s">
        <v>2036</v>
      </c>
      <c r="K1204" t="s">
        <v>1378</v>
      </c>
      <c r="L1204" t="s">
        <v>124</v>
      </c>
      <c r="M1204" t="s">
        <v>2042</v>
      </c>
      <c r="N1204" t="s">
        <v>2039</v>
      </c>
      <c r="O1204" t="s">
        <v>2040</v>
      </c>
      <c r="Q1204" t="s">
        <v>57</v>
      </c>
      <c r="Y1204" t="s">
        <v>2063</v>
      </c>
      <c r="Z1204">
        <v>9405</v>
      </c>
      <c r="AE1204">
        <v>1200</v>
      </c>
      <c r="AF1204" s="4">
        <v>0.4</v>
      </c>
      <c r="AG1204">
        <f t="shared" si="117"/>
        <v>720</v>
      </c>
      <c r="AH1204" s="4">
        <v>0.18</v>
      </c>
      <c r="AI1204">
        <f t="shared" si="112"/>
        <v>849.6</v>
      </c>
      <c r="AJ1204" s="4">
        <v>0.2</v>
      </c>
      <c r="AK1204">
        <f t="shared" si="113"/>
        <v>169.92</v>
      </c>
      <c r="AL1204">
        <f t="shared" si="114"/>
        <v>1019.52</v>
      </c>
      <c r="AM1204">
        <f t="shared" si="115"/>
        <v>180.48</v>
      </c>
      <c r="AN1204" s="4">
        <f t="shared" si="116"/>
        <v>0.1504</v>
      </c>
      <c r="AO1204" t="s">
        <v>64</v>
      </c>
      <c r="AQ1204" t="s">
        <v>217</v>
      </c>
      <c r="AT1204" t="s">
        <v>64</v>
      </c>
    </row>
    <row r="1205" ht="15.75" customHeight="1" spans="1:46">
      <c r="A1205" t="s">
        <v>2061</v>
      </c>
      <c r="B1205" t="s">
        <v>71</v>
      </c>
      <c r="C1205" t="s">
        <v>1499</v>
      </c>
      <c r="D1205" t="s">
        <v>2031</v>
      </c>
      <c r="E1205" t="s">
        <v>2032</v>
      </c>
      <c r="F1205" t="s">
        <v>2062</v>
      </c>
      <c r="H1205" t="s">
        <v>2034</v>
      </c>
      <c r="I1205" t="s">
        <v>2035</v>
      </c>
      <c r="J1205" t="s">
        <v>2036</v>
      </c>
      <c r="K1205" t="s">
        <v>1378</v>
      </c>
      <c r="L1205" t="s">
        <v>124</v>
      </c>
      <c r="M1205" t="s">
        <v>2043</v>
      </c>
      <c r="N1205" t="s">
        <v>2039</v>
      </c>
      <c r="O1205" t="s">
        <v>2040</v>
      </c>
      <c r="Q1205" t="s">
        <v>57</v>
      </c>
      <c r="Y1205" t="s">
        <v>2063</v>
      </c>
      <c r="Z1205">
        <v>9405</v>
      </c>
      <c r="AE1205">
        <v>1200</v>
      </c>
      <c r="AF1205" s="4">
        <v>0.4</v>
      </c>
      <c r="AG1205">
        <f t="shared" si="117"/>
        <v>720</v>
      </c>
      <c r="AH1205" s="4">
        <v>0.18</v>
      </c>
      <c r="AI1205">
        <f t="shared" si="112"/>
        <v>849.6</v>
      </c>
      <c r="AJ1205" s="4">
        <v>0.2</v>
      </c>
      <c r="AK1205">
        <f t="shared" si="113"/>
        <v>169.92</v>
      </c>
      <c r="AL1205">
        <f t="shared" si="114"/>
        <v>1019.52</v>
      </c>
      <c r="AM1205">
        <f t="shared" si="115"/>
        <v>180.48</v>
      </c>
      <c r="AN1205" s="4">
        <f t="shared" si="116"/>
        <v>0.1504</v>
      </c>
      <c r="AO1205" t="s">
        <v>64</v>
      </c>
      <c r="AQ1205" t="s">
        <v>217</v>
      </c>
      <c r="AT1205" t="s">
        <v>64</v>
      </c>
    </row>
    <row r="1206" ht="15.75" customHeight="1" spans="1:46">
      <c r="A1206" t="s">
        <v>2061</v>
      </c>
      <c r="B1206" t="s">
        <v>75</v>
      </c>
      <c r="C1206" t="s">
        <v>1499</v>
      </c>
      <c r="D1206" t="s">
        <v>2031</v>
      </c>
      <c r="E1206" t="s">
        <v>2032</v>
      </c>
      <c r="F1206" t="s">
        <v>2062</v>
      </c>
      <c r="H1206" t="s">
        <v>2034</v>
      </c>
      <c r="I1206" t="s">
        <v>2064</v>
      </c>
      <c r="J1206" t="s">
        <v>2036</v>
      </c>
      <c r="K1206" t="s">
        <v>2065</v>
      </c>
      <c r="L1206" t="s">
        <v>124</v>
      </c>
      <c r="M1206" t="s">
        <v>2038</v>
      </c>
      <c r="N1206" t="s">
        <v>2039</v>
      </c>
      <c r="O1206" t="s">
        <v>2040</v>
      </c>
      <c r="Q1206" t="s">
        <v>57</v>
      </c>
      <c r="Y1206" t="s">
        <v>2063</v>
      </c>
      <c r="Z1206">
        <v>9405</v>
      </c>
      <c r="AE1206">
        <v>1200</v>
      </c>
      <c r="AF1206" s="4">
        <v>0.4</v>
      </c>
      <c r="AG1206">
        <f t="shared" si="117"/>
        <v>720</v>
      </c>
      <c r="AH1206" s="4">
        <v>0.18</v>
      </c>
      <c r="AI1206">
        <f t="shared" si="112"/>
        <v>849.6</v>
      </c>
      <c r="AJ1206" s="4">
        <v>0.2</v>
      </c>
      <c r="AK1206">
        <f t="shared" si="113"/>
        <v>169.92</v>
      </c>
      <c r="AL1206">
        <f t="shared" si="114"/>
        <v>1019.52</v>
      </c>
      <c r="AM1206">
        <f t="shared" si="115"/>
        <v>180.48</v>
      </c>
      <c r="AN1206" s="4">
        <f t="shared" si="116"/>
        <v>0.1504</v>
      </c>
      <c r="AO1206" t="s">
        <v>64</v>
      </c>
      <c r="AQ1206" t="s">
        <v>217</v>
      </c>
      <c r="AT1206" t="s">
        <v>64</v>
      </c>
    </row>
    <row r="1207" ht="15.75" customHeight="1" spans="1:46">
      <c r="A1207" t="s">
        <v>2061</v>
      </c>
      <c r="B1207" t="s">
        <v>79</v>
      </c>
      <c r="C1207" t="s">
        <v>1499</v>
      </c>
      <c r="D1207" t="s">
        <v>2031</v>
      </c>
      <c r="E1207" t="s">
        <v>2032</v>
      </c>
      <c r="F1207" t="s">
        <v>2062</v>
      </c>
      <c r="H1207" t="s">
        <v>2034</v>
      </c>
      <c r="I1207" t="s">
        <v>2064</v>
      </c>
      <c r="J1207" t="s">
        <v>2036</v>
      </c>
      <c r="K1207" t="s">
        <v>2065</v>
      </c>
      <c r="L1207" t="s">
        <v>124</v>
      </c>
      <c r="M1207" t="s">
        <v>2042</v>
      </c>
      <c r="N1207" t="s">
        <v>2039</v>
      </c>
      <c r="O1207" t="s">
        <v>2040</v>
      </c>
      <c r="Q1207" t="s">
        <v>57</v>
      </c>
      <c r="Y1207" t="s">
        <v>2063</v>
      </c>
      <c r="Z1207">
        <v>9405</v>
      </c>
      <c r="AE1207">
        <v>1200</v>
      </c>
      <c r="AF1207" s="4">
        <v>0.4</v>
      </c>
      <c r="AG1207">
        <f t="shared" si="117"/>
        <v>720</v>
      </c>
      <c r="AH1207" s="4">
        <v>0.18</v>
      </c>
      <c r="AI1207">
        <f t="shared" si="112"/>
        <v>849.6</v>
      </c>
      <c r="AJ1207" s="4">
        <v>0.2</v>
      </c>
      <c r="AK1207">
        <f t="shared" si="113"/>
        <v>169.92</v>
      </c>
      <c r="AL1207">
        <f t="shared" si="114"/>
        <v>1019.52</v>
      </c>
      <c r="AM1207">
        <f t="shared" si="115"/>
        <v>180.48</v>
      </c>
      <c r="AN1207" s="4">
        <f t="shared" si="116"/>
        <v>0.1504</v>
      </c>
      <c r="AO1207" t="s">
        <v>64</v>
      </c>
      <c r="AQ1207" t="s">
        <v>217</v>
      </c>
      <c r="AT1207" t="s">
        <v>64</v>
      </c>
    </row>
    <row r="1208" ht="15.75" customHeight="1" spans="1:46">
      <c r="A1208" t="s">
        <v>2061</v>
      </c>
      <c r="B1208" t="s">
        <v>83</v>
      </c>
      <c r="C1208" t="s">
        <v>1499</v>
      </c>
      <c r="D1208" t="s">
        <v>2031</v>
      </c>
      <c r="E1208" t="s">
        <v>2032</v>
      </c>
      <c r="F1208" t="s">
        <v>2062</v>
      </c>
      <c r="H1208" t="s">
        <v>2034</v>
      </c>
      <c r="I1208" t="s">
        <v>2064</v>
      </c>
      <c r="J1208" t="s">
        <v>2036</v>
      </c>
      <c r="K1208" t="s">
        <v>2065</v>
      </c>
      <c r="L1208" t="s">
        <v>124</v>
      </c>
      <c r="M1208" t="s">
        <v>2043</v>
      </c>
      <c r="N1208" t="s">
        <v>2039</v>
      </c>
      <c r="O1208" t="s">
        <v>2040</v>
      </c>
      <c r="Q1208" t="s">
        <v>57</v>
      </c>
      <c r="Y1208" t="s">
        <v>2063</v>
      </c>
      <c r="Z1208">
        <v>9405</v>
      </c>
      <c r="AE1208">
        <v>1200</v>
      </c>
      <c r="AF1208" s="4">
        <v>0.4</v>
      </c>
      <c r="AG1208">
        <f t="shared" si="117"/>
        <v>720</v>
      </c>
      <c r="AH1208" s="4">
        <v>0.18</v>
      </c>
      <c r="AI1208">
        <f t="shared" si="112"/>
        <v>849.6</v>
      </c>
      <c r="AJ1208" s="4">
        <v>0.2</v>
      </c>
      <c r="AK1208">
        <f t="shared" si="113"/>
        <v>169.92</v>
      </c>
      <c r="AL1208">
        <f t="shared" si="114"/>
        <v>1019.52</v>
      </c>
      <c r="AM1208">
        <f t="shared" si="115"/>
        <v>180.48</v>
      </c>
      <c r="AN1208" s="4">
        <f t="shared" si="116"/>
        <v>0.1504</v>
      </c>
      <c r="AO1208" t="s">
        <v>64</v>
      </c>
      <c r="AQ1208" t="s">
        <v>217</v>
      </c>
      <c r="AT1208" t="s">
        <v>64</v>
      </c>
    </row>
    <row r="1209" ht="15.75" customHeight="1" spans="1:46">
      <c r="A1209" t="s">
        <v>2061</v>
      </c>
      <c r="B1209" t="s">
        <v>131</v>
      </c>
      <c r="C1209" t="s">
        <v>1499</v>
      </c>
      <c r="D1209" t="s">
        <v>2031</v>
      </c>
      <c r="E1209" t="s">
        <v>2032</v>
      </c>
      <c r="F1209" t="s">
        <v>2062</v>
      </c>
      <c r="H1209" t="s">
        <v>2034</v>
      </c>
      <c r="I1209" t="s">
        <v>2064</v>
      </c>
      <c r="J1209" t="s">
        <v>2036</v>
      </c>
      <c r="K1209" t="s">
        <v>2066</v>
      </c>
      <c r="L1209" t="s">
        <v>124</v>
      </c>
      <c r="M1209" t="s">
        <v>2038</v>
      </c>
      <c r="N1209" t="s">
        <v>2039</v>
      </c>
      <c r="O1209" t="s">
        <v>2051</v>
      </c>
      <c r="Q1209" t="s">
        <v>57</v>
      </c>
      <c r="Y1209" t="s">
        <v>2067</v>
      </c>
      <c r="Z1209">
        <v>9405</v>
      </c>
      <c r="AE1209">
        <v>1200</v>
      </c>
      <c r="AF1209" s="4">
        <v>0.4</v>
      </c>
      <c r="AG1209">
        <f t="shared" si="117"/>
        <v>720</v>
      </c>
      <c r="AH1209" s="4">
        <v>0.18</v>
      </c>
      <c r="AI1209">
        <f t="shared" si="112"/>
        <v>849.6</v>
      </c>
      <c r="AJ1209" s="4">
        <v>0.2</v>
      </c>
      <c r="AK1209">
        <f t="shared" si="113"/>
        <v>169.92</v>
      </c>
      <c r="AL1209">
        <f t="shared" si="114"/>
        <v>1019.52</v>
      </c>
      <c r="AM1209">
        <f t="shared" si="115"/>
        <v>180.48</v>
      </c>
      <c r="AN1209" s="4">
        <f t="shared" si="116"/>
        <v>0.1504</v>
      </c>
      <c r="AO1209" t="s">
        <v>64</v>
      </c>
      <c r="AQ1209" t="s">
        <v>217</v>
      </c>
      <c r="AT1209" t="s">
        <v>64</v>
      </c>
    </row>
    <row r="1210" ht="15.75" customHeight="1" spans="1:46">
      <c r="A1210" t="s">
        <v>2061</v>
      </c>
      <c r="B1210" t="s">
        <v>133</v>
      </c>
      <c r="C1210" t="s">
        <v>1499</v>
      </c>
      <c r="D1210" t="s">
        <v>2031</v>
      </c>
      <c r="E1210" t="s">
        <v>2032</v>
      </c>
      <c r="F1210" t="s">
        <v>2062</v>
      </c>
      <c r="H1210" t="s">
        <v>2034</v>
      </c>
      <c r="I1210" t="s">
        <v>2064</v>
      </c>
      <c r="J1210" t="s">
        <v>2036</v>
      </c>
      <c r="K1210" t="s">
        <v>2066</v>
      </c>
      <c r="L1210" t="s">
        <v>124</v>
      </c>
      <c r="M1210" t="s">
        <v>2042</v>
      </c>
      <c r="N1210" t="s">
        <v>2039</v>
      </c>
      <c r="O1210" t="s">
        <v>2051</v>
      </c>
      <c r="Q1210" t="s">
        <v>57</v>
      </c>
      <c r="Y1210" t="s">
        <v>2067</v>
      </c>
      <c r="Z1210">
        <v>9405</v>
      </c>
      <c r="AE1210">
        <v>1200</v>
      </c>
      <c r="AF1210" s="4">
        <v>0.4</v>
      </c>
      <c r="AG1210">
        <f t="shared" si="117"/>
        <v>720</v>
      </c>
      <c r="AH1210" s="4">
        <v>0.18</v>
      </c>
      <c r="AI1210">
        <f t="shared" si="112"/>
        <v>849.6</v>
      </c>
      <c r="AJ1210" s="4">
        <v>0.2</v>
      </c>
      <c r="AK1210">
        <f t="shared" si="113"/>
        <v>169.92</v>
      </c>
      <c r="AL1210">
        <f t="shared" si="114"/>
        <v>1019.52</v>
      </c>
      <c r="AM1210">
        <f t="shared" si="115"/>
        <v>180.48</v>
      </c>
      <c r="AN1210" s="4">
        <f t="shared" si="116"/>
        <v>0.1504</v>
      </c>
      <c r="AO1210" t="s">
        <v>64</v>
      </c>
      <c r="AQ1210" t="s">
        <v>217</v>
      </c>
      <c r="AT1210" t="s">
        <v>64</v>
      </c>
    </row>
    <row r="1211" ht="15.75" customHeight="1" spans="1:46">
      <c r="A1211" t="s">
        <v>2061</v>
      </c>
      <c r="B1211" t="s">
        <v>135</v>
      </c>
      <c r="C1211" t="s">
        <v>1499</v>
      </c>
      <c r="D1211" t="s">
        <v>2031</v>
      </c>
      <c r="E1211" t="s">
        <v>2032</v>
      </c>
      <c r="F1211" t="s">
        <v>2062</v>
      </c>
      <c r="H1211" t="s">
        <v>2034</v>
      </c>
      <c r="I1211" t="s">
        <v>2064</v>
      </c>
      <c r="J1211" t="s">
        <v>2036</v>
      </c>
      <c r="K1211" t="s">
        <v>2066</v>
      </c>
      <c r="L1211" t="s">
        <v>124</v>
      </c>
      <c r="M1211" t="s">
        <v>2043</v>
      </c>
      <c r="N1211" t="s">
        <v>2039</v>
      </c>
      <c r="O1211" t="s">
        <v>2051</v>
      </c>
      <c r="Q1211" t="s">
        <v>57</v>
      </c>
      <c r="Y1211" t="s">
        <v>2067</v>
      </c>
      <c r="Z1211">
        <v>9405</v>
      </c>
      <c r="AE1211">
        <v>1200</v>
      </c>
      <c r="AF1211" s="4">
        <v>0.4</v>
      </c>
      <c r="AG1211">
        <f t="shared" si="117"/>
        <v>720</v>
      </c>
      <c r="AH1211" s="4">
        <v>0.18</v>
      </c>
      <c r="AI1211">
        <f t="shared" si="112"/>
        <v>849.6</v>
      </c>
      <c r="AJ1211" s="4">
        <v>0.2</v>
      </c>
      <c r="AK1211">
        <f t="shared" si="113"/>
        <v>169.92</v>
      </c>
      <c r="AL1211">
        <f t="shared" si="114"/>
        <v>1019.52</v>
      </c>
      <c r="AM1211">
        <f t="shared" si="115"/>
        <v>180.48</v>
      </c>
      <c r="AN1211" s="4">
        <f t="shared" si="116"/>
        <v>0.1504</v>
      </c>
      <c r="AO1211" t="s">
        <v>64</v>
      </c>
      <c r="AQ1211" t="s">
        <v>217</v>
      </c>
      <c r="AT1211" t="s">
        <v>64</v>
      </c>
    </row>
    <row r="1212" ht="15.75" customHeight="1" spans="1:46">
      <c r="A1212" t="s">
        <v>2061</v>
      </c>
      <c r="B1212" t="s">
        <v>137</v>
      </c>
      <c r="C1212" t="s">
        <v>1499</v>
      </c>
      <c r="D1212" t="s">
        <v>2031</v>
      </c>
      <c r="E1212" t="s">
        <v>2032</v>
      </c>
      <c r="F1212" t="s">
        <v>2062</v>
      </c>
      <c r="H1212" t="s">
        <v>2034</v>
      </c>
      <c r="I1212" t="s">
        <v>2068</v>
      </c>
      <c r="J1212" t="s">
        <v>2036</v>
      </c>
      <c r="K1212" t="s">
        <v>2069</v>
      </c>
      <c r="L1212" t="s">
        <v>124</v>
      </c>
      <c r="M1212" t="s">
        <v>2038</v>
      </c>
      <c r="N1212" t="s">
        <v>2039</v>
      </c>
      <c r="O1212" t="s">
        <v>2040</v>
      </c>
      <c r="Q1212" t="s">
        <v>57</v>
      </c>
      <c r="Y1212" t="s">
        <v>2063</v>
      </c>
      <c r="Z1212">
        <v>9405</v>
      </c>
      <c r="AE1212">
        <v>1510</v>
      </c>
      <c r="AF1212" s="4">
        <v>0.52</v>
      </c>
      <c r="AG1212">
        <f t="shared" si="117"/>
        <v>724.8</v>
      </c>
      <c r="AH1212" s="4">
        <v>0.18</v>
      </c>
      <c r="AI1212">
        <f t="shared" si="112"/>
        <v>855.26</v>
      </c>
      <c r="AJ1212" s="4">
        <v>0.2</v>
      </c>
      <c r="AK1212">
        <f t="shared" si="113"/>
        <v>171.05</v>
      </c>
      <c r="AL1212">
        <f t="shared" si="114"/>
        <v>1026.31</v>
      </c>
      <c r="AM1212">
        <f t="shared" si="115"/>
        <v>483.69</v>
      </c>
      <c r="AN1212" s="4">
        <f t="shared" si="116"/>
        <v>0.320324503311258</v>
      </c>
      <c r="AO1212" t="s">
        <v>64</v>
      </c>
      <c r="AQ1212" t="s">
        <v>217</v>
      </c>
      <c r="AT1212" t="s">
        <v>64</v>
      </c>
    </row>
    <row r="1213" ht="15.75" customHeight="1" spans="1:46">
      <c r="A1213" t="s">
        <v>2061</v>
      </c>
      <c r="B1213" t="s">
        <v>138</v>
      </c>
      <c r="C1213" t="s">
        <v>1499</v>
      </c>
      <c r="D1213" t="s">
        <v>2031</v>
      </c>
      <c r="E1213" t="s">
        <v>2032</v>
      </c>
      <c r="F1213" t="s">
        <v>2062</v>
      </c>
      <c r="H1213" t="s">
        <v>2034</v>
      </c>
      <c r="I1213" t="s">
        <v>2068</v>
      </c>
      <c r="J1213" t="s">
        <v>2036</v>
      </c>
      <c r="K1213" t="s">
        <v>2069</v>
      </c>
      <c r="L1213" t="s">
        <v>124</v>
      </c>
      <c r="M1213" t="s">
        <v>2042</v>
      </c>
      <c r="N1213" t="s">
        <v>2039</v>
      </c>
      <c r="O1213" t="s">
        <v>2040</v>
      </c>
      <c r="Q1213" t="s">
        <v>57</v>
      </c>
      <c r="Y1213" t="s">
        <v>2063</v>
      </c>
      <c r="Z1213">
        <v>9405</v>
      </c>
      <c r="AE1213">
        <v>1510</v>
      </c>
      <c r="AF1213" s="4">
        <v>0.52</v>
      </c>
      <c r="AG1213">
        <f t="shared" si="117"/>
        <v>724.8</v>
      </c>
      <c r="AH1213" s="4">
        <v>0.18</v>
      </c>
      <c r="AI1213">
        <f t="shared" si="112"/>
        <v>855.26</v>
      </c>
      <c r="AJ1213" s="4">
        <v>0.2</v>
      </c>
      <c r="AK1213">
        <f t="shared" si="113"/>
        <v>171.05</v>
      </c>
      <c r="AL1213">
        <f t="shared" si="114"/>
        <v>1026.31</v>
      </c>
      <c r="AM1213">
        <f t="shared" si="115"/>
        <v>483.69</v>
      </c>
      <c r="AN1213" s="4">
        <f t="shared" si="116"/>
        <v>0.320324503311258</v>
      </c>
      <c r="AO1213" t="s">
        <v>64</v>
      </c>
      <c r="AQ1213" t="s">
        <v>217</v>
      </c>
      <c r="AT1213" t="s">
        <v>64</v>
      </c>
    </row>
    <row r="1214" ht="15.75" customHeight="1" spans="1:46">
      <c r="A1214" t="s">
        <v>2061</v>
      </c>
      <c r="B1214" t="s">
        <v>140</v>
      </c>
      <c r="C1214" t="s">
        <v>1499</v>
      </c>
      <c r="D1214" t="s">
        <v>2031</v>
      </c>
      <c r="E1214" t="s">
        <v>2032</v>
      </c>
      <c r="F1214" t="s">
        <v>2062</v>
      </c>
      <c r="H1214" t="s">
        <v>2034</v>
      </c>
      <c r="I1214" t="s">
        <v>2068</v>
      </c>
      <c r="J1214" t="s">
        <v>2036</v>
      </c>
      <c r="K1214" t="s">
        <v>2069</v>
      </c>
      <c r="L1214" t="s">
        <v>124</v>
      </c>
      <c r="M1214" t="s">
        <v>2043</v>
      </c>
      <c r="N1214" t="s">
        <v>2039</v>
      </c>
      <c r="O1214" t="s">
        <v>2040</v>
      </c>
      <c r="Q1214" t="s">
        <v>57</v>
      </c>
      <c r="Y1214" t="s">
        <v>2063</v>
      </c>
      <c r="Z1214">
        <v>9405</v>
      </c>
      <c r="AE1214">
        <v>1510</v>
      </c>
      <c r="AF1214" s="4">
        <v>0.52</v>
      </c>
      <c r="AG1214">
        <f t="shared" si="117"/>
        <v>724.8</v>
      </c>
      <c r="AH1214" s="4">
        <v>0.18</v>
      </c>
      <c r="AI1214">
        <f t="shared" si="112"/>
        <v>855.26</v>
      </c>
      <c r="AJ1214" s="4">
        <v>0.2</v>
      </c>
      <c r="AK1214">
        <f t="shared" si="113"/>
        <v>171.05</v>
      </c>
      <c r="AL1214">
        <f t="shared" si="114"/>
        <v>1026.31</v>
      </c>
      <c r="AM1214">
        <f t="shared" si="115"/>
        <v>483.69</v>
      </c>
      <c r="AN1214" s="4">
        <f t="shared" si="116"/>
        <v>0.320324503311258</v>
      </c>
      <c r="AO1214" t="s">
        <v>64</v>
      </c>
      <c r="AQ1214" t="s">
        <v>217</v>
      </c>
      <c r="AT1214" t="s">
        <v>64</v>
      </c>
    </row>
    <row r="1215" ht="15.75" customHeight="1" spans="1:46">
      <c r="A1215" t="s">
        <v>2061</v>
      </c>
      <c r="B1215" t="s">
        <v>202</v>
      </c>
      <c r="C1215" t="s">
        <v>1499</v>
      </c>
      <c r="D1215" t="s">
        <v>2031</v>
      </c>
      <c r="E1215" t="s">
        <v>2032</v>
      </c>
      <c r="F1215" t="s">
        <v>2062</v>
      </c>
      <c r="H1215" t="s">
        <v>2034</v>
      </c>
      <c r="I1215" t="s">
        <v>2068</v>
      </c>
      <c r="J1215" t="s">
        <v>2036</v>
      </c>
      <c r="K1215" t="s">
        <v>2070</v>
      </c>
      <c r="L1215" t="s">
        <v>124</v>
      </c>
      <c r="M1215" t="s">
        <v>2038</v>
      </c>
      <c r="N1215" t="s">
        <v>2039</v>
      </c>
      <c r="O1215" t="s">
        <v>2051</v>
      </c>
      <c r="Q1215" t="s">
        <v>57</v>
      </c>
      <c r="Y1215" t="s">
        <v>2067</v>
      </c>
      <c r="Z1215">
        <v>9405</v>
      </c>
      <c r="AE1215">
        <v>1510</v>
      </c>
      <c r="AF1215" s="4">
        <v>0.52</v>
      </c>
      <c r="AG1215">
        <f t="shared" si="117"/>
        <v>724.8</v>
      </c>
      <c r="AH1215" s="4">
        <v>0.18</v>
      </c>
      <c r="AI1215">
        <f t="shared" si="112"/>
        <v>855.26</v>
      </c>
      <c r="AJ1215" s="4">
        <v>0.2</v>
      </c>
      <c r="AK1215">
        <f t="shared" si="113"/>
        <v>171.05</v>
      </c>
      <c r="AL1215">
        <f t="shared" si="114"/>
        <v>1026.31</v>
      </c>
      <c r="AM1215">
        <f t="shared" si="115"/>
        <v>483.69</v>
      </c>
      <c r="AN1215" s="4">
        <f t="shared" si="116"/>
        <v>0.320324503311258</v>
      </c>
      <c r="AO1215" t="s">
        <v>64</v>
      </c>
      <c r="AQ1215" t="s">
        <v>217</v>
      </c>
      <c r="AT1215" t="s">
        <v>64</v>
      </c>
    </row>
    <row r="1216" ht="15.75" customHeight="1" spans="1:46">
      <c r="A1216" t="s">
        <v>2061</v>
      </c>
      <c r="B1216" t="s">
        <v>203</v>
      </c>
      <c r="C1216" t="s">
        <v>1499</v>
      </c>
      <c r="D1216" t="s">
        <v>2031</v>
      </c>
      <c r="E1216" t="s">
        <v>2032</v>
      </c>
      <c r="F1216" t="s">
        <v>2062</v>
      </c>
      <c r="H1216" t="s">
        <v>2034</v>
      </c>
      <c r="I1216" t="s">
        <v>2068</v>
      </c>
      <c r="J1216" t="s">
        <v>2036</v>
      </c>
      <c r="K1216" t="s">
        <v>2070</v>
      </c>
      <c r="L1216" t="s">
        <v>124</v>
      </c>
      <c r="M1216" t="s">
        <v>2042</v>
      </c>
      <c r="N1216" t="s">
        <v>2039</v>
      </c>
      <c r="O1216" t="s">
        <v>2051</v>
      </c>
      <c r="Q1216" t="s">
        <v>57</v>
      </c>
      <c r="Y1216" t="s">
        <v>2067</v>
      </c>
      <c r="Z1216">
        <v>9405</v>
      </c>
      <c r="AE1216">
        <v>1510</v>
      </c>
      <c r="AF1216" s="4">
        <v>0.52</v>
      </c>
      <c r="AG1216">
        <f t="shared" si="117"/>
        <v>724.8</v>
      </c>
      <c r="AH1216" s="4">
        <v>0.18</v>
      </c>
      <c r="AI1216">
        <f t="shared" si="112"/>
        <v>855.26</v>
      </c>
      <c r="AJ1216" s="4">
        <v>0.2</v>
      </c>
      <c r="AK1216">
        <f t="shared" si="113"/>
        <v>171.05</v>
      </c>
      <c r="AL1216">
        <f t="shared" si="114"/>
        <v>1026.31</v>
      </c>
      <c r="AM1216">
        <f t="shared" si="115"/>
        <v>483.69</v>
      </c>
      <c r="AN1216" s="4">
        <f t="shared" si="116"/>
        <v>0.320324503311258</v>
      </c>
      <c r="AO1216" t="s">
        <v>64</v>
      </c>
      <c r="AQ1216" t="s">
        <v>217</v>
      </c>
      <c r="AT1216" t="s">
        <v>64</v>
      </c>
    </row>
    <row r="1217" ht="15.75" customHeight="1" spans="1:46">
      <c r="A1217" t="s">
        <v>2061</v>
      </c>
      <c r="B1217" t="s">
        <v>204</v>
      </c>
      <c r="C1217" t="s">
        <v>1499</v>
      </c>
      <c r="D1217" t="s">
        <v>2031</v>
      </c>
      <c r="E1217" t="s">
        <v>2032</v>
      </c>
      <c r="F1217" t="s">
        <v>2062</v>
      </c>
      <c r="H1217" t="s">
        <v>2034</v>
      </c>
      <c r="I1217" t="s">
        <v>2068</v>
      </c>
      <c r="J1217" t="s">
        <v>2036</v>
      </c>
      <c r="K1217" t="s">
        <v>2070</v>
      </c>
      <c r="L1217" t="s">
        <v>124</v>
      </c>
      <c r="M1217" t="s">
        <v>2043</v>
      </c>
      <c r="N1217" t="s">
        <v>2039</v>
      </c>
      <c r="O1217" t="s">
        <v>2051</v>
      </c>
      <c r="Q1217" t="s">
        <v>57</v>
      </c>
      <c r="Y1217" t="s">
        <v>2067</v>
      </c>
      <c r="Z1217">
        <v>9405</v>
      </c>
      <c r="AE1217">
        <v>1510</v>
      </c>
      <c r="AF1217" s="4">
        <v>0.52</v>
      </c>
      <c r="AG1217">
        <f t="shared" si="117"/>
        <v>724.8</v>
      </c>
      <c r="AH1217" s="4">
        <v>0.18</v>
      </c>
      <c r="AI1217">
        <f t="shared" si="112"/>
        <v>855.26</v>
      </c>
      <c r="AJ1217" s="4">
        <v>0.2</v>
      </c>
      <c r="AK1217">
        <f t="shared" si="113"/>
        <v>171.05</v>
      </c>
      <c r="AL1217">
        <f t="shared" si="114"/>
        <v>1026.31</v>
      </c>
      <c r="AM1217">
        <f t="shared" si="115"/>
        <v>483.69</v>
      </c>
      <c r="AN1217" s="4">
        <f t="shared" si="116"/>
        <v>0.320324503311258</v>
      </c>
      <c r="AO1217" t="s">
        <v>64</v>
      </c>
      <c r="AQ1217" t="s">
        <v>217</v>
      </c>
      <c r="AT1217" t="s">
        <v>64</v>
      </c>
    </row>
    <row r="1218" ht="15.75" customHeight="1" spans="1:46">
      <c r="A1218" t="s">
        <v>2061</v>
      </c>
      <c r="B1218" t="s">
        <v>205</v>
      </c>
      <c r="C1218" t="s">
        <v>1499</v>
      </c>
      <c r="D1218" t="s">
        <v>2031</v>
      </c>
      <c r="E1218" t="s">
        <v>2032</v>
      </c>
      <c r="F1218" t="s">
        <v>2062</v>
      </c>
      <c r="H1218" t="s">
        <v>2034</v>
      </c>
      <c r="I1218" t="s">
        <v>2047</v>
      </c>
      <c r="J1218" t="s">
        <v>2036</v>
      </c>
      <c r="K1218" t="s">
        <v>2071</v>
      </c>
      <c r="L1218" t="s">
        <v>124</v>
      </c>
      <c r="M1218" t="s">
        <v>2038</v>
      </c>
      <c r="N1218" t="s">
        <v>2039</v>
      </c>
      <c r="O1218" t="s">
        <v>2040</v>
      </c>
      <c r="Q1218" t="s">
        <v>57</v>
      </c>
      <c r="Y1218" t="s">
        <v>2063</v>
      </c>
      <c r="Z1218">
        <v>9405</v>
      </c>
      <c r="AE1218">
        <v>1910</v>
      </c>
      <c r="AF1218" s="4">
        <v>0.5</v>
      </c>
      <c r="AG1218">
        <f t="shared" si="117"/>
        <v>955</v>
      </c>
      <c r="AH1218" s="4">
        <v>0.18</v>
      </c>
      <c r="AI1218">
        <f t="shared" ref="AI1218:AI1281" si="118">ROUND(AG1218+(AG1218*AH1218),2)</f>
        <v>1126.9</v>
      </c>
      <c r="AJ1218" s="4">
        <v>0.2</v>
      </c>
      <c r="AK1218">
        <f t="shared" ref="AK1218:AK1281" si="119">ROUND(AI1218*AJ1218,2)</f>
        <v>225.38</v>
      </c>
      <c r="AL1218">
        <f t="shared" ref="AL1218:AL1281" si="120">AI1218+AK1218</f>
        <v>1352.28</v>
      </c>
      <c r="AM1218">
        <f t="shared" ref="AM1218:AM1281" si="121">AE1218-AL1218</f>
        <v>557.72</v>
      </c>
      <c r="AN1218" s="4">
        <f t="shared" ref="AN1218:AN1281" si="122">AM1218/AE1218</f>
        <v>0.292</v>
      </c>
      <c r="AO1218" t="s">
        <v>64</v>
      </c>
      <c r="AQ1218" t="s">
        <v>217</v>
      </c>
      <c r="AT1218" t="s">
        <v>64</v>
      </c>
    </row>
    <row r="1219" ht="15.75" customHeight="1" spans="1:46">
      <c r="A1219" t="s">
        <v>2061</v>
      </c>
      <c r="B1219" t="s">
        <v>206</v>
      </c>
      <c r="C1219" t="s">
        <v>1499</v>
      </c>
      <c r="D1219" t="s">
        <v>2031</v>
      </c>
      <c r="E1219" t="s">
        <v>2032</v>
      </c>
      <c r="F1219" t="s">
        <v>2062</v>
      </c>
      <c r="H1219" t="s">
        <v>2034</v>
      </c>
      <c r="I1219" t="s">
        <v>2047</v>
      </c>
      <c r="J1219" t="s">
        <v>2036</v>
      </c>
      <c r="K1219" t="s">
        <v>2071</v>
      </c>
      <c r="L1219" t="s">
        <v>124</v>
      </c>
      <c r="M1219" t="s">
        <v>2042</v>
      </c>
      <c r="N1219" t="s">
        <v>2039</v>
      </c>
      <c r="O1219" t="s">
        <v>2040</v>
      </c>
      <c r="Q1219" t="s">
        <v>57</v>
      </c>
      <c r="Y1219" t="s">
        <v>2063</v>
      </c>
      <c r="Z1219">
        <v>9405</v>
      </c>
      <c r="AE1219">
        <v>1910</v>
      </c>
      <c r="AF1219" s="4">
        <v>0.5</v>
      </c>
      <c r="AG1219">
        <f t="shared" si="117"/>
        <v>955</v>
      </c>
      <c r="AH1219" s="4">
        <v>0.18</v>
      </c>
      <c r="AI1219">
        <f t="shared" si="118"/>
        <v>1126.9</v>
      </c>
      <c r="AJ1219" s="4">
        <v>0.2</v>
      </c>
      <c r="AK1219">
        <f t="shared" si="119"/>
        <v>225.38</v>
      </c>
      <c r="AL1219">
        <f t="shared" si="120"/>
        <v>1352.28</v>
      </c>
      <c r="AM1219">
        <f t="shared" si="121"/>
        <v>557.72</v>
      </c>
      <c r="AN1219" s="4">
        <f t="shared" si="122"/>
        <v>0.292</v>
      </c>
      <c r="AO1219" t="s">
        <v>64</v>
      </c>
      <c r="AQ1219" t="s">
        <v>217</v>
      </c>
      <c r="AT1219" t="s">
        <v>64</v>
      </c>
    </row>
    <row r="1220" ht="15.75" customHeight="1" spans="1:46">
      <c r="A1220" t="s">
        <v>2061</v>
      </c>
      <c r="B1220" t="s">
        <v>207</v>
      </c>
      <c r="C1220" t="s">
        <v>1499</v>
      </c>
      <c r="D1220" t="s">
        <v>2031</v>
      </c>
      <c r="E1220" t="s">
        <v>2032</v>
      </c>
      <c r="F1220" t="s">
        <v>2062</v>
      </c>
      <c r="H1220" t="s">
        <v>2034</v>
      </c>
      <c r="I1220" t="s">
        <v>2047</v>
      </c>
      <c r="J1220" t="s">
        <v>2036</v>
      </c>
      <c r="K1220" t="s">
        <v>2071</v>
      </c>
      <c r="L1220" t="s">
        <v>124</v>
      </c>
      <c r="M1220" t="s">
        <v>2043</v>
      </c>
      <c r="N1220" t="s">
        <v>2039</v>
      </c>
      <c r="O1220" t="s">
        <v>2040</v>
      </c>
      <c r="Q1220" t="s">
        <v>57</v>
      </c>
      <c r="Y1220" t="s">
        <v>2063</v>
      </c>
      <c r="Z1220">
        <v>9405</v>
      </c>
      <c r="AE1220">
        <v>1910</v>
      </c>
      <c r="AF1220" s="4">
        <v>0.5</v>
      </c>
      <c r="AG1220">
        <f t="shared" ref="AG1220:AG1283" si="123">ROUND(AE1220-(AE1220*AF1220),2)</f>
        <v>955</v>
      </c>
      <c r="AH1220" s="4">
        <v>0.18</v>
      </c>
      <c r="AI1220">
        <f t="shared" si="118"/>
        <v>1126.9</v>
      </c>
      <c r="AJ1220" s="4">
        <v>0.2</v>
      </c>
      <c r="AK1220">
        <f t="shared" si="119"/>
        <v>225.38</v>
      </c>
      <c r="AL1220">
        <f t="shared" si="120"/>
        <v>1352.28</v>
      </c>
      <c r="AM1220">
        <f t="shared" si="121"/>
        <v>557.72</v>
      </c>
      <c r="AN1220" s="4">
        <f t="shared" si="122"/>
        <v>0.292</v>
      </c>
      <c r="AO1220" t="s">
        <v>64</v>
      </c>
      <c r="AQ1220" t="s">
        <v>217</v>
      </c>
      <c r="AT1220" t="s">
        <v>64</v>
      </c>
    </row>
    <row r="1221" ht="15.75" customHeight="1" spans="1:46">
      <c r="A1221" t="s">
        <v>2061</v>
      </c>
      <c r="B1221" t="s">
        <v>208</v>
      </c>
      <c r="C1221" t="s">
        <v>1499</v>
      </c>
      <c r="D1221" t="s">
        <v>2031</v>
      </c>
      <c r="E1221" t="s">
        <v>2032</v>
      </c>
      <c r="F1221" t="s">
        <v>2062</v>
      </c>
      <c r="H1221" t="s">
        <v>2034</v>
      </c>
      <c r="I1221" t="s">
        <v>2047</v>
      </c>
      <c r="J1221" t="s">
        <v>2036</v>
      </c>
      <c r="K1221" t="s">
        <v>1066</v>
      </c>
      <c r="L1221" t="s">
        <v>124</v>
      </c>
      <c r="M1221" t="s">
        <v>2038</v>
      </c>
      <c r="N1221" t="s">
        <v>2039</v>
      </c>
      <c r="O1221" t="s">
        <v>2051</v>
      </c>
      <c r="Q1221" t="s">
        <v>57</v>
      </c>
      <c r="Y1221" t="s">
        <v>2067</v>
      </c>
      <c r="Z1221">
        <v>9405</v>
      </c>
      <c r="AE1221">
        <v>1910</v>
      </c>
      <c r="AF1221" s="4">
        <v>0.5</v>
      </c>
      <c r="AG1221">
        <f t="shared" si="123"/>
        <v>955</v>
      </c>
      <c r="AH1221" s="4">
        <v>0.18</v>
      </c>
      <c r="AI1221">
        <f t="shared" si="118"/>
        <v>1126.9</v>
      </c>
      <c r="AJ1221" s="4">
        <v>0.2</v>
      </c>
      <c r="AK1221">
        <f t="shared" si="119"/>
        <v>225.38</v>
      </c>
      <c r="AL1221">
        <f t="shared" si="120"/>
        <v>1352.28</v>
      </c>
      <c r="AM1221">
        <f t="shared" si="121"/>
        <v>557.72</v>
      </c>
      <c r="AN1221" s="4">
        <f t="shared" si="122"/>
        <v>0.292</v>
      </c>
      <c r="AO1221" t="s">
        <v>64</v>
      </c>
      <c r="AQ1221" t="s">
        <v>217</v>
      </c>
      <c r="AT1221" t="s">
        <v>64</v>
      </c>
    </row>
    <row r="1222" ht="15.75" customHeight="1" spans="1:46">
      <c r="A1222" t="s">
        <v>2061</v>
      </c>
      <c r="B1222" t="s">
        <v>209</v>
      </c>
      <c r="C1222" t="s">
        <v>1499</v>
      </c>
      <c r="D1222" t="s">
        <v>2031</v>
      </c>
      <c r="E1222" t="s">
        <v>2032</v>
      </c>
      <c r="F1222" t="s">
        <v>2062</v>
      </c>
      <c r="H1222" t="s">
        <v>2034</v>
      </c>
      <c r="I1222" t="s">
        <v>2047</v>
      </c>
      <c r="J1222" t="s">
        <v>2036</v>
      </c>
      <c r="K1222" t="s">
        <v>1066</v>
      </c>
      <c r="L1222" t="s">
        <v>124</v>
      </c>
      <c r="M1222" t="s">
        <v>2042</v>
      </c>
      <c r="N1222" t="s">
        <v>2039</v>
      </c>
      <c r="O1222" t="s">
        <v>2051</v>
      </c>
      <c r="Q1222" t="s">
        <v>57</v>
      </c>
      <c r="Y1222" t="s">
        <v>2067</v>
      </c>
      <c r="Z1222">
        <v>9405</v>
      </c>
      <c r="AE1222">
        <v>1910</v>
      </c>
      <c r="AF1222" s="4">
        <v>0.5</v>
      </c>
      <c r="AG1222">
        <f t="shared" si="123"/>
        <v>955</v>
      </c>
      <c r="AH1222" s="4">
        <v>0.18</v>
      </c>
      <c r="AI1222">
        <f t="shared" si="118"/>
        <v>1126.9</v>
      </c>
      <c r="AJ1222" s="4">
        <v>0.2</v>
      </c>
      <c r="AK1222">
        <f t="shared" si="119"/>
        <v>225.38</v>
      </c>
      <c r="AL1222">
        <f t="shared" si="120"/>
        <v>1352.28</v>
      </c>
      <c r="AM1222">
        <f t="shared" si="121"/>
        <v>557.72</v>
      </c>
      <c r="AN1222" s="4">
        <f t="shared" si="122"/>
        <v>0.292</v>
      </c>
      <c r="AO1222" t="s">
        <v>64</v>
      </c>
      <c r="AQ1222" t="s">
        <v>217</v>
      </c>
      <c r="AT1222" t="s">
        <v>64</v>
      </c>
    </row>
    <row r="1223" ht="15.75" customHeight="1" spans="1:46">
      <c r="A1223" t="s">
        <v>2061</v>
      </c>
      <c r="B1223" t="s">
        <v>210</v>
      </c>
      <c r="C1223" t="s">
        <v>1499</v>
      </c>
      <c r="D1223" t="s">
        <v>2031</v>
      </c>
      <c r="E1223" t="s">
        <v>2032</v>
      </c>
      <c r="F1223" t="s">
        <v>2062</v>
      </c>
      <c r="H1223" t="s">
        <v>2034</v>
      </c>
      <c r="I1223" t="s">
        <v>2047</v>
      </c>
      <c r="J1223" t="s">
        <v>2036</v>
      </c>
      <c r="K1223" t="s">
        <v>1066</v>
      </c>
      <c r="L1223" t="s">
        <v>124</v>
      </c>
      <c r="M1223" t="s">
        <v>2043</v>
      </c>
      <c r="N1223" t="s">
        <v>2039</v>
      </c>
      <c r="O1223" t="s">
        <v>2051</v>
      </c>
      <c r="Q1223" t="s">
        <v>57</v>
      </c>
      <c r="Y1223" t="s">
        <v>2067</v>
      </c>
      <c r="Z1223">
        <v>9405</v>
      </c>
      <c r="AE1223">
        <v>1910</v>
      </c>
      <c r="AF1223" s="4">
        <v>0.5</v>
      </c>
      <c r="AG1223">
        <f t="shared" si="123"/>
        <v>955</v>
      </c>
      <c r="AH1223" s="4">
        <v>0.18</v>
      </c>
      <c r="AI1223">
        <f t="shared" si="118"/>
        <v>1126.9</v>
      </c>
      <c r="AJ1223" s="4">
        <v>0.2</v>
      </c>
      <c r="AK1223">
        <f t="shared" si="119"/>
        <v>225.38</v>
      </c>
      <c r="AL1223">
        <f t="shared" si="120"/>
        <v>1352.28</v>
      </c>
      <c r="AM1223">
        <f t="shared" si="121"/>
        <v>557.72</v>
      </c>
      <c r="AN1223" s="4">
        <f t="shared" si="122"/>
        <v>0.292</v>
      </c>
      <c r="AO1223" t="s">
        <v>64</v>
      </c>
      <c r="AQ1223" t="s">
        <v>217</v>
      </c>
      <c r="AT1223" t="s">
        <v>64</v>
      </c>
    </row>
    <row r="1224" ht="15.75" customHeight="1" spans="1:46">
      <c r="A1224" t="s">
        <v>2061</v>
      </c>
      <c r="B1224" t="s">
        <v>211</v>
      </c>
      <c r="C1224" t="s">
        <v>1499</v>
      </c>
      <c r="D1224" t="s">
        <v>2031</v>
      </c>
      <c r="E1224" t="s">
        <v>2032</v>
      </c>
      <c r="F1224" t="s">
        <v>2062</v>
      </c>
      <c r="H1224" t="s">
        <v>2034</v>
      </c>
      <c r="I1224" t="s">
        <v>2058</v>
      </c>
      <c r="J1224" t="s">
        <v>2036</v>
      </c>
      <c r="K1224" t="s">
        <v>2072</v>
      </c>
      <c r="L1224" t="s">
        <v>124</v>
      </c>
      <c r="M1224" t="s">
        <v>2038</v>
      </c>
      <c r="N1224" t="s">
        <v>2039</v>
      </c>
      <c r="O1224" t="s">
        <v>2040</v>
      </c>
      <c r="Q1224" t="s">
        <v>57</v>
      </c>
      <c r="Y1224" t="s">
        <v>2063</v>
      </c>
      <c r="Z1224">
        <v>9405</v>
      </c>
      <c r="AE1224">
        <v>1800</v>
      </c>
      <c r="AF1224" s="4">
        <v>0.37</v>
      </c>
      <c r="AG1224">
        <f t="shared" si="123"/>
        <v>1134</v>
      </c>
      <c r="AH1224" s="4">
        <v>0.18</v>
      </c>
      <c r="AI1224">
        <f t="shared" si="118"/>
        <v>1338.12</v>
      </c>
      <c r="AJ1224" s="4">
        <v>0.2</v>
      </c>
      <c r="AK1224">
        <f t="shared" si="119"/>
        <v>267.62</v>
      </c>
      <c r="AL1224">
        <f t="shared" si="120"/>
        <v>1605.74</v>
      </c>
      <c r="AM1224">
        <f t="shared" si="121"/>
        <v>194.26</v>
      </c>
      <c r="AN1224" s="4">
        <f t="shared" si="122"/>
        <v>0.107922222222222</v>
      </c>
      <c r="AO1224" t="s">
        <v>64</v>
      </c>
      <c r="AQ1224" t="s">
        <v>217</v>
      </c>
      <c r="AT1224" t="s">
        <v>64</v>
      </c>
    </row>
    <row r="1225" ht="15.75" customHeight="1" spans="1:46">
      <c r="A1225" t="s">
        <v>2061</v>
      </c>
      <c r="B1225" t="s">
        <v>212</v>
      </c>
      <c r="C1225" t="s">
        <v>1499</v>
      </c>
      <c r="D1225" t="s">
        <v>2031</v>
      </c>
      <c r="E1225" t="s">
        <v>2032</v>
      </c>
      <c r="F1225" t="s">
        <v>2062</v>
      </c>
      <c r="H1225" t="s">
        <v>2034</v>
      </c>
      <c r="I1225" t="s">
        <v>2058</v>
      </c>
      <c r="J1225" t="s">
        <v>2036</v>
      </c>
      <c r="K1225" t="s">
        <v>2072</v>
      </c>
      <c r="L1225" t="s">
        <v>124</v>
      </c>
      <c r="M1225" t="s">
        <v>2042</v>
      </c>
      <c r="N1225" t="s">
        <v>2039</v>
      </c>
      <c r="O1225" t="s">
        <v>2040</v>
      </c>
      <c r="Q1225" t="s">
        <v>57</v>
      </c>
      <c r="Y1225" t="s">
        <v>2063</v>
      </c>
      <c r="Z1225">
        <v>9405</v>
      </c>
      <c r="AE1225">
        <v>1800</v>
      </c>
      <c r="AF1225" s="4">
        <v>0.37</v>
      </c>
      <c r="AG1225">
        <f t="shared" si="123"/>
        <v>1134</v>
      </c>
      <c r="AH1225" s="4">
        <v>0.18</v>
      </c>
      <c r="AI1225">
        <f t="shared" si="118"/>
        <v>1338.12</v>
      </c>
      <c r="AJ1225" s="4">
        <v>0.2</v>
      </c>
      <c r="AK1225">
        <f t="shared" si="119"/>
        <v>267.62</v>
      </c>
      <c r="AL1225">
        <f t="shared" si="120"/>
        <v>1605.74</v>
      </c>
      <c r="AM1225">
        <f t="shared" si="121"/>
        <v>194.26</v>
      </c>
      <c r="AN1225" s="4">
        <f t="shared" si="122"/>
        <v>0.107922222222222</v>
      </c>
      <c r="AO1225" t="s">
        <v>64</v>
      </c>
      <c r="AQ1225" t="s">
        <v>217</v>
      </c>
      <c r="AT1225" t="s">
        <v>64</v>
      </c>
    </row>
    <row r="1226" ht="15.75" customHeight="1" spans="1:46">
      <c r="A1226" t="s">
        <v>2061</v>
      </c>
      <c r="B1226" t="s">
        <v>213</v>
      </c>
      <c r="C1226" t="s">
        <v>1499</v>
      </c>
      <c r="D1226" t="s">
        <v>2031</v>
      </c>
      <c r="E1226" t="s">
        <v>2032</v>
      </c>
      <c r="F1226" t="s">
        <v>2062</v>
      </c>
      <c r="H1226" t="s">
        <v>2034</v>
      </c>
      <c r="I1226" t="s">
        <v>2058</v>
      </c>
      <c r="J1226" t="s">
        <v>2036</v>
      </c>
      <c r="K1226" t="s">
        <v>2072</v>
      </c>
      <c r="L1226" t="s">
        <v>124</v>
      </c>
      <c r="M1226" t="s">
        <v>2043</v>
      </c>
      <c r="N1226" t="s">
        <v>2039</v>
      </c>
      <c r="O1226" t="s">
        <v>2040</v>
      </c>
      <c r="Q1226" t="s">
        <v>57</v>
      </c>
      <c r="Y1226" t="s">
        <v>2063</v>
      </c>
      <c r="Z1226">
        <v>9405</v>
      </c>
      <c r="AE1226">
        <v>1800</v>
      </c>
      <c r="AF1226" s="4">
        <v>0.37</v>
      </c>
      <c r="AG1226">
        <f t="shared" si="123"/>
        <v>1134</v>
      </c>
      <c r="AH1226" s="4">
        <v>0.18</v>
      </c>
      <c r="AI1226">
        <f t="shared" si="118"/>
        <v>1338.12</v>
      </c>
      <c r="AJ1226" s="4">
        <v>0.2</v>
      </c>
      <c r="AK1226">
        <f t="shared" si="119"/>
        <v>267.62</v>
      </c>
      <c r="AL1226">
        <f t="shared" si="120"/>
        <v>1605.74</v>
      </c>
      <c r="AM1226">
        <f t="shared" si="121"/>
        <v>194.26</v>
      </c>
      <c r="AN1226" s="4">
        <f t="shared" si="122"/>
        <v>0.107922222222222</v>
      </c>
      <c r="AO1226" t="s">
        <v>64</v>
      </c>
      <c r="AQ1226" t="s">
        <v>217</v>
      </c>
      <c r="AT1226" t="s">
        <v>64</v>
      </c>
    </row>
    <row r="1227" ht="15.75" customHeight="1" spans="1:46">
      <c r="A1227" t="s">
        <v>2061</v>
      </c>
      <c r="B1227" t="s">
        <v>1520</v>
      </c>
      <c r="C1227" t="s">
        <v>1499</v>
      </c>
      <c r="D1227" t="s">
        <v>2031</v>
      </c>
      <c r="E1227" t="s">
        <v>2032</v>
      </c>
      <c r="F1227" t="s">
        <v>2062</v>
      </c>
      <c r="H1227" t="s">
        <v>2034</v>
      </c>
      <c r="I1227" t="s">
        <v>2058</v>
      </c>
      <c r="J1227" t="s">
        <v>2036</v>
      </c>
      <c r="K1227" t="s">
        <v>2073</v>
      </c>
      <c r="L1227" t="s">
        <v>124</v>
      </c>
      <c r="M1227" t="s">
        <v>2038</v>
      </c>
      <c r="N1227" t="s">
        <v>2039</v>
      </c>
      <c r="O1227" t="s">
        <v>2051</v>
      </c>
      <c r="Q1227" t="s">
        <v>57</v>
      </c>
      <c r="Y1227" t="s">
        <v>2067</v>
      </c>
      <c r="Z1227">
        <v>9405</v>
      </c>
      <c r="AE1227">
        <v>1800</v>
      </c>
      <c r="AF1227" s="4">
        <v>0.37</v>
      </c>
      <c r="AG1227">
        <f t="shared" si="123"/>
        <v>1134</v>
      </c>
      <c r="AH1227" s="4">
        <v>0.18</v>
      </c>
      <c r="AI1227">
        <f t="shared" si="118"/>
        <v>1338.12</v>
      </c>
      <c r="AJ1227" s="4">
        <v>0.2</v>
      </c>
      <c r="AK1227">
        <f t="shared" si="119"/>
        <v>267.62</v>
      </c>
      <c r="AL1227">
        <f t="shared" si="120"/>
        <v>1605.74</v>
      </c>
      <c r="AM1227">
        <f t="shared" si="121"/>
        <v>194.26</v>
      </c>
      <c r="AN1227" s="4">
        <f t="shared" si="122"/>
        <v>0.107922222222222</v>
      </c>
      <c r="AO1227" t="s">
        <v>64</v>
      </c>
      <c r="AQ1227" t="s">
        <v>217</v>
      </c>
      <c r="AT1227" t="s">
        <v>64</v>
      </c>
    </row>
    <row r="1228" ht="15.75" customHeight="1" spans="1:46">
      <c r="A1228" t="s">
        <v>2061</v>
      </c>
      <c r="B1228" t="s">
        <v>1521</v>
      </c>
      <c r="C1228" t="s">
        <v>1499</v>
      </c>
      <c r="D1228" t="s">
        <v>2031</v>
      </c>
      <c r="E1228" t="s">
        <v>2032</v>
      </c>
      <c r="F1228" t="s">
        <v>2062</v>
      </c>
      <c r="H1228" t="s">
        <v>2034</v>
      </c>
      <c r="I1228" t="s">
        <v>2058</v>
      </c>
      <c r="J1228" t="s">
        <v>2036</v>
      </c>
      <c r="K1228" t="s">
        <v>2073</v>
      </c>
      <c r="L1228" t="s">
        <v>124</v>
      </c>
      <c r="M1228" t="s">
        <v>2042</v>
      </c>
      <c r="N1228" t="s">
        <v>2039</v>
      </c>
      <c r="O1228" t="s">
        <v>2051</v>
      </c>
      <c r="Q1228" t="s">
        <v>57</v>
      </c>
      <c r="Y1228" t="s">
        <v>2067</v>
      </c>
      <c r="Z1228">
        <v>9405</v>
      </c>
      <c r="AE1228">
        <v>1800</v>
      </c>
      <c r="AF1228" s="4">
        <v>0.37</v>
      </c>
      <c r="AG1228">
        <f t="shared" si="123"/>
        <v>1134</v>
      </c>
      <c r="AH1228" s="4">
        <v>0.18</v>
      </c>
      <c r="AI1228">
        <f t="shared" si="118"/>
        <v>1338.12</v>
      </c>
      <c r="AJ1228" s="4">
        <v>0.2</v>
      </c>
      <c r="AK1228">
        <f t="shared" si="119"/>
        <v>267.62</v>
      </c>
      <c r="AL1228">
        <f t="shared" si="120"/>
        <v>1605.74</v>
      </c>
      <c r="AM1228">
        <f t="shared" si="121"/>
        <v>194.26</v>
      </c>
      <c r="AN1228" s="4">
        <f t="shared" si="122"/>
        <v>0.107922222222222</v>
      </c>
      <c r="AO1228" t="s">
        <v>64</v>
      </c>
      <c r="AQ1228" t="s">
        <v>217</v>
      </c>
      <c r="AT1228" t="s">
        <v>64</v>
      </c>
    </row>
    <row r="1229" ht="15.75" customHeight="1" spans="1:46">
      <c r="A1229" t="s">
        <v>2061</v>
      </c>
      <c r="B1229" t="s">
        <v>1523</v>
      </c>
      <c r="C1229" t="s">
        <v>1499</v>
      </c>
      <c r="D1229" t="s">
        <v>2031</v>
      </c>
      <c r="E1229" t="s">
        <v>2032</v>
      </c>
      <c r="F1229" t="s">
        <v>2062</v>
      </c>
      <c r="H1229" t="s">
        <v>2034</v>
      </c>
      <c r="I1229" t="s">
        <v>2058</v>
      </c>
      <c r="J1229" t="s">
        <v>2036</v>
      </c>
      <c r="K1229" t="s">
        <v>2073</v>
      </c>
      <c r="L1229" t="s">
        <v>124</v>
      </c>
      <c r="M1229" t="s">
        <v>2043</v>
      </c>
      <c r="N1229" t="s">
        <v>2039</v>
      </c>
      <c r="O1229" t="s">
        <v>2051</v>
      </c>
      <c r="Q1229" t="s">
        <v>57</v>
      </c>
      <c r="Y1229" t="s">
        <v>2067</v>
      </c>
      <c r="Z1229">
        <v>9405</v>
      </c>
      <c r="AE1229">
        <v>1800</v>
      </c>
      <c r="AF1229" s="4">
        <v>0.37</v>
      </c>
      <c r="AG1229">
        <f t="shared" si="123"/>
        <v>1134</v>
      </c>
      <c r="AH1229" s="4">
        <v>0.18</v>
      </c>
      <c r="AI1229">
        <f t="shared" si="118"/>
        <v>1338.12</v>
      </c>
      <c r="AJ1229" s="4">
        <v>0.2</v>
      </c>
      <c r="AK1229">
        <f t="shared" si="119"/>
        <v>267.62</v>
      </c>
      <c r="AL1229">
        <f t="shared" si="120"/>
        <v>1605.74</v>
      </c>
      <c r="AM1229">
        <f t="shared" si="121"/>
        <v>194.26</v>
      </c>
      <c r="AN1229" s="4">
        <f t="shared" si="122"/>
        <v>0.107922222222222</v>
      </c>
      <c r="AO1229" t="s">
        <v>64</v>
      </c>
      <c r="AQ1229" t="s">
        <v>217</v>
      </c>
      <c r="AT1229" t="s">
        <v>64</v>
      </c>
    </row>
    <row r="1230" ht="15.75" customHeight="1" spans="1:46">
      <c r="A1230" t="s">
        <v>2061</v>
      </c>
      <c r="B1230" t="s">
        <v>1524</v>
      </c>
      <c r="C1230" t="s">
        <v>1499</v>
      </c>
      <c r="D1230" t="s">
        <v>2031</v>
      </c>
      <c r="E1230" t="s">
        <v>2032</v>
      </c>
      <c r="F1230" t="s">
        <v>2062</v>
      </c>
      <c r="H1230" t="s">
        <v>2034</v>
      </c>
      <c r="I1230" t="s">
        <v>2049</v>
      </c>
      <c r="J1230" t="s">
        <v>2036</v>
      </c>
      <c r="K1230" t="s">
        <v>2074</v>
      </c>
      <c r="L1230" t="s">
        <v>124</v>
      </c>
      <c r="M1230" t="s">
        <v>2038</v>
      </c>
      <c r="N1230" t="s">
        <v>2039</v>
      </c>
      <c r="O1230" t="s">
        <v>2040</v>
      </c>
      <c r="Q1230" t="s">
        <v>57</v>
      </c>
      <c r="Y1230" t="s">
        <v>2063</v>
      </c>
      <c r="Z1230">
        <v>9405</v>
      </c>
      <c r="AE1230">
        <v>2260</v>
      </c>
      <c r="AF1230" s="4">
        <v>0.28</v>
      </c>
      <c r="AG1230">
        <f t="shared" si="123"/>
        <v>1627.2</v>
      </c>
      <c r="AH1230" s="4">
        <v>0.18</v>
      </c>
      <c r="AI1230">
        <f t="shared" si="118"/>
        <v>1920.1</v>
      </c>
      <c r="AJ1230" s="4">
        <v>0.2</v>
      </c>
      <c r="AK1230">
        <f t="shared" si="119"/>
        <v>384.02</v>
      </c>
      <c r="AL1230">
        <f t="shared" si="120"/>
        <v>2304.12</v>
      </c>
      <c r="AM1230">
        <f t="shared" si="121"/>
        <v>-44.1199999999999</v>
      </c>
      <c r="AN1230" s="4">
        <f t="shared" si="122"/>
        <v>-0.0195221238938053</v>
      </c>
      <c r="AO1230" t="s">
        <v>64</v>
      </c>
      <c r="AQ1230" t="s">
        <v>217</v>
      </c>
      <c r="AT1230" t="s">
        <v>64</v>
      </c>
    </row>
    <row r="1231" ht="15.75" customHeight="1" spans="1:46">
      <c r="A1231" t="s">
        <v>2061</v>
      </c>
      <c r="B1231" t="s">
        <v>1525</v>
      </c>
      <c r="C1231" t="s">
        <v>1499</v>
      </c>
      <c r="D1231" t="s">
        <v>2031</v>
      </c>
      <c r="E1231" t="s">
        <v>2032</v>
      </c>
      <c r="F1231" t="s">
        <v>2062</v>
      </c>
      <c r="H1231" t="s">
        <v>2034</v>
      </c>
      <c r="I1231" t="s">
        <v>2049</v>
      </c>
      <c r="J1231" t="s">
        <v>2036</v>
      </c>
      <c r="K1231" t="s">
        <v>2074</v>
      </c>
      <c r="L1231" t="s">
        <v>124</v>
      </c>
      <c r="M1231" t="s">
        <v>2042</v>
      </c>
      <c r="N1231" t="s">
        <v>2039</v>
      </c>
      <c r="O1231" t="s">
        <v>2040</v>
      </c>
      <c r="Q1231" t="s">
        <v>57</v>
      </c>
      <c r="Y1231" t="s">
        <v>2063</v>
      </c>
      <c r="Z1231">
        <v>9405</v>
      </c>
      <c r="AE1231">
        <v>2260</v>
      </c>
      <c r="AF1231" s="4">
        <v>0.28</v>
      </c>
      <c r="AG1231">
        <f t="shared" si="123"/>
        <v>1627.2</v>
      </c>
      <c r="AH1231" s="4">
        <v>0.18</v>
      </c>
      <c r="AI1231">
        <f t="shared" si="118"/>
        <v>1920.1</v>
      </c>
      <c r="AJ1231" s="4">
        <v>0.2</v>
      </c>
      <c r="AK1231">
        <f t="shared" si="119"/>
        <v>384.02</v>
      </c>
      <c r="AL1231">
        <f t="shared" si="120"/>
        <v>2304.12</v>
      </c>
      <c r="AM1231">
        <f t="shared" si="121"/>
        <v>-44.1199999999999</v>
      </c>
      <c r="AN1231" s="4">
        <f t="shared" si="122"/>
        <v>-0.0195221238938053</v>
      </c>
      <c r="AO1231" t="s">
        <v>64</v>
      </c>
      <c r="AQ1231" t="s">
        <v>217</v>
      </c>
      <c r="AT1231" t="s">
        <v>64</v>
      </c>
    </row>
    <row r="1232" ht="15.75" customHeight="1" spans="1:46">
      <c r="A1232" t="s">
        <v>2061</v>
      </c>
      <c r="B1232" t="s">
        <v>1526</v>
      </c>
      <c r="C1232" t="s">
        <v>1499</v>
      </c>
      <c r="D1232" t="s">
        <v>2031</v>
      </c>
      <c r="E1232" t="s">
        <v>2032</v>
      </c>
      <c r="F1232" t="s">
        <v>2062</v>
      </c>
      <c r="H1232" t="s">
        <v>2034</v>
      </c>
      <c r="I1232" t="s">
        <v>2049</v>
      </c>
      <c r="J1232" t="s">
        <v>2036</v>
      </c>
      <c r="K1232" t="s">
        <v>2074</v>
      </c>
      <c r="L1232" t="s">
        <v>124</v>
      </c>
      <c r="M1232" t="s">
        <v>2043</v>
      </c>
      <c r="N1232" t="s">
        <v>2039</v>
      </c>
      <c r="O1232" t="s">
        <v>2040</v>
      </c>
      <c r="Q1232" t="s">
        <v>57</v>
      </c>
      <c r="Y1232" t="s">
        <v>2063</v>
      </c>
      <c r="Z1232">
        <v>9405</v>
      </c>
      <c r="AE1232">
        <v>2260</v>
      </c>
      <c r="AF1232" s="4">
        <v>0.28</v>
      </c>
      <c r="AG1232">
        <f t="shared" si="123"/>
        <v>1627.2</v>
      </c>
      <c r="AH1232" s="4">
        <v>0.18</v>
      </c>
      <c r="AI1232">
        <f t="shared" si="118"/>
        <v>1920.1</v>
      </c>
      <c r="AJ1232" s="4">
        <v>0.2</v>
      </c>
      <c r="AK1232">
        <f t="shared" si="119"/>
        <v>384.02</v>
      </c>
      <c r="AL1232">
        <f t="shared" si="120"/>
        <v>2304.12</v>
      </c>
      <c r="AM1232">
        <f t="shared" si="121"/>
        <v>-44.1199999999999</v>
      </c>
      <c r="AN1232" s="4">
        <f t="shared" si="122"/>
        <v>-0.0195221238938053</v>
      </c>
      <c r="AO1232" t="s">
        <v>64</v>
      </c>
      <c r="AQ1232" t="s">
        <v>217</v>
      </c>
      <c r="AT1232" t="s">
        <v>64</v>
      </c>
    </row>
    <row r="1233" ht="15.75" customHeight="1" spans="1:46">
      <c r="A1233" t="s">
        <v>2061</v>
      </c>
      <c r="B1233" t="s">
        <v>1535</v>
      </c>
      <c r="C1233" t="s">
        <v>1499</v>
      </c>
      <c r="D1233" t="s">
        <v>2031</v>
      </c>
      <c r="E1233" t="s">
        <v>2032</v>
      </c>
      <c r="F1233" t="s">
        <v>2062</v>
      </c>
      <c r="H1233" t="s">
        <v>2034</v>
      </c>
      <c r="I1233" t="s">
        <v>2049</v>
      </c>
      <c r="J1233" t="s">
        <v>2036</v>
      </c>
      <c r="K1233" t="s">
        <v>2074</v>
      </c>
      <c r="L1233" t="s">
        <v>124</v>
      </c>
      <c r="M1233" t="s">
        <v>2038</v>
      </c>
      <c r="N1233" t="s">
        <v>2039</v>
      </c>
      <c r="O1233" t="s">
        <v>2051</v>
      </c>
      <c r="Q1233" t="s">
        <v>57</v>
      </c>
      <c r="Y1233" t="s">
        <v>2067</v>
      </c>
      <c r="Z1233">
        <v>9405</v>
      </c>
      <c r="AE1233">
        <v>2260</v>
      </c>
      <c r="AF1233" s="4">
        <v>0.28</v>
      </c>
      <c r="AG1233">
        <f t="shared" si="123"/>
        <v>1627.2</v>
      </c>
      <c r="AH1233" s="4">
        <v>0.18</v>
      </c>
      <c r="AI1233">
        <f t="shared" si="118"/>
        <v>1920.1</v>
      </c>
      <c r="AJ1233" s="4">
        <v>0.2</v>
      </c>
      <c r="AK1233">
        <f t="shared" si="119"/>
        <v>384.02</v>
      </c>
      <c r="AL1233">
        <f t="shared" si="120"/>
        <v>2304.12</v>
      </c>
      <c r="AM1233">
        <f t="shared" si="121"/>
        <v>-44.1199999999999</v>
      </c>
      <c r="AN1233" s="4">
        <f t="shared" si="122"/>
        <v>-0.0195221238938053</v>
      </c>
      <c r="AO1233" t="s">
        <v>64</v>
      </c>
      <c r="AQ1233" t="s">
        <v>217</v>
      </c>
      <c r="AT1233" t="s">
        <v>64</v>
      </c>
    </row>
    <row r="1234" ht="15.75" customHeight="1" spans="1:46">
      <c r="A1234" t="s">
        <v>2061</v>
      </c>
      <c r="B1234" t="s">
        <v>1537</v>
      </c>
      <c r="C1234" t="s">
        <v>1499</v>
      </c>
      <c r="D1234" t="s">
        <v>2031</v>
      </c>
      <c r="E1234" t="s">
        <v>2032</v>
      </c>
      <c r="F1234" t="s">
        <v>2062</v>
      </c>
      <c r="H1234" t="s">
        <v>2034</v>
      </c>
      <c r="I1234" t="s">
        <v>2049</v>
      </c>
      <c r="J1234" t="s">
        <v>2036</v>
      </c>
      <c r="K1234" t="s">
        <v>2074</v>
      </c>
      <c r="L1234" t="s">
        <v>124</v>
      </c>
      <c r="M1234" t="s">
        <v>2042</v>
      </c>
      <c r="N1234" t="s">
        <v>2039</v>
      </c>
      <c r="O1234" t="s">
        <v>2051</v>
      </c>
      <c r="Q1234" t="s">
        <v>57</v>
      </c>
      <c r="Y1234" t="s">
        <v>2067</v>
      </c>
      <c r="Z1234">
        <v>9405</v>
      </c>
      <c r="AE1234">
        <v>2260</v>
      </c>
      <c r="AF1234" s="4">
        <v>0.28</v>
      </c>
      <c r="AG1234">
        <f t="shared" si="123"/>
        <v>1627.2</v>
      </c>
      <c r="AH1234" s="4">
        <v>0.18</v>
      </c>
      <c r="AI1234">
        <f t="shared" si="118"/>
        <v>1920.1</v>
      </c>
      <c r="AJ1234" s="4">
        <v>0.2</v>
      </c>
      <c r="AK1234">
        <f t="shared" si="119"/>
        <v>384.02</v>
      </c>
      <c r="AL1234">
        <f t="shared" si="120"/>
        <v>2304.12</v>
      </c>
      <c r="AM1234">
        <f t="shared" si="121"/>
        <v>-44.1199999999999</v>
      </c>
      <c r="AN1234" s="4">
        <f t="shared" si="122"/>
        <v>-0.0195221238938053</v>
      </c>
      <c r="AO1234" t="s">
        <v>64</v>
      </c>
      <c r="AQ1234" t="s">
        <v>217</v>
      </c>
      <c r="AT1234" t="s">
        <v>64</v>
      </c>
    </row>
    <row r="1235" ht="15.75" customHeight="1" spans="1:46">
      <c r="A1235" t="s">
        <v>2061</v>
      </c>
      <c r="B1235" t="s">
        <v>1538</v>
      </c>
      <c r="C1235" t="s">
        <v>1499</v>
      </c>
      <c r="D1235" t="s">
        <v>2031</v>
      </c>
      <c r="E1235" t="s">
        <v>2032</v>
      </c>
      <c r="F1235" t="s">
        <v>2062</v>
      </c>
      <c r="H1235" t="s">
        <v>2034</v>
      </c>
      <c r="I1235" t="s">
        <v>2049</v>
      </c>
      <c r="J1235" t="s">
        <v>2036</v>
      </c>
      <c r="K1235" t="s">
        <v>2074</v>
      </c>
      <c r="L1235" t="s">
        <v>124</v>
      </c>
      <c r="M1235" t="s">
        <v>2043</v>
      </c>
      <c r="N1235" t="s">
        <v>2039</v>
      </c>
      <c r="O1235" t="s">
        <v>2051</v>
      </c>
      <c r="Q1235" t="s">
        <v>57</v>
      </c>
      <c r="Y1235" t="s">
        <v>2067</v>
      </c>
      <c r="Z1235">
        <v>9405</v>
      </c>
      <c r="AE1235">
        <v>2260</v>
      </c>
      <c r="AF1235" s="4">
        <v>0.28</v>
      </c>
      <c r="AG1235">
        <f t="shared" si="123"/>
        <v>1627.2</v>
      </c>
      <c r="AH1235" s="4">
        <v>0.18</v>
      </c>
      <c r="AI1235">
        <f t="shared" si="118"/>
        <v>1920.1</v>
      </c>
      <c r="AJ1235" s="4">
        <v>0.2</v>
      </c>
      <c r="AK1235">
        <f t="shared" si="119"/>
        <v>384.02</v>
      </c>
      <c r="AL1235">
        <f t="shared" si="120"/>
        <v>2304.12</v>
      </c>
      <c r="AM1235">
        <f t="shared" si="121"/>
        <v>-44.1199999999999</v>
      </c>
      <c r="AN1235" s="4">
        <f t="shared" si="122"/>
        <v>-0.0195221238938053</v>
      </c>
      <c r="AO1235" t="s">
        <v>64</v>
      </c>
      <c r="AQ1235" t="s">
        <v>217</v>
      </c>
      <c r="AT1235" t="s">
        <v>64</v>
      </c>
    </row>
    <row r="1236" ht="15.75" customHeight="1" spans="1:46">
      <c r="A1236" t="s">
        <v>2075</v>
      </c>
      <c r="B1236" t="s">
        <v>46</v>
      </c>
      <c r="C1236" t="s">
        <v>1499</v>
      </c>
      <c r="D1236" t="s">
        <v>2031</v>
      </c>
      <c r="E1236" t="s">
        <v>2076</v>
      </c>
      <c r="F1236" t="s">
        <v>2077</v>
      </c>
      <c r="H1236" t="s">
        <v>2034</v>
      </c>
      <c r="I1236" t="s">
        <v>2078</v>
      </c>
      <c r="J1236" t="s">
        <v>2036</v>
      </c>
      <c r="K1236" t="s">
        <v>788</v>
      </c>
      <c r="L1236" t="s">
        <v>124</v>
      </c>
      <c r="M1236" t="s">
        <v>2038</v>
      </c>
      <c r="N1236" t="s">
        <v>2039</v>
      </c>
      <c r="O1236" t="s">
        <v>2040</v>
      </c>
      <c r="Q1236" t="s">
        <v>57</v>
      </c>
      <c r="Y1236" t="s">
        <v>2079</v>
      </c>
      <c r="Z1236">
        <v>9405</v>
      </c>
      <c r="AE1236">
        <v>450</v>
      </c>
      <c r="AF1236" s="4">
        <v>0.7</v>
      </c>
      <c r="AG1236">
        <f t="shared" si="123"/>
        <v>135</v>
      </c>
      <c r="AH1236" s="4">
        <v>0.18</v>
      </c>
      <c r="AI1236">
        <f t="shared" si="118"/>
        <v>159.3</v>
      </c>
      <c r="AJ1236" s="4">
        <v>0.2</v>
      </c>
      <c r="AK1236">
        <f t="shared" si="119"/>
        <v>31.86</v>
      </c>
      <c r="AL1236">
        <f t="shared" si="120"/>
        <v>191.16</v>
      </c>
      <c r="AM1236">
        <f t="shared" si="121"/>
        <v>258.84</v>
      </c>
      <c r="AN1236" s="4">
        <f t="shared" si="122"/>
        <v>0.5752</v>
      </c>
      <c r="AO1236" t="s">
        <v>221</v>
      </c>
      <c r="AQ1236" t="s">
        <v>217</v>
      </c>
      <c r="AT1236" t="s">
        <v>64</v>
      </c>
    </row>
    <row r="1237" ht="15.75" customHeight="1" spans="1:46">
      <c r="A1237" t="s">
        <v>2075</v>
      </c>
      <c r="B1237" t="s">
        <v>67</v>
      </c>
      <c r="C1237" t="s">
        <v>1499</v>
      </c>
      <c r="D1237" t="s">
        <v>2031</v>
      </c>
      <c r="E1237" t="s">
        <v>2076</v>
      </c>
      <c r="F1237" t="s">
        <v>2077</v>
      </c>
      <c r="H1237" t="s">
        <v>2034</v>
      </c>
      <c r="I1237" t="s">
        <v>2078</v>
      </c>
      <c r="J1237" t="s">
        <v>2036</v>
      </c>
      <c r="K1237" t="s">
        <v>788</v>
      </c>
      <c r="L1237" t="s">
        <v>124</v>
      </c>
      <c r="M1237" t="s">
        <v>2042</v>
      </c>
      <c r="N1237" t="s">
        <v>2039</v>
      </c>
      <c r="O1237" t="s">
        <v>2040</v>
      </c>
      <c r="Q1237" t="s">
        <v>57</v>
      </c>
      <c r="Y1237" t="s">
        <v>2079</v>
      </c>
      <c r="Z1237">
        <v>9405</v>
      </c>
      <c r="AE1237">
        <v>450</v>
      </c>
      <c r="AF1237" s="4">
        <v>0.7</v>
      </c>
      <c r="AG1237">
        <f t="shared" si="123"/>
        <v>135</v>
      </c>
      <c r="AH1237" s="4">
        <v>0.18</v>
      </c>
      <c r="AI1237">
        <f t="shared" si="118"/>
        <v>159.3</v>
      </c>
      <c r="AJ1237" s="4">
        <v>0.2</v>
      </c>
      <c r="AK1237">
        <f t="shared" si="119"/>
        <v>31.86</v>
      </c>
      <c r="AL1237">
        <f t="shared" si="120"/>
        <v>191.16</v>
      </c>
      <c r="AM1237">
        <f t="shared" si="121"/>
        <v>258.84</v>
      </c>
      <c r="AN1237" s="4">
        <f t="shared" si="122"/>
        <v>0.5752</v>
      </c>
      <c r="AO1237" t="s">
        <v>221</v>
      </c>
      <c r="AQ1237" t="s">
        <v>217</v>
      </c>
      <c r="AT1237" t="s">
        <v>64</v>
      </c>
    </row>
    <row r="1238" ht="15.75" customHeight="1" spans="1:46">
      <c r="A1238" t="s">
        <v>2075</v>
      </c>
      <c r="B1238" t="s">
        <v>71</v>
      </c>
      <c r="C1238" t="s">
        <v>1499</v>
      </c>
      <c r="D1238" t="s">
        <v>2031</v>
      </c>
      <c r="E1238" t="s">
        <v>2076</v>
      </c>
      <c r="F1238" t="s">
        <v>2077</v>
      </c>
      <c r="H1238" t="s">
        <v>2034</v>
      </c>
      <c r="I1238" t="s">
        <v>2078</v>
      </c>
      <c r="J1238" t="s">
        <v>2036</v>
      </c>
      <c r="K1238" t="s">
        <v>788</v>
      </c>
      <c r="L1238" t="s">
        <v>124</v>
      </c>
      <c r="M1238" t="s">
        <v>2043</v>
      </c>
      <c r="N1238" t="s">
        <v>2039</v>
      </c>
      <c r="O1238" t="s">
        <v>2040</v>
      </c>
      <c r="Q1238" t="s">
        <v>57</v>
      </c>
      <c r="Y1238" t="s">
        <v>2079</v>
      </c>
      <c r="Z1238">
        <v>9405</v>
      </c>
      <c r="AE1238">
        <v>450</v>
      </c>
      <c r="AF1238" s="4">
        <v>0.7</v>
      </c>
      <c r="AG1238">
        <f t="shared" si="123"/>
        <v>135</v>
      </c>
      <c r="AH1238" s="4">
        <v>0.18</v>
      </c>
      <c r="AI1238">
        <f t="shared" si="118"/>
        <v>159.3</v>
      </c>
      <c r="AJ1238" s="4">
        <v>0.2</v>
      </c>
      <c r="AK1238">
        <f t="shared" si="119"/>
        <v>31.86</v>
      </c>
      <c r="AL1238">
        <f t="shared" si="120"/>
        <v>191.16</v>
      </c>
      <c r="AM1238">
        <f t="shared" si="121"/>
        <v>258.84</v>
      </c>
      <c r="AN1238" s="4">
        <f t="shared" si="122"/>
        <v>0.5752</v>
      </c>
      <c r="AO1238" t="s">
        <v>221</v>
      </c>
      <c r="AQ1238" t="s">
        <v>217</v>
      </c>
      <c r="AT1238" t="s">
        <v>64</v>
      </c>
    </row>
    <row r="1239" ht="15.75" customHeight="1" spans="1:46">
      <c r="A1239" t="s">
        <v>2075</v>
      </c>
      <c r="B1239" t="s">
        <v>75</v>
      </c>
      <c r="C1239" t="s">
        <v>1499</v>
      </c>
      <c r="D1239" t="s">
        <v>2031</v>
      </c>
      <c r="E1239" t="s">
        <v>2076</v>
      </c>
      <c r="F1239" t="s">
        <v>2077</v>
      </c>
      <c r="H1239" t="s">
        <v>2034</v>
      </c>
      <c r="I1239" t="s">
        <v>2068</v>
      </c>
      <c r="J1239" t="s">
        <v>2036</v>
      </c>
      <c r="K1239" t="s">
        <v>788</v>
      </c>
      <c r="L1239" t="s">
        <v>124</v>
      </c>
      <c r="M1239" t="s">
        <v>2038</v>
      </c>
      <c r="N1239" t="s">
        <v>2039</v>
      </c>
      <c r="O1239" t="s">
        <v>2040</v>
      </c>
      <c r="Q1239" t="s">
        <v>57</v>
      </c>
      <c r="Y1239" t="s">
        <v>2079</v>
      </c>
      <c r="Z1239">
        <v>9405</v>
      </c>
      <c r="AE1239">
        <v>700</v>
      </c>
      <c r="AF1239" s="4">
        <v>0.74</v>
      </c>
      <c r="AG1239">
        <f t="shared" si="123"/>
        <v>182</v>
      </c>
      <c r="AH1239" s="4">
        <v>0.18</v>
      </c>
      <c r="AI1239">
        <f t="shared" si="118"/>
        <v>214.76</v>
      </c>
      <c r="AJ1239" s="4">
        <v>0.2</v>
      </c>
      <c r="AK1239">
        <f t="shared" si="119"/>
        <v>42.95</v>
      </c>
      <c r="AL1239">
        <f t="shared" si="120"/>
        <v>257.71</v>
      </c>
      <c r="AM1239">
        <f t="shared" si="121"/>
        <v>442.29</v>
      </c>
      <c r="AN1239" s="4">
        <f t="shared" si="122"/>
        <v>0.631842857142857</v>
      </c>
      <c r="AO1239" t="s">
        <v>221</v>
      </c>
      <c r="AQ1239" t="s">
        <v>217</v>
      </c>
      <c r="AT1239" t="s">
        <v>64</v>
      </c>
    </row>
    <row r="1240" ht="15.75" customHeight="1" spans="1:46">
      <c r="A1240" t="s">
        <v>2075</v>
      </c>
      <c r="B1240" t="s">
        <v>79</v>
      </c>
      <c r="C1240" t="s">
        <v>1499</v>
      </c>
      <c r="D1240" t="s">
        <v>2031</v>
      </c>
      <c r="E1240" t="s">
        <v>2076</v>
      </c>
      <c r="F1240" t="s">
        <v>2077</v>
      </c>
      <c r="H1240" t="s">
        <v>2034</v>
      </c>
      <c r="I1240" t="s">
        <v>2068</v>
      </c>
      <c r="J1240" t="s">
        <v>2036</v>
      </c>
      <c r="K1240" t="s">
        <v>788</v>
      </c>
      <c r="L1240" t="s">
        <v>124</v>
      </c>
      <c r="M1240" t="s">
        <v>2042</v>
      </c>
      <c r="N1240" t="s">
        <v>2039</v>
      </c>
      <c r="O1240" t="s">
        <v>2040</v>
      </c>
      <c r="Q1240" t="s">
        <v>57</v>
      </c>
      <c r="Y1240" t="s">
        <v>2079</v>
      </c>
      <c r="Z1240">
        <v>9405</v>
      </c>
      <c r="AE1240">
        <v>700</v>
      </c>
      <c r="AF1240" s="4">
        <v>0.74</v>
      </c>
      <c r="AG1240">
        <f t="shared" si="123"/>
        <v>182</v>
      </c>
      <c r="AH1240" s="4">
        <v>0.18</v>
      </c>
      <c r="AI1240">
        <f t="shared" si="118"/>
        <v>214.76</v>
      </c>
      <c r="AJ1240" s="4">
        <v>0.2</v>
      </c>
      <c r="AK1240">
        <f t="shared" si="119"/>
        <v>42.95</v>
      </c>
      <c r="AL1240">
        <f t="shared" si="120"/>
        <v>257.71</v>
      </c>
      <c r="AM1240">
        <f t="shared" si="121"/>
        <v>442.29</v>
      </c>
      <c r="AN1240" s="4">
        <f t="shared" si="122"/>
        <v>0.631842857142857</v>
      </c>
      <c r="AO1240" t="s">
        <v>221</v>
      </c>
      <c r="AQ1240" t="s">
        <v>217</v>
      </c>
      <c r="AT1240" t="s">
        <v>64</v>
      </c>
    </row>
    <row r="1241" ht="15.75" customHeight="1" spans="1:46">
      <c r="A1241" t="s">
        <v>2075</v>
      </c>
      <c r="B1241" t="s">
        <v>83</v>
      </c>
      <c r="C1241" t="s">
        <v>1499</v>
      </c>
      <c r="D1241" t="s">
        <v>2031</v>
      </c>
      <c r="E1241" t="s">
        <v>2076</v>
      </c>
      <c r="F1241" t="s">
        <v>2077</v>
      </c>
      <c r="H1241" t="s">
        <v>2034</v>
      </c>
      <c r="I1241" t="s">
        <v>2068</v>
      </c>
      <c r="J1241" t="s">
        <v>2036</v>
      </c>
      <c r="K1241" t="s">
        <v>788</v>
      </c>
      <c r="L1241" t="s">
        <v>124</v>
      </c>
      <c r="M1241" t="s">
        <v>2043</v>
      </c>
      <c r="N1241" t="s">
        <v>2039</v>
      </c>
      <c r="O1241" t="s">
        <v>2040</v>
      </c>
      <c r="Q1241" t="s">
        <v>57</v>
      </c>
      <c r="Y1241" t="s">
        <v>2079</v>
      </c>
      <c r="Z1241">
        <v>9405</v>
      </c>
      <c r="AE1241">
        <v>700</v>
      </c>
      <c r="AF1241" s="4">
        <v>0.74</v>
      </c>
      <c r="AG1241">
        <f t="shared" si="123"/>
        <v>182</v>
      </c>
      <c r="AH1241" s="4">
        <v>0.18</v>
      </c>
      <c r="AI1241">
        <f t="shared" si="118"/>
        <v>214.76</v>
      </c>
      <c r="AJ1241" s="4">
        <v>0.2</v>
      </c>
      <c r="AK1241">
        <f t="shared" si="119"/>
        <v>42.95</v>
      </c>
      <c r="AL1241">
        <f t="shared" si="120"/>
        <v>257.71</v>
      </c>
      <c r="AM1241">
        <f t="shared" si="121"/>
        <v>442.29</v>
      </c>
      <c r="AN1241" s="4">
        <f t="shared" si="122"/>
        <v>0.631842857142857</v>
      </c>
      <c r="AO1241" t="s">
        <v>221</v>
      </c>
      <c r="AQ1241" t="s">
        <v>217</v>
      </c>
      <c r="AT1241" t="s">
        <v>64</v>
      </c>
    </row>
    <row r="1242" ht="15.75" customHeight="1" spans="1:46">
      <c r="A1242" t="s">
        <v>2075</v>
      </c>
      <c r="B1242" t="s">
        <v>131</v>
      </c>
      <c r="C1242" t="s">
        <v>1499</v>
      </c>
      <c r="D1242" t="s">
        <v>2031</v>
      </c>
      <c r="E1242" t="s">
        <v>2076</v>
      </c>
      <c r="F1242" t="s">
        <v>2077</v>
      </c>
      <c r="H1242" t="s">
        <v>2034</v>
      </c>
      <c r="I1242" t="s">
        <v>2058</v>
      </c>
      <c r="J1242" t="s">
        <v>2036</v>
      </c>
      <c r="K1242" t="s">
        <v>788</v>
      </c>
      <c r="L1242" t="s">
        <v>124</v>
      </c>
      <c r="M1242" t="s">
        <v>2038</v>
      </c>
      <c r="N1242" t="s">
        <v>2039</v>
      </c>
      <c r="O1242" t="s">
        <v>2040</v>
      </c>
      <c r="Q1242" t="s">
        <v>57</v>
      </c>
      <c r="Y1242" t="s">
        <v>2079</v>
      </c>
      <c r="Z1242">
        <v>9405</v>
      </c>
      <c r="AE1242">
        <v>900</v>
      </c>
      <c r="AF1242" s="4">
        <v>0.7</v>
      </c>
      <c r="AG1242">
        <f t="shared" si="123"/>
        <v>270</v>
      </c>
      <c r="AH1242" s="4">
        <v>0.18</v>
      </c>
      <c r="AI1242">
        <f t="shared" si="118"/>
        <v>318.6</v>
      </c>
      <c r="AJ1242" s="4">
        <v>0.2</v>
      </c>
      <c r="AK1242">
        <f t="shared" si="119"/>
        <v>63.72</v>
      </c>
      <c r="AL1242">
        <f t="shared" si="120"/>
        <v>382.32</v>
      </c>
      <c r="AM1242">
        <f t="shared" si="121"/>
        <v>517.68</v>
      </c>
      <c r="AN1242" s="4">
        <f t="shared" si="122"/>
        <v>0.5752</v>
      </c>
      <c r="AO1242" t="s">
        <v>221</v>
      </c>
      <c r="AQ1242" t="s">
        <v>217</v>
      </c>
      <c r="AT1242" t="s">
        <v>64</v>
      </c>
    </row>
    <row r="1243" ht="15.75" customHeight="1" spans="1:46">
      <c r="A1243" t="s">
        <v>2075</v>
      </c>
      <c r="B1243" t="s">
        <v>133</v>
      </c>
      <c r="C1243" t="s">
        <v>1499</v>
      </c>
      <c r="D1243" t="s">
        <v>2031</v>
      </c>
      <c r="E1243" t="s">
        <v>2076</v>
      </c>
      <c r="F1243" t="s">
        <v>2077</v>
      </c>
      <c r="H1243" t="s">
        <v>2034</v>
      </c>
      <c r="I1243" t="s">
        <v>2058</v>
      </c>
      <c r="J1243" t="s">
        <v>2036</v>
      </c>
      <c r="K1243" t="s">
        <v>788</v>
      </c>
      <c r="L1243" t="s">
        <v>124</v>
      </c>
      <c r="M1243" t="s">
        <v>2042</v>
      </c>
      <c r="N1243" t="s">
        <v>2039</v>
      </c>
      <c r="O1243" t="s">
        <v>2040</v>
      </c>
      <c r="Q1243" t="s">
        <v>57</v>
      </c>
      <c r="Y1243" t="s">
        <v>2079</v>
      </c>
      <c r="Z1243">
        <v>9405</v>
      </c>
      <c r="AE1243">
        <v>900</v>
      </c>
      <c r="AF1243" s="4">
        <v>0.7</v>
      </c>
      <c r="AG1243">
        <f t="shared" si="123"/>
        <v>270</v>
      </c>
      <c r="AH1243" s="4">
        <v>0.18</v>
      </c>
      <c r="AI1243">
        <f t="shared" si="118"/>
        <v>318.6</v>
      </c>
      <c r="AJ1243" s="4">
        <v>0.2</v>
      </c>
      <c r="AK1243">
        <f t="shared" si="119"/>
        <v>63.72</v>
      </c>
      <c r="AL1243">
        <f t="shared" si="120"/>
        <v>382.32</v>
      </c>
      <c r="AM1243">
        <f t="shared" si="121"/>
        <v>517.68</v>
      </c>
      <c r="AN1243" s="4">
        <f t="shared" si="122"/>
        <v>0.5752</v>
      </c>
      <c r="AO1243" t="s">
        <v>221</v>
      </c>
      <c r="AQ1243" t="s">
        <v>217</v>
      </c>
      <c r="AT1243" t="s">
        <v>64</v>
      </c>
    </row>
    <row r="1244" ht="15.75" customHeight="1" spans="1:46">
      <c r="A1244" t="s">
        <v>2075</v>
      </c>
      <c r="B1244" t="s">
        <v>135</v>
      </c>
      <c r="C1244" t="s">
        <v>1499</v>
      </c>
      <c r="D1244" t="s">
        <v>2031</v>
      </c>
      <c r="E1244" t="s">
        <v>2076</v>
      </c>
      <c r="F1244" t="s">
        <v>2077</v>
      </c>
      <c r="H1244" t="s">
        <v>2034</v>
      </c>
      <c r="I1244" t="s">
        <v>2058</v>
      </c>
      <c r="J1244" t="s">
        <v>2036</v>
      </c>
      <c r="K1244" t="s">
        <v>788</v>
      </c>
      <c r="L1244" t="s">
        <v>124</v>
      </c>
      <c r="M1244" t="s">
        <v>2043</v>
      </c>
      <c r="N1244" t="s">
        <v>2039</v>
      </c>
      <c r="O1244" t="s">
        <v>2040</v>
      </c>
      <c r="Q1244" t="s">
        <v>57</v>
      </c>
      <c r="Y1244" t="s">
        <v>2079</v>
      </c>
      <c r="Z1244">
        <v>9405</v>
      </c>
      <c r="AE1244">
        <v>900</v>
      </c>
      <c r="AF1244" s="4">
        <v>0.7</v>
      </c>
      <c r="AG1244">
        <f t="shared" si="123"/>
        <v>270</v>
      </c>
      <c r="AH1244" s="4">
        <v>0.18</v>
      </c>
      <c r="AI1244">
        <f t="shared" si="118"/>
        <v>318.6</v>
      </c>
      <c r="AJ1244" s="4">
        <v>0.2</v>
      </c>
      <c r="AK1244">
        <f t="shared" si="119"/>
        <v>63.72</v>
      </c>
      <c r="AL1244">
        <f t="shared" si="120"/>
        <v>382.32</v>
      </c>
      <c r="AM1244">
        <f t="shared" si="121"/>
        <v>517.68</v>
      </c>
      <c r="AN1244" s="4">
        <f t="shared" si="122"/>
        <v>0.5752</v>
      </c>
      <c r="AO1244" t="s">
        <v>221</v>
      </c>
      <c r="AQ1244" t="s">
        <v>217</v>
      </c>
      <c r="AT1244" t="s">
        <v>64</v>
      </c>
    </row>
    <row r="1245" ht="15.75" customHeight="1" spans="1:46">
      <c r="A1245" t="s">
        <v>2080</v>
      </c>
      <c r="B1245" t="s">
        <v>46</v>
      </c>
      <c r="C1245" t="s">
        <v>1499</v>
      </c>
      <c r="D1245" t="s">
        <v>2031</v>
      </c>
      <c r="E1245" t="s">
        <v>2076</v>
      </c>
      <c r="F1245" t="s">
        <v>2081</v>
      </c>
      <c r="H1245" t="s">
        <v>2034</v>
      </c>
      <c r="I1245" t="s">
        <v>2045</v>
      </c>
      <c r="J1245" t="s">
        <v>2036</v>
      </c>
      <c r="K1245" t="s">
        <v>2082</v>
      </c>
      <c r="L1245" t="s">
        <v>124</v>
      </c>
      <c r="M1245" t="s">
        <v>2038</v>
      </c>
      <c r="N1245" t="s">
        <v>2039</v>
      </c>
      <c r="O1245" t="s">
        <v>2040</v>
      </c>
      <c r="Q1245" t="s">
        <v>57</v>
      </c>
      <c r="Y1245" t="s">
        <v>2083</v>
      </c>
      <c r="Z1245">
        <v>9405</v>
      </c>
      <c r="AE1245">
        <v>700</v>
      </c>
      <c r="AF1245" s="4">
        <v>0.75</v>
      </c>
      <c r="AG1245">
        <f t="shared" si="123"/>
        <v>175</v>
      </c>
      <c r="AH1245" s="4">
        <v>0.18</v>
      </c>
      <c r="AI1245">
        <f t="shared" si="118"/>
        <v>206.5</v>
      </c>
      <c r="AJ1245" s="4">
        <v>0.2</v>
      </c>
      <c r="AK1245">
        <f t="shared" si="119"/>
        <v>41.3</v>
      </c>
      <c r="AL1245">
        <f t="shared" si="120"/>
        <v>247.8</v>
      </c>
      <c r="AM1245">
        <f t="shared" si="121"/>
        <v>452.2</v>
      </c>
      <c r="AN1245" s="4">
        <f t="shared" si="122"/>
        <v>0.646</v>
      </c>
      <c r="AO1245" t="s">
        <v>221</v>
      </c>
      <c r="AQ1245" t="s">
        <v>217</v>
      </c>
      <c r="AT1245" t="s">
        <v>64</v>
      </c>
    </row>
    <row r="1246" ht="15.75" customHeight="1" spans="1:46">
      <c r="A1246" t="s">
        <v>2080</v>
      </c>
      <c r="B1246" t="s">
        <v>67</v>
      </c>
      <c r="C1246" t="s">
        <v>1499</v>
      </c>
      <c r="D1246" t="s">
        <v>2031</v>
      </c>
      <c r="E1246" t="s">
        <v>2076</v>
      </c>
      <c r="F1246" t="s">
        <v>2081</v>
      </c>
      <c r="H1246" t="s">
        <v>2034</v>
      </c>
      <c r="I1246" t="s">
        <v>2045</v>
      </c>
      <c r="J1246" t="s">
        <v>2036</v>
      </c>
      <c r="K1246" t="s">
        <v>2082</v>
      </c>
      <c r="L1246" t="s">
        <v>124</v>
      </c>
      <c r="M1246" t="s">
        <v>2042</v>
      </c>
      <c r="N1246" t="s">
        <v>2039</v>
      </c>
      <c r="O1246" t="s">
        <v>2040</v>
      </c>
      <c r="Q1246" t="s">
        <v>57</v>
      </c>
      <c r="Y1246" t="s">
        <v>2083</v>
      </c>
      <c r="Z1246">
        <v>9405</v>
      </c>
      <c r="AE1246">
        <v>700</v>
      </c>
      <c r="AF1246" s="4">
        <v>0.75</v>
      </c>
      <c r="AG1246">
        <f t="shared" si="123"/>
        <v>175</v>
      </c>
      <c r="AH1246" s="4">
        <v>0.18</v>
      </c>
      <c r="AI1246">
        <f t="shared" si="118"/>
        <v>206.5</v>
      </c>
      <c r="AJ1246" s="4">
        <v>0.2</v>
      </c>
      <c r="AK1246">
        <f t="shared" si="119"/>
        <v>41.3</v>
      </c>
      <c r="AL1246">
        <f t="shared" si="120"/>
        <v>247.8</v>
      </c>
      <c r="AM1246">
        <f t="shared" si="121"/>
        <v>452.2</v>
      </c>
      <c r="AN1246" s="4">
        <f t="shared" si="122"/>
        <v>0.646</v>
      </c>
      <c r="AO1246" t="s">
        <v>221</v>
      </c>
      <c r="AQ1246" t="s">
        <v>217</v>
      </c>
      <c r="AT1246" t="s">
        <v>64</v>
      </c>
    </row>
    <row r="1247" ht="15.75" customHeight="1" spans="1:46">
      <c r="A1247" t="s">
        <v>2080</v>
      </c>
      <c r="B1247" t="s">
        <v>71</v>
      </c>
      <c r="C1247" t="s">
        <v>1499</v>
      </c>
      <c r="D1247" t="s">
        <v>2031</v>
      </c>
      <c r="E1247" t="s">
        <v>2076</v>
      </c>
      <c r="F1247" t="s">
        <v>2081</v>
      </c>
      <c r="H1247" t="s">
        <v>2034</v>
      </c>
      <c r="I1247" t="s">
        <v>2045</v>
      </c>
      <c r="J1247" t="s">
        <v>2036</v>
      </c>
      <c r="K1247" t="s">
        <v>2082</v>
      </c>
      <c r="L1247" t="s">
        <v>124</v>
      </c>
      <c r="M1247" t="s">
        <v>2043</v>
      </c>
      <c r="N1247" t="s">
        <v>2039</v>
      </c>
      <c r="O1247" t="s">
        <v>2040</v>
      </c>
      <c r="Q1247" t="s">
        <v>57</v>
      </c>
      <c r="Y1247" t="s">
        <v>2083</v>
      </c>
      <c r="Z1247">
        <v>9405</v>
      </c>
      <c r="AE1247">
        <v>700</v>
      </c>
      <c r="AF1247" s="4">
        <v>0.75</v>
      </c>
      <c r="AG1247">
        <f t="shared" si="123"/>
        <v>175</v>
      </c>
      <c r="AH1247" s="4">
        <v>0.18</v>
      </c>
      <c r="AI1247">
        <f t="shared" si="118"/>
        <v>206.5</v>
      </c>
      <c r="AJ1247" s="4">
        <v>0.2</v>
      </c>
      <c r="AK1247">
        <f t="shared" si="119"/>
        <v>41.3</v>
      </c>
      <c r="AL1247">
        <f t="shared" si="120"/>
        <v>247.8</v>
      </c>
      <c r="AM1247">
        <f t="shared" si="121"/>
        <v>452.2</v>
      </c>
      <c r="AN1247" s="4">
        <f t="shared" si="122"/>
        <v>0.646</v>
      </c>
      <c r="AO1247" t="s">
        <v>221</v>
      </c>
      <c r="AQ1247" t="s">
        <v>217</v>
      </c>
      <c r="AT1247" t="s">
        <v>64</v>
      </c>
    </row>
    <row r="1248" ht="15.75" customHeight="1" spans="1:46">
      <c r="A1248" t="s">
        <v>2080</v>
      </c>
      <c r="B1248" t="s">
        <v>75</v>
      </c>
      <c r="C1248" t="s">
        <v>1499</v>
      </c>
      <c r="D1248" t="s">
        <v>2031</v>
      </c>
      <c r="E1248" t="s">
        <v>2076</v>
      </c>
      <c r="F1248" t="s">
        <v>2081</v>
      </c>
      <c r="H1248" t="s">
        <v>2034</v>
      </c>
      <c r="I1248" t="s">
        <v>2047</v>
      </c>
      <c r="J1248" t="s">
        <v>2036</v>
      </c>
      <c r="K1248" t="s">
        <v>2082</v>
      </c>
      <c r="L1248" t="s">
        <v>124</v>
      </c>
      <c r="M1248" t="s">
        <v>2038</v>
      </c>
      <c r="N1248" t="s">
        <v>2039</v>
      </c>
      <c r="O1248" t="s">
        <v>2040</v>
      </c>
      <c r="Q1248" t="s">
        <v>57</v>
      </c>
      <c r="Y1248" t="s">
        <v>2084</v>
      </c>
      <c r="Z1248">
        <v>9405</v>
      </c>
      <c r="AE1248">
        <v>800</v>
      </c>
      <c r="AF1248" s="4">
        <v>0.7</v>
      </c>
      <c r="AG1248">
        <f t="shared" si="123"/>
        <v>240</v>
      </c>
      <c r="AH1248" s="4">
        <v>0.18</v>
      </c>
      <c r="AI1248">
        <f t="shared" si="118"/>
        <v>283.2</v>
      </c>
      <c r="AJ1248" s="4">
        <v>0.2</v>
      </c>
      <c r="AK1248">
        <f t="shared" si="119"/>
        <v>56.64</v>
      </c>
      <c r="AL1248">
        <f t="shared" si="120"/>
        <v>339.84</v>
      </c>
      <c r="AM1248">
        <f t="shared" si="121"/>
        <v>460.16</v>
      </c>
      <c r="AN1248" s="4">
        <f t="shared" si="122"/>
        <v>0.5752</v>
      </c>
      <c r="AO1248" t="s">
        <v>221</v>
      </c>
      <c r="AQ1248" t="s">
        <v>217</v>
      </c>
      <c r="AT1248" t="s">
        <v>64</v>
      </c>
    </row>
    <row r="1249" ht="15.75" customHeight="1" spans="1:46">
      <c r="A1249" t="s">
        <v>2080</v>
      </c>
      <c r="B1249" t="s">
        <v>79</v>
      </c>
      <c r="C1249" t="s">
        <v>1499</v>
      </c>
      <c r="D1249" t="s">
        <v>2031</v>
      </c>
      <c r="E1249" t="s">
        <v>2076</v>
      </c>
      <c r="F1249" t="s">
        <v>2081</v>
      </c>
      <c r="H1249" t="s">
        <v>2034</v>
      </c>
      <c r="I1249" t="s">
        <v>2047</v>
      </c>
      <c r="J1249" t="s">
        <v>2036</v>
      </c>
      <c r="K1249" t="s">
        <v>2082</v>
      </c>
      <c r="L1249" t="s">
        <v>124</v>
      </c>
      <c r="M1249" t="s">
        <v>2042</v>
      </c>
      <c r="N1249" t="s">
        <v>2039</v>
      </c>
      <c r="O1249" t="s">
        <v>2040</v>
      </c>
      <c r="Q1249" t="s">
        <v>57</v>
      </c>
      <c r="Y1249" t="s">
        <v>2084</v>
      </c>
      <c r="Z1249">
        <v>9405</v>
      </c>
      <c r="AE1249">
        <v>800</v>
      </c>
      <c r="AF1249" s="4">
        <v>0.7</v>
      </c>
      <c r="AG1249">
        <f t="shared" si="123"/>
        <v>240</v>
      </c>
      <c r="AH1249" s="4">
        <v>0.18</v>
      </c>
      <c r="AI1249">
        <f t="shared" si="118"/>
        <v>283.2</v>
      </c>
      <c r="AJ1249" s="4">
        <v>0.2</v>
      </c>
      <c r="AK1249">
        <f t="shared" si="119"/>
        <v>56.64</v>
      </c>
      <c r="AL1249">
        <f t="shared" si="120"/>
        <v>339.84</v>
      </c>
      <c r="AM1249">
        <f t="shared" si="121"/>
        <v>460.16</v>
      </c>
      <c r="AN1249" s="4">
        <f t="shared" si="122"/>
        <v>0.5752</v>
      </c>
      <c r="AO1249" t="s">
        <v>221</v>
      </c>
      <c r="AQ1249" t="s">
        <v>217</v>
      </c>
      <c r="AT1249" t="s">
        <v>64</v>
      </c>
    </row>
    <row r="1250" ht="15.75" customHeight="1" spans="1:46">
      <c r="A1250" t="s">
        <v>2080</v>
      </c>
      <c r="B1250" t="s">
        <v>83</v>
      </c>
      <c r="C1250" t="s">
        <v>1499</v>
      </c>
      <c r="D1250" t="s">
        <v>2031</v>
      </c>
      <c r="E1250" t="s">
        <v>2076</v>
      </c>
      <c r="F1250" t="s">
        <v>2081</v>
      </c>
      <c r="H1250" t="s">
        <v>2034</v>
      </c>
      <c r="I1250" t="s">
        <v>2047</v>
      </c>
      <c r="J1250" t="s">
        <v>2036</v>
      </c>
      <c r="K1250" t="s">
        <v>2082</v>
      </c>
      <c r="L1250" t="s">
        <v>124</v>
      </c>
      <c r="M1250" t="s">
        <v>2043</v>
      </c>
      <c r="N1250" t="s">
        <v>2039</v>
      </c>
      <c r="O1250" t="s">
        <v>2040</v>
      </c>
      <c r="Q1250" t="s">
        <v>57</v>
      </c>
      <c r="Y1250" t="s">
        <v>2084</v>
      </c>
      <c r="Z1250">
        <v>9405</v>
      </c>
      <c r="AE1250">
        <v>800</v>
      </c>
      <c r="AF1250" s="4">
        <v>0.7</v>
      </c>
      <c r="AG1250">
        <f t="shared" si="123"/>
        <v>240</v>
      </c>
      <c r="AH1250" s="4">
        <v>0.18</v>
      </c>
      <c r="AI1250">
        <f t="shared" si="118"/>
        <v>283.2</v>
      </c>
      <c r="AJ1250" s="4">
        <v>0.2</v>
      </c>
      <c r="AK1250">
        <f t="shared" si="119"/>
        <v>56.64</v>
      </c>
      <c r="AL1250">
        <f t="shared" si="120"/>
        <v>339.84</v>
      </c>
      <c r="AM1250">
        <f t="shared" si="121"/>
        <v>460.16</v>
      </c>
      <c r="AN1250" s="4">
        <f t="shared" si="122"/>
        <v>0.5752</v>
      </c>
      <c r="AO1250" t="s">
        <v>221</v>
      </c>
      <c r="AQ1250" t="s">
        <v>217</v>
      </c>
      <c r="AT1250" t="s">
        <v>64</v>
      </c>
    </row>
    <row r="1251" ht="15.75" customHeight="1" spans="1:46">
      <c r="A1251" t="s">
        <v>2080</v>
      </c>
      <c r="B1251" t="s">
        <v>131</v>
      </c>
      <c r="C1251" t="s">
        <v>1499</v>
      </c>
      <c r="D1251" t="s">
        <v>2031</v>
      </c>
      <c r="E1251" t="s">
        <v>2076</v>
      </c>
      <c r="F1251" t="s">
        <v>2081</v>
      </c>
      <c r="H1251" t="s">
        <v>2034</v>
      </c>
      <c r="I1251" t="s">
        <v>2045</v>
      </c>
      <c r="J1251" t="s">
        <v>2036</v>
      </c>
      <c r="K1251" t="s">
        <v>2082</v>
      </c>
      <c r="L1251" t="s">
        <v>124</v>
      </c>
      <c r="M1251" t="s">
        <v>2038</v>
      </c>
      <c r="N1251" t="s">
        <v>2039</v>
      </c>
      <c r="O1251" t="s">
        <v>2051</v>
      </c>
      <c r="Q1251" t="s">
        <v>57</v>
      </c>
      <c r="Y1251" t="s">
        <v>2085</v>
      </c>
      <c r="Z1251">
        <v>9405</v>
      </c>
      <c r="AE1251">
        <v>700</v>
      </c>
      <c r="AF1251" s="4">
        <v>0.75</v>
      </c>
      <c r="AG1251">
        <f t="shared" si="123"/>
        <v>175</v>
      </c>
      <c r="AH1251" s="4">
        <v>0.18</v>
      </c>
      <c r="AI1251">
        <f t="shared" si="118"/>
        <v>206.5</v>
      </c>
      <c r="AJ1251" s="4">
        <v>0.2</v>
      </c>
      <c r="AK1251">
        <f t="shared" si="119"/>
        <v>41.3</v>
      </c>
      <c r="AL1251">
        <f t="shared" si="120"/>
        <v>247.8</v>
      </c>
      <c r="AM1251">
        <f t="shared" si="121"/>
        <v>452.2</v>
      </c>
      <c r="AN1251" s="4">
        <f t="shared" si="122"/>
        <v>0.646</v>
      </c>
      <c r="AO1251" t="s">
        <v>221</v>
      </c>
      <c r="AQ1251" t="s">
        <v>217</v>
      </c>
      <c r="AT1251" t="s">
        <v>64</v>
      </c>
    </row>
    <row r="1252" ht="15.75" customHeight="1" spans="1:46">
      <c r="A1252" t="s">
        <v>2080</v>
      </c>
      <c r="B1252" t="s">
        <v>133</v>
      </c>
      <c r="C1252" t="s">
        <v>1499</v>
      </c>
      <c r="D1252" t="s">
        <v>2031</v>
      </c>
      <c r="E1252" t="s">
        <v>2076</v>
      </c>
      <c r="F1252" t="s">
        <v>2081</v>
      </c>
      <c r="H1252" t="s">
        <v>2034</v>
      </c>
      <c r="I1252" t="s">
        <v>2045</v>
      </c>
      <c r="J1252" t="s">
        <v>2036</v>
      </c>
      <c r="K1252" t="s">
        <v>2082</v>
      </c>
      <c r="L1252" t="s">
        <v>124</v>
      </c>
      <c r="M1252" t="s">
        <v>2042</v>
      </c>
      <c r="N1252" t="s">
        <v>2039</v>
      </c>
      <c r="O1252" t="s">
        <v>2051</v>
      </c>
      <c r="Q1252" t="s">
        <v>57</v>
      </c>
      <c r="Y1252" t="s">
        <v>2085</v>
      </c>
      <c r="Z1252">
        <v>9405</v>
      </c>
      <c r="AE1252">
        <v>700</v>
      </c>
      <c r="AF1252" s="4">
        <v>0.75</v>
      </c>
      <c r="AG1252">
        <f t="shared" si="123"/>
        <v>175</v>
      </c>
      <c r="AH1252" s="4">
        <v>0.18</v>
      </c>
      <c r="AI1252">
        <f t="shared" si="118"/>
        <v>206.5</v>
      </c>
      <c r="AJ1252" s="4">
        <v>0.2</v>
      </c>
      <c r="AK1252">
        <f t="shared" si="119"/>
        <v>41.3</v>
      </c>
      <c r="AL1252">
        <f t="shared" si="120"/>
        <v>247.8</v>
      </c>
      <c r="AM1252">
        <f t="shared" si="121"/>
        <v>452.2</v>
      </c>
      <c r="AN1252" s="4">
        <f t="shared" si="122"/>
        <v>0.646</v>
      </c>
      <c r="AO1252" t="s">
        <v>221</v>
      </c>
      <c r="AQ1252" t="s">
        <v>217</v>
      </c>
      <c r="AT1252" t="s">
        <v>64</v>
      </c>
    </row>
    <row r="1253" ht="15.75" customHeight="1" spans="1:46">
      <c r="A1253" t="s">
        <v>2080</v>
      </c>
      <c r="B1253" t="s">
        <v>135</v>
      </c>
      <c r="C1253" t="s">
        <v>1499</v>
      </c>
      <c r="D1253" t="s">
        <v>2031</v>
      </c>
      <c r="E1253" t="s">
        <v>2076</v>
      </c>
      <c r="F1253" t="s">
        <v>2081</v>
      </c>
      <c r="H1253" t="s">
        <v>2034</v>
      </c>
      <c r="I1253" t="s">
        <v>2045</v>
      </c>
      <c r="J1253" t="s">
        <v>2036</v>
      </c>
      <c r="K1253" t="s">
        <v>2082</v>
      </c>
      <c r="L1253" t="s">
        <v>124</v>
      </c>
      <c r="M1253" t="s">
        <v>2043</v>
      </c>
      <c r="N1253" t="s">
        <v>2039</v>
      </c>
      <c r="O1253" t="s">
        <v>2051</v>
      </c>
      <c r="Q1253" t="s">
        <v>57</v>
      </c>
      <c r="Y1253" t="s">
        <v>2085</v>
      </c>
      <c r="Z1253">
        <v>9405</v>
      </c>
      <c r="AE1253">
        <v>700</v>
      </c>
      <c r="AF1253" s="4">
        <v>0.75</v>
      </c>
      <c r="AG1253">
        <f t="shared" si="123"/>
        <v>175</v>
      </c>
      <c r="AH1253" s="4">
        <v>0.18</v>
      </c>
      <c r="AI1253">
        <f t="shared" si="118"/>
        <v>206.5</v>
      </c>
      <c r="AJ1253" s="4">
        <v>0.2</v>
      </c>
      <c r="AK1253">
        <f t="shared" si="119"/>
        <v>41.3</v>
      </c>
      <c r="AL1253">
        <f t="shared" si="120"/>
        <v>247.8</v>
      </c>
      <c r="AM1253">
        <f t="shared" si="121"/>
        <v>452.2</v>
      </c>
      <c r="AN1253" s="4">
        <f t="shared" si="122"/>
        <v>0.646</v>
      </c>
      <c r="AO1253" t="s">
        <v>221</v>
      </c>
      <c r="AQ1253" t="s">
        <v>217</v>
      </c>
      <c r="AT1253" t="s">
        <v>64</v>
      </c>
    </row>
    <row r="1254" ht="15.75" customHeight="1" spans="1:46">
      <c r="A1254" t="s">
        <v>2080</v>
      </c>
      <c r="B1254" t="s">
        <v>137</v>
      </c>
      <c r="C1254" t="s">
        <v>1499</v>
      </c>
      <c r="D1254" t="s">
        <v>2031</v>
      </c>
      <c r="E1254" t="s">
        <v>2076</v>
      </c>
      <c r="F1254" t="s">
        <v>2081</v>
      </c>
      <c r="H1254" t="s">
        <v>2034</v>
      </c>
      <c r="I1254" t="s">
        <v>2047</v>
      </c>
      <c r="J1254" t="s">
        <v>2036</v>
      </c>
      <c r="K1254" t="s">
        <v>2082</v>
      </c>
      <c r="L1254" t="s">
        <v>124</v>
      </c>
      <c r="M1254" t="s">
        <v>2038</v>
      </c>
      <c r="N1254" t="s">
        <v>2039</v>
      </c>
      <c r="O1254" t="s">
        <v>2051</v>
      </c>
      <c r="Q1254" t="s">
        <v>57</v>
      </c>
      <c r="Y1254" t="s">
        <v>2086</v>
      </c>
      <c r="Z1254">
        <v>9405</v>
      </c>
      <c r="AE1254">
        <v>800</v>
      </c>
      <c r="AF1254" s="4">
        <v>0.7</v>
      </c>
      <c r="AG1254">
        <f t="shared" si="123"/>
        <v>240</v>
      </c>
      <c r="AH1254" s="4">
        <v>0.18</v>
      </c>
      <c r="AI1254">
        <f t="shared" si="118"/>
        <v>283.2</v>
      </c>
      <c r="AJ1254" s="4">
        <v>0.2</v>
      </c>
      <c r="AK1254">
        <f t="shared" si="119"/>
        <v>56.64</v>
      </c>
      <c r="AL1254">
        <f t="shared" si="120"/>
        <v>339.84</v>
      </c>
      <c r="AM1254">
        <f t="shared" si="121"/>
        <v>460.16</v>
      </c>
      <c r="AN1254" s="4">
        <f t="shared" si="122"/>
        <v>0.5752</v>
      </c>
      <c r="AO1254" t="s">
        <v>221</v>
      </c>
      <c r="AQ1254" t="s">
        <v>217</v>
      </c>
      <c r="AT1254" t="s">
        <v>64</v>
      </c>
    </row>
    <row r="1255" ht="15.75" customHeight="1" spans="1:46">
      <c r="A1255" t="s">
        <v>2080</v>
      </c>
      <c r="B1255" t="s">
        <v>138</v>
      </c>
      <c r="C1255" t="s">
        <v>1499</v>
      </c>
      <c r="D1255" t="s">
        <v>2031</v>
      </c>
      <c r="E1255" t="s">
        <v>2076</v>
      </c>
      <c r="F1255" t="s">
        <v>2081</v>
      </c>
      <c r="H1255" t="s">
        <v>2034</v>
      </c>
      <c r="I1255" t="s">
        <v>2047</v>
      </c>
      <c r="J1255" t="s">
        <v>2036</v>
      </c>
      <c r="K1255" t="s">
        <v>2082</v>
      </c>
      <c r="L1255" t="s">
        <v>124</v>
      </c>
      <c r="M1255" t="s">
        <v>2042</v>
      </c>
      <c r="N1255" t="s">
        <v>2039</v>
      </c>
      <c r="O1255" t="s">
        <v>2051</v>
      </c>
      <c r="Q1255" t="s">
        <v>57</v>
      </c>
      <c r="Y1255" t="s">
        <v>2086</v>
      </c>
      <c r="Z1255">
        <v>9405</v>
      </c>
      <c r="AE1255">
        <v>800</v>
      </c>
      <c r="AF1255" s="4">
        <v>0.7</v>
      </c>
      <c r="AG1255">
        <f t="shared" si="123"/>
        <v>240</v>
      </c>
      <c r="AH1255" s="4">
        <v>0.18</v>
      </c>
      <c r="AI1255">
        <f t="shared" si="118"/>
        <v>283.2</v>
      </c>
      <c r="AJ1255" s="4">
        <v>0.2</v>
      </c>
      <c r="AK1255">
        <f t="shared" si="119"/>
        <v>56.64</v>
      </c>
      <c r="AL1255">
        <f t="shared" si="120"/>
        <v>339.84</v>
      </c>
      <c r="AM1255">
        <f t="shared" si="121"/>
        <v>460.16</v>
      </c>
      <c r="AN1255" s="4">
        <f t="shared" si="122"/>
        <v>0.5752</v>
      </c>
      <c r="AO1255" t="s">
        <v>221</v>
      </c>
      <c r="AQ1255" t="s">
        <v>217</v>
      </c>
      <c r="AT1255" t="s">
        <v>64</v>
      </c>
    </row>
    <row r="1256" ht="15.75" customHeight="1" spans="1:46">
      <c r="A1256" t="s">
        <v>2080</v>
      </c>
      <c r="B1256" t="s">
        <v>140</v>
      </c>
      <c r="C1256" t="s">
        <v>1499</v>
      </c>
      <c r="D1256" t="s">
        <v>2031</v>
      </c>
      <c r="E1256" t="s">
        <v>2076</v>
      </c>
      <c r="F1256" t="s">
        <v>2081</v>
      </c>
      <c r="H1256" t="s">
        <v>2034</v>
      </c>
      <c r="I1256" t="s">
        <v>2047</v>
      </c>
      <c r="J1256" t="s">
        <v>2036</v>
      </c>
      <c r="K1256" t="s">
        <v>2082</v>
      </c>
      <c r="L1256" t="s">
        <v>124</v>
      </c>
      <c r="M1256" t="s">
        <v>2043</v>
      </c>
      <c r="N1256" t="s">
        <v>2039</v>
      </c>
      <c r="O1256" t="s">
        <v>2051</v>
      </c>
      <c r="Q1256" t="s">
        <v>57</v>
      </c>
      <c r="Y1256" t="s">
        <v>2086</v>
      </c>
      <c r="Z1256">
        <v>9405</v>
      </c>
      <c r="AE1256">
        <v>800</v>
      </c>
      <c r="AF1256" s="4">
        <v>0.7</v>
      </c>
      <c r="AG1256">
        <f t="shared" si="123"/>
        <v>240</v>
      </c>
      <c r="AH1256" s="4">
        <v>0.18</v>
      </c>
      <c r="AI1256">
        <f t="shared" si="118"/>
        <v>283.2</v>
      </c>
      <c r="AJ1256" s="4">
        <v>0.2</v>
      </c>
      <c r="AK1256">
        <f t="shared" si="119"/>
        <v>56.64</v>
      </c>
      <c r="AL1256">
        <f t="shared" si="120"/>
        <v>339.84</v>
      </c>
      <c r="AM1256">
        <f t="shared" si="121"/>
        <v>460.16</v>
      </c>
      <c r="AN1256" s="4">
        <f t="shared" si="122"/>
        <v>0.5752</v>
      </c>
      <c r="AO1256" t="s">
        <v>221</v>
      </c>
      <c r="AQ1256" t="s">
        <v>217</v>
      </c>
      <c r="AT1256" t="s">
        <v>64</v>
      </c>
    </row>
    <row r="1257" ht="15.75" customHeight="1" spans="1:46">
      <c r="A1257" t="s">
        <v>2087</v>
      </c>
      <c r="B1257" t="s">
        <v>46</v>
      </c>
      <c r="C1257" t="s">
        <v>1499</v>
      </c>
      <c r="D1257" t="s">
        <v>2088</v>
      </c>
      <c r="E1257" t="s">
        <v>2032</v>
      </c>
      <c r="F1257" t="s">
        <v>2089</v>
      </c>
      <c r="H1257" t="s">
        <v>2034</v>
      </c>
      <c r="I1257" t="s">
        <v>2064</v>
      </c>
      <c r="J1257" t="s">
        <v>1127</v>
      </c>
      <c r="K1257" t="s">
        <v>2090</v>
      </c>
      <c r="L1257" t="s">
        <v>124</v>
      </c>
      <c r="M1257" t="s">
        <v>2038</v>
      </c>
      <c r="N1257" t="s">
        <v>2039</v>
      </c>
      <c r="O1257" t="s">
        <v>2040</v>
      </c>
      <c r="Q1257" t="s">
        <v>57</v>
      </c>
      <c r="Y1257" t="s">
        <v>2091</v>
      </c>
      <c r="Z1257">
        <v>9405</v>
      </c>
      <c r="AE1257">
        <v>800</v>
      </c>
      <c r="AF1257" s="4">
        <v>0.37</v>
      </c>
      <c r="AG1257">
        <f t="shared" si="123"/>
        <v>504</v>
      </c>
      <c r="AH1257" s="4">
        <v>0.18</v>
      </c>
      <c r="AI1257">
        <f t="shared" si="118"/>
        <v>594.72</v>
      </c>
      <c r="AJ1257" s="4">
        <v>0.2</v>
      </c>
      <c r="AK1257">
        <f t="shared" si="119"/>
        <v>118.94</v>
      </c>
      <c r="AL1257">
        <f t="shared" si="120"/>
        <v>713.66</v>
      </c>
      <c r="AM1257">
        <f t="shared" si="121"/>
        <v>86.3399999999999</v>
      </c>
      <c r="AN1257" s="4">
        <f t="shared" si="122"/>
        <v>0.107925</v>
      </c>
      <c r="AO1257" t="s">
        <v>64</v>
      </c>
      <c r="AQ1257" t="s">
        <v>217</v>
      </c>
      <c r="AT1257" t="s">
        <v>64</v>
      </c>
    </row>
    <row r="1258" ht="15.75" customHeight="1" spans="1:46">
      <c r="A1258" t="s">
        <v>2087</v>
      </c>
      <c r="B1258" t="s">
        <v>67</v>
      </c>
      <c r="C1258" t="s">
        <v>1499</v>
      </c>
      <c r="D1258" t="s">
        <v>2088</v>
      </c>
      <c r="E1258" t="s">
        <v>2032</v>
      </c>
      <c r="F1258" t="s">
        <v>2089</v>
      </c>
      <c r="H1258" t="s">
        <v>2034</v>
      </c>
      <c r="I1258" t="s">
        <v>2064</v>
      </c>
      <c r="J1258" t="s">
        <v>1127</v>
      </c>
      <c r="K1258" t="s">
        <v>2090</v>
      </c>
      <c r="L1258" t="s">
        <v>124</v>
      </c>
      <c r="M1258" t="s">
        <v>2042</v>
      </c>
      <c r="N1258" t="s">
        <v>2039</v>
      </c>
      <c r="O1258" t="s">
        <v>2040</v>
      </c>
      <c r="Q1258" t="s">
        <v>57</v>
      </c>
      <c r="Y1258" t="s">
        <v>2091</v>
      </c>
      <c r="Z1258">
        <v>9405</v>
      </c>
      <c r="AE1258">
        <v>800</v>
      </c>
      <c r="AF1258" s="4">
        <v>0.37</v>
      </c>
      <c r="AG1258">
        <f t="shared" si="123"/>
        <v>504</v>
      </c>
      <c r="AH1258" s="4">
        <v>0.18</v>
      </c>
      <c r="AI1258">
        <f t="shared" si="118"/>
        <v>594.72</v>
      </c>
      <c r="AJ1258" s="4">
        <v>0.2</v>
      </c>
      <c r="AK1258">
        <f t="shared" si="119"/>
        <v>118.94</v>
      </c>
      <c r="AL1258">
        <f t="shared" si="120"/>
        <v>713.66</v>
      </c>
      <c r="AM1258">
        <f t="shared" si="121"/>
        <v>86.3399999999999</v>
      </c>
      <c r="AN1258" s="4">
        <f t="shared" si="122"/>
        <v>0.107925</v>
      </c>
      <c r="AO1258" t="s">
        <v>64</v>
      </c>
      <c r="AQ1258" t="s">
        <v>217</v>
      </c>
      <c r="AT1258" t="s">
        <v>64</v>
      </c>
    </row>
    <row r="1259" ht="15.75" customHeight="1" spans="1:46">
      <c r="A1259" t="s">
        <v>2087</v>
      </c>
      <c r="B1259" t="s">
        <v>71</v>
      </c>
      <c r="C1259" t="s">
        <v>1499</v>
      </c>
      <c r="D1259" t="s">
        <v>2088</v>
      </c>
      <c r="E1259" t="s">
        <v>2032</v>
      </c>
      <c r="F1259" t="s">
        <v>2089</v>
      </c>
      <c r="H1259" t="s">
        <v>2034</v>
      </c>
      <c r="I1259" t="s">
        <v>2064</v>
      </c>
      <c r="J1259" t="s">
        <v>1127</v>
      </c>
      <c r="K1259" t="s">
        <v>2090</v>
      </c>
      <c r="L1259" t="s">
        <v>124</v>
      </c>
      <c r="M1259" t="s">
        <v>2043</v>
      </c>
      <c r="N1259" t="s">
        <v>2039</v>
      </c>
      <c r="O1259" t="s">
        <v>2040</v>
      </c>
      <c r="Q1259" t="s">
        <v>57</v>
      </c>
      <c r="Y1259" t="s">
        <v>2091</v>
      </c>
      <c r="Z1259">
        <v>9405</v>
      </c>
      <c r="AE1259">
        <v>800</v>
      </c>
      <c r="AF1259" s="4">
        <v>0.37</v>
      </c>
      <c r="AG1259">
        <f t="shared" si="123"/>
        <v>504</v>
      </c>
      <c r="AH1259" s="4">
        <v>0.18</v>
      </c>
      <c r="AI1259">
        <f t="shared" si="118"/>
        <v>594.72</v>
      </c>
      <c r="AJ1259" s="4">
        <v>0.2</v>
      </c>
      <c r="AK1259">
        <f t="shared" si="119"/>
        <v>118.94</v>
      </c>
      <c r="AL1259">
        <f t="shared" si="120"/>
        <v>713.66</v>
      </c>
      <c r="AM1259">
        <f t="shared" si="121"/>
        <v>86.3399999999999</v>
      </c>
      <c r="AN1259" s="4">
        <f t="shared" si="122"/>
        <v>0.107925</v>
      </c>
      <c r="AO1259" t="s">
        <v>64</v>
      </c>
      <c r="AQ1259" t="s">
        <v>217</v>
      </c>
      <c r="AT1259" t="s">
        <v>64</v>
      </c>
    </row>
    <row r="1260" ht="15.75" customHeight="1" spans="1:46">
      <c r="A1260" t="s">
        <v>2087</v>
      </c>
      <c r="B1260" t="s">
        <v>75</v>
      </c>
      <c r="C1260" t="s">
        <v>1499</v>
      </c>
      <c r="D1260" t="s">
        <v>2088</v>
      </c>
      <c r="E1260" t="s">
        <v>2032</v>
      </c>
      <c r="F1260" t="s">
        <v>2089</v>
      </c>
      <c r="H1260" t="s">
        <v>2034</v>
      </c>
      <c r="I1260" t="s">
        <v>2064</v>
      </c>
      <c r="J1260" t="s">
        <v>1127</v>
      </c>
      <c r="K1260" t="s">
        <v>2090</v>
      </c>
      <c r="L1260" t="s">
        <v>124</v>
      </c>
      <c r="M1260" t="s">
        <v>2038</v>
      </c>
      <c r="N1260" t="s">
        <v>2039</v>
      </c>
      <c r="O1260" t="s">
        <v>2051</v>
      </c>
      <c r="Q1260" t="s">
        <v>57</v>
      </c>
      <c r="Y1260" t="s">
        <v>2092</v>
      </c>
      <c r="Z1260">
        <v>9405</v>
      </c>
      <c r="AE1260">
        <v>800</v>
      </c>
      <c r="AF1260" s="4">
        <v>0.42</v>
      </c>
      <c r="AG1260">
        <f t="shared" si="123"/>
        <v>464</v>
      </c>
      <c r="AH1260" s="4">
        <v>0.18</v>
      </c>
      <c r="AI1260">
        <f t="shared" si="118"/>
        <v>547.52</v>
      </c>
      <c r="AJ1260" s="4">
        <v>0.2</v>
      </c>
      <c r="AK1260">
        <f t="shared" si="119"/>
        <v>109.5</v>
      </c>
      <c r="AL1260">
        <f t="shared" si="120"/>
        <v>657.02</v>
      </c>
      <c r="AM1260">
        <f t="shared" si="121"/>
        <v>142.98</v>
      </c>
      <c r="AN1260" s="4">
        <f t="shared" si="122"/>
        <v>0.178725</v>
      </c>
      <c r="AO1260" t="s">
        <v>64</v>
      </c>
      <c r="AQ1260" t="s">
        <v>217</v>
      </c>
      <c r="AT1260" t="s">
        <v>64</v>
      </c>
    </row>
    <row r="1261" ht="15.75" customHeight="1" spans="1:46">
      <c r="A1261" t="s">
        <v>2087</v>
      </c>
      <c r="B1261" t="s">
        <v>79</v>
      </c>
      <c r="C1261" t="s">
        <v>1499</v>
      </c>
      <c r="D1261" t="s">
        <v>2088</v>
      </c>
      <c r="E1261" t="s">
        <v>2032</v>
      </c>
      <c r="F1261" t="s">
        <v>2089</v>
      </c>
      <c r="H1261" t="s">
        <v>2034</v>
      </c>
      <c r="I1261" t="s">
        <v>2064</v>
      </c>
      <c r="J1261" t="s">
        <v>1127</v>
      </c>
      <c r="K1261" t="s">
        <v>2090</v>
      </c>
      <c r="L1261" t="s">
        <v>124</v>
      </c>
      <c r="M1261" t="s">
        <v>2042</v>
      </c>
      <c r="N1261" t="s">
        <v>2039</v>
      </c>
      <c r="O1261" t="s">
        <v>2051</v>
      </c>
      <c r="Q1261" t="s">
        <v>57</v>
      </c>
      <c r="Y1261" t="s">
        <v>2092</v>
      </c>
      <c r="Z1261">
        <v>9405</v>
      </c>
      <c r="AE1261">
        <v>800</v>
      </c>
      <c r="AF1261" s="4">
        <v>0.42</v>
      </c>
      <c r="AG1261">
        <f t="shared" si="123"/>
        <v>464</v>
      </c>
      <c r="AH1261" s="4">
        <v>0.18</v>
      </c>
      <c r="AI1261">
        <f t="shared" si="118"/>
        <v>547.52</v>
      </c>
      <c r="AJ1261" s="4">
        <v>0.2</v>
      </c>
      <c r="AK1261">
        <f t="shared" si="119"/>
        <v>109.5</v>
      </c>
      <c r="AL1261">
        <f t="shared" si="120"/>
        <v>657.02</v>
      </c>
      <c r="AM1261">
        <f t="shared" si="121"/>
        <v>142.98</v>
      </c>
      <c r="AN1261" s="4">
        <f t="shared" si="122"/>
        <v>0.178725</v>
      </c>
      <c r="AO1261" t="s">
        <v>64</v>
      </c>
      <c r="AQ1261" t="s">
        <v>217</v>
      </c>
      <c r="AT1261" t="s">
        <v>64</v>
      </c>
    </row>
    <row r="1262" ht="15.75" customHeight="1" spans="1:46">
      <c r="A1262" t="s">
        <v>2087</v>
      </c>
      <c r="B1262" t="s">
        <v>83</v>
      </c>
      <c r="C1262" t="s">
        <v>1499</v>
      </c>
      <c r="D1262" t="s">
        <v>2088</v>
      </c>
      <c r="E1262" t="s">
        <v>2032</v>
      </c>
      <c r="F1262" t="s">
        <v>2089</v>
      </c>
      <c r="H1262" t="s">
        <v>2034</v>
      </c>
      <c r="I1262" t="s">
        <v>2064</v>
      </c>
      <c r="J1262" t="s">
        <v>1127</v>
      </c>
      <c r="K1262" t="s">
        <v>2090</v>
      </c>
      <c r="L1262" t="s">
        <v>124</v>
      </c>
      <c r="M1262" t="s">
        <v>2043</v>
      </c>
      <c r="N1262" t="s">
        <v>2039</v>
      </c>
      <c r="O1262" t="s">
        <v>2051</v>
      </c>
      <c r="Q1262" t="s">
        <v>57</v>
      </c>
      <c r="Y1262" t="s">
        <v>2092</v>
      </c>
      <c r="Z1262">
        <v>9405</v>
      </c>
      <c r="AE1262">
        <v>800</v>
      </c>
      <c r="AF1262" s="4">
        <v>0.42</v>
      </c>
      <c r="AG1262">
        <f t="shared" si="123"/>
        <v>464</v>
      </c>
      <c r="AH1262" s="4">
        <v>0.18</v>
      </c>
      <c r="AI1262">
        <f t="shared" si="118"/>
        <v>547.52</v>
      </c>
      <c r="AJ1262" s="4">
        <v>0.2</v>
      </c>
      <c r="AK1262">
        <f t="shared" si="119"/>
        <v>109.5</v>
      </c>
      <c r="AL1262">
        <f t="shared" si="120"/>
        <v>657.02</v>
      </c>
      <c r="AM1262">
        <f t="shared" si="121"/>
        <v>142.98</v>
      </c>
      <c r="AN1262" s="4">
        <f t="shared" si="122"/>
        <v>0.178725</v>
      </c>
      <c r="AO1262" t="s">
        <v>64</v>
      </c>
      <c r="AQ1262" t="s">
        <v>217</v>
      </c>
      <c r="AT1262" t="s">
        <v>64</v>
      </c>
    </row>
    <row r="1263" ht="15.75" customHeight="1" spans="1:46">
      <c r="A1263" t="s">
        <v>2087</v>
      </c>
      <c r="B1263" t="s">
        <v>131</v>
      </c>
      <c r="C1263" t="s">
        <v>1499</v>
      </c>
      <c r="D1263" t="s">
        <v>2088</v>
      </c>
      <c r="E1263" t="s">
        <v>2032</v>
      </c>
      <c r="F1263" t="s">
        <v>2089</v>
      </c>
      <c r="H1263" t="s">
        <v>2034</v>
      </c>
      <c r="I1263" t="s">
        <v>2068</v>
      </c>
      <c r="J1263" t="s">
        <v>1127</v>
      </c>
      <c r="K1263" t="s">
        <v>2090</v>
      </c>
      <c r="L1263" t="s">
        <v>124</v>
      </c>
      <c r="M1263" t="s">
        <v>2038</v>
      </c>
      <c r="N1263" t="s">
        <v>2039</v>
      </c>
      <c r="O1263" t="s">
        <v>2040</v>
      </c>
      <c r="Q1263" t="s">
        <v>57</v>
      </c>
      <c r="Y1263" t="s">
        <v>2091</v>
      </c>
      <c r="Z1263">
        <v>9405</v>
      </c>
      <c r="AE1263">
        <v>1365</v>
      </c>
      <c r="AF1263" s="4">
        <v>0.42</v>
      </c>
      <c r="AG1263">
        <f t="shared" si="123"/>
        <v>791.7</v>
      </c>
      <c r="AH1263" s="4">
        <v>0.18</v>
      </c>
      <c r="AI1263">
        <f t="shared" si="118"/>
        <v>934.21</v>
      </c>
      <c r="AJ1263" s="4">
        <v>0.2</v>
      </c>
      <c r="AK1263">
        <f t="shared" si="119"/>
        <v>186.84</v>
      </c>
      <c r="AL1263">
        <f t="shared" si="120"/>
        <v>1121.05</v>
      </c>
      <c r="AM1263">
        <f t="shared" si="121"/>
        <v>243.95</v>
      </c>
      <c r="AN1263" s="4">
        <f t="shared" si="122"/>
        <v>0.178717948717949</v>
      </c>
      <c r="AO1263" t="s">
        <v>64</v>
      </c>
      <c r="AQ1263" t="s">
        <v>217</v>
      </c>
      <c r="AT1263" t="s">
        <v>64</v>
      </c>
    </row>
    <row r="1264" ht="15.75" customHeight="1" spans="1:46">
      <c r="A1264" t="s">
        <v>2087</v>
      </c>
      <c r="B1264" t="s">
        <v>133</v>
      </c>
      <c r="C1264" t="s">
        <v>1499</v>
      </c>
      <c r="D1264" t="s">
        <v>2088</v>
      </c>
      <c r="E1264" t="s">
        <v>2032</v>
      </c>
      <c r="F1264" t="s">
        <v>2089</v>
      </c>
      <c r="H1264" t="s">
        <v>2034</v>
      </c>
      <c r="I1264" t="s">
        <v>2068</v>
      </c>
      <c r="J1264" t="s">
        <v>1127</v>
      </c>
      <c r="K1264" t="s">
        <v>2090</v>
      </c>
      <c r="L1264" t="s">
        <v>124</v>
      </c>
      <c r="M1264" t="s">
        <v>2042</v>
      </c>
      <c r="N1264" t="s">
        <v>2039</v>
      </c>
      <c r="O1264" t="s">
        <v>2040</v>
      </c>
      <c r="Q1264" t="s">
        <v>57</v>
      </c>
      <c r="Y1264" t="s">
        <v>2091</v>
      </c>
      <c r="Z1264">
        <v>9405</v>
      </c>
      <c r="AE1264">
        <v>1365</v>
      </c>
      <c r="AF1264" s="4">
        <v>0.42</v>
      </c>
      <c r="AG1264">
        <f t="shared" si="123"/>
        <v>791.7</v>
      </c>
      <c r="AH1264" s="4">
        <v>0.18</v>
      </c>
      <c r="AI1264">
        <f t="shared" si="118"/>
        <v>934.21</v>
      </c>
      <c r="AJ1264" s="4">
        <v>0.2</v>
      </c>
      <c r="AK1264">
        <f t="shared" si="119"/>
        <v>186.84</v>
      </c>
      <c r="AL1264">
        <f t="shared" si="120"/>
        <v>1121.05</v>
      </c>
      <c r="AM1264">
        <f t="shared" si="121"/>
        <v>243.95</v>
      </c>
      <c r="AN1264" s="4">
        <f t="shared" si="122"/>
        <v>0.178717948717949</v>
      </c>
      <c r="AO1264" t="s">
        <v>64</v>
      </c>
      <c r="AQ1264" t="s">
        <v>217</v>
      </c>
      <c r="AT1264" t="s">
        <v>64</v>
      </c>
    </row>
    <row r="1265" ht="15.75" customHeight="1" spans="1:46">
      <c r="A1265" t="s">
        <v>2087</v>
      </c>
      <c r="B1265" t="s">
        <v>135</v>
      </c>
      <c r="C1265" t="s">
        <v>1499</v>
      </c>
      <c r="D1265" t="s">
        <v>2088</v>
      </c>
      <c r="E1265" t="s">
        <v>2032</v>
      </c>
      <c r="F1265" t="s">
        <v>2089</v>
      </c>
      <c r="H1265" t="s">
        <v>2034</v>
      </c>
      <c r="I1265" t="s">
        <v>2068</v>
      </c>
      <c r="J1265" t="s">
        <v>1127</v>
      </c>
      <c r="K1265" t="s">
        <v>2090</v>
      </c>
      <c r="L1265" t="s">
        <v>124</v>
      </c>
      <c r="M1265" t="s">
        <v>2043</v>
      </c>
      <c r="N1265" t="s">
        <v>2039</v>
      </c>
      <c r="O1265" t="s">
        <v>2040</v>
      </c>
      <c r="Q1265" t="s">
        <v>57</v>
      </c>
      <c r="Y1265" t="s">
        <v>2091</v>
      </c>
      <c r="Z1265">
        <v>9405</v>
      </c>
      <c r="AE1265">
        <v>1365</v>
      </c>
      <c r="AF1265" s="4">
        <v>0.42</v>
      </c>
      <c r="AG1265">
        <f t="shared" si="123"/>
        <v>791.7</v>
      </c>
      <c r="AH1265" s="4">
        <v>0.18</v>
      </c>
      <c r="AI1265">
        <f t="shared" si="118"/>
        <v>934.21</v>
      </c>
      <c r="AJ1265" s="4">
        <v>0.2</v>
      </c>
      <c r="AK1265">
        <f t="shared" si="119"/>
        <v>186.84</v>
      </c>
      <c r="AL1265">
        <f t="shared" si="120"/>
        <v>1121.05</v>
      </c>
      <c r="AM1265">
        <f t="shared" si="121"/>
        <v>243.95</v>
      </c>
      <c r="AN1265" s="4">
        <f t="shared" si="122"/>
        <v>0.178717948717949</v>
      </c>
      <c r="AO1265" t="s">
        <v>64</v>
      </c>
      <c r="AQ1265" t="s">
        <v>217</v>
      </c>
      <c r="AT1265" t="s">
        <v>64</v>
      </c>
    </row>
    <row r="1266" ht="15.75" customHeight="1" spans="1:46">
      <c r="A1266" t="s">
        <v>2087</v>
      </c>
      <c r="B1266" t="s">
        <v>137</v>
      </c>
      <c r="C1266" t="s">
        <v>1499</v>
      </c>
      <c r="D1266" t="s">
        <v>2088</v>
      </c>
      <c r="E1266" t="s">
        <v>2032</v>
      </c>
      <c r="F1266" t="s">
        <v>2089</v>
      </c>
      <c r="H1266" t="s">
        <v>2034</v>
      </c>
      <c r="I1266" t="s">
        <v>2068</v>
      </c>
      <c r="J1266" t="s">
        <v>1127</v>
      </c>
      <c r="K1266" t="s">
        <v>2090</v>
      </c>
      <c r="L1266" t="s">
        <v>124</v>
      </c>
      <c r="M1266" t="s">
        <v>2038</v>
      </c>
      <c r="N1266" t="s">
        <v>2039</v>
      </c>
      <c r="O1266" t="s">
        <v>2051</v>
      </c>
      <c r="Q1266" t="s">
        <v>57</v>
      </c>
      <c r="Y1266" t="s">
        <v>2092</v>
      </c>
      <c r="Z1266">
        <v>9405</v>
      </c>
      <c r="AE1266">
        <v>1365</v>
      </c>
      <c r="AF1266" s="4">
        <v>0.42</v>
      </c>
      <c r="AG1266">
        <f t="shared" si="123"/>
        <v>791.7</v>
      </c>
      <c r="AH1266" s="4">
        <v>0.18</v>
      </c>
      <c r="AI1266">
        <f t="shared" si="118"/>
        <v>934.21</v>
      </c>
      <c r="AJ1266" s="4">
        <v>0.2</v>
      </c>
      <c r="AK1266">
        <f t="shared" si="119"/>
        <v>186.84</v>
      </c>
      <c r="AL1266">
        <f t="shared" si="120"/>
        <v>1121.05</v>
      </c>
      <c r="AM1266">
        <f t="shared" si="121"/>
        <v>243.95</v>
      </c>
      <c r="AN1266" s="4">
        <f t="shared" si="122"/>
        <v>0.178717948717949</v>
      </c>
      <c r="AO1266" t="s">
        <v>64</v>
      </c>
      <c r="AQ1266" t="s">
        <v>217</v>
      </c>
      <c r="AT1266" t="s">
        <v>64</v>
      </c>
    </row>
    <row r="1267" ht="15.75" customHeight="1" spans="1:46">
      <c r="A1267" t="s">
        <v>2087</v>
      </c>
      <c r="B1267" t="s">
        <v>138</v>
      </c>
      <c r="C1267" t="s">
        <v>1499</v>
      </c>
      <c r="D1267" t="s">
        <v>2088</v>
      </c>
      <c r="E1267" t="s">
        <v>2032</v>
      </c>
      <c r="F1267" t="s">
        <v>2089</v>
      </c>
      <c r="H1267" t="s">
        <v>2034</v>
      </c>
      <c r="I1267" t="s">
        <v>2068</v>
      </c>
      <c r="J1267" t="s">
        <v>1127</v>
      </c>
      <c r="K1267" t="s">
        <v>2090</v>
      </c>
      <c r="L1267" t="s">
        <v>124</v>
      </c>
      <c r="M1267" t="s">
        <v>2042</v>
      </c>
      <c r="N1267" t="s">
        <v>2039</v>
      </c>
      <c r="O1267" t="s">
        <v>2051</v>
      </c>
      <c r="Q1267" t="s">
        <v>57</v>
      </c>
      <c r="Y1267" t="s">
        <v>2092</v>
      </c>
      <c r="Z1267">
        <v>9405</v>
      </c>
      <c r="AE1267">
        <v>1365</v>
      </c>
      <c r="AF1267" s="4">
        <v>0.42</v>
      </c>
      <c r="AG1267">
        <f t="shared" si="123"/>
        <v>791.7</v>
      </c>
      <c r="AH1267" s="4">
        <v>0.18</v>
      </c>
      <c r="AI1267">
        <f t="shared" si="118"/>
        <v>934.21</v>
      </c>
      <c r="AJ1267" s="4">
        <v>0.2</v>
      </c>
      <c r="AK1267">
        <f t="shared" si="119"/>
        <v>186.84</v>
      </c>
      <c r="AL1267">
        <f t="shared" si="120"/>
        <v>1121.05</v>
      </c>
      <c r="AM1267">
        <f t="shared" si="121"/>
        <v>243.95</v>
      </c>
      <c r="AN1267" s="4">
        <f t="shared" si="122"/>
        <v>0.178717948717949</v>
      </c>
      <c r="AO1267" t="s">
        <v>64</v>
      </c>
      <c r="AQ1267" t="s">
        <v>217</v>
      </c>
      <c r="AT1267" t="s">
        <v>64</v>
      </c>
    </row>
    <row r="1268" ht="15.75" customHeight="1" spans="1:46">
      <c r="A1268" t="s">
        <v>2087</v>
      </c>
      <c r="B1268" t="s">
        <v>140</v>
      </c>
      <c r="C1268" t="s">
        <v>1499</v>
      </c>
      <c r="D1268" t="s">
        <v>2088</v>
      </c>
      <c r="E1268" t="s">
        <v>2032</v>
      </c>
      <c r="F1268" t="s">
        <v>2089</v>
      </c>
      <c r="H1268" t="s">
        <v>2034</v>
      </c>
      <c r="I1268" t="s">
        <v>2068</v>
      </c>
      <c r="J1268" t="s">
        <v>1127</v>
      </c>
      <c r="K1268" t="s">
        <v>2090</v>
      </c>
      <c r="L1268" t="s">
        <v>124</v>
      </c>
      <c r="M1268" t="s">
        <v>2043</v>
      </c>
      <c r="N1268" t="s">
        <v>2039</v>
      </c>
      <c r="O1268" t="s">
        <v>2051</v>
      </c>
      <c r="Q1268" t="s">
        <v>57</v>
      </c>
      <c r="Y1268" t="s">
        <v>2092</v>
      </c>
      <c r="Z1268">
        <v>9405</v>
      </c>
      <c r="AE1268">
        <v>1365</v>
      </c>
      <c r="AF1268" s="4">
        <v>0.42</v>
      </c>
      <c r="AG1268">
        <f t="shared" si="123"/>
        <v>791.7</v>
      </c>
      <c r="AH1268" s="4">
        <v>0.18</v>
      </c>
      <c r="AI1268">
        <f t="shared" si="118"/>
        <v>934.21</v>
      </c>
      <c r="AJ1268" s="4">
        <v>0.2</v>
      </c>
      <c r="AK1268">
        <f t="shared" si="119"/>
        <v>186.84</v>
      </c>
      <c r="AL1268">
        <f t="shared" si="120"/>
        <v>1121.05</v>
      </c>
      <c r="AM1268">
        <f t="shared" si="121"/>
        <v>243.95</v>
      </c>
      <c r="AN1268" s="4">
        <f t="shared" si="122"/>
        <v>0.178717948717949</v>
      </c>
      <c r="AO1268" t="s">
        <v>64</v>
      </c>
      <c r="AQ1268" t="s">
        <v>217</v>
      </c>
      <c r="AT1268" t="s">
        <v>64</v>
      </c>
    </row>
    <row r="1269" ht="15.75" customHeight="1" spans="1:46">
      <c r="A1269" t="s">
        <v>2093</v>
      </c>
      <c r="B1269" t="s">
        <v>46</v>
      </c>
      <c r="C1269" t="s">
        <v>1499</v>
      </c>
      <c r="D1269" t="s">
        <v>2088</v>
      </c>
      <c r="E1269" t="s">
        <v>2076</v>
      </c>
      <c r="F1269" t="s">
        <v>2094</v>
      </c>
      <c r="H1269" t="s">
        <v>2034</v>
      </c>
      <c r="I1269" t="s">
        <v>2078</v>
      </c>
      <c r="J1269" t="s">
        <v>1127</v>
      </c>
      <c r="K1269" t="s">
        <v>2095</v>
      </c>
      <c r="L1269" t="s">
        <v>124</v>
      </c>
      <c r="M1269" t="s">
        <v>2043</v>
      </c>
      <c r="N1269" t="s">
        <v>2039</v>
      </c>
      <c r="O1269" t="s">
        <v>2040</v>
      </c>
      <c r="Q1269" t="s">
        <v>57</v>
      </c>
      <c r="Y1269" t="s">
        <v>2096</v>
      </c>
      <c r="Z1269">
        <v>9405</v>
      </c>
      <c r="AE1269">
        <v>1150</v>
      </c>
      <c r="AF1269" s="4">
        <v>0.6</v>
      </c>
      <c r="AG1269">
        <f t="shared" si="123"/>
        <v>460</v>
      </c>
      <c r="AH1269" s="4">
        <v>0.18</v>
      </c>
      <c r="AI1269">
        <f t="shared" si="118"/>
        <v>542.8</v>
      </c>
      <c r="AJ1269" s="4">
        <v>0.2</v>
      </c>
      <c r="AK1269">
        <f t="shared" si="119"/>
        <v>108.56</v>
      </c>
      <c r="AL1269">
        <f t="shared" si="120"/>
        <v>651.36</v>
      </c>
      <c r="AM1269">
        <f t="shared" si="121"/>
        <v>498.64</v>
      </c>
      <c r="AN1269" s="4">
        <f t="shared" si="122"/>
        <v>0.4336</v>
      </c>
      <c r="AO1269" t="s">
        <v>221</v>
      </c>
      <c r="AQ1269" t="s">
        <v>217</v>
      </c>
      <c r="AT1269" t="s">
        <v>64</v>
      </c>
    </row>
    <row r="1270" ht="15.75" customHeight="1" spans="1:46">
      <c r="A1270" t="s">
        <v>2093</v>
      </c>
      <c r="B1270" t="s">
        <v>67</v>
      </c>
      <c r="C1270" t="s">
        <v>1499</v>
      </c>
      <c r="D1270" t="s">
        <v>2088</v>
      </c>
      <c r="E1270" t="s">
        <v>2076</v>
      </c>
      <c r="F1270" t="s">
        <v>2094</v>
      </c>
      <c r="H1270" t="s">
        <v>2034</v>
      </c>
      <c r="I1270" t="s">
        <v>2068</v>
      </c>
      <c r="J1270" t="s">
        <v>1127</v>
      </c>
      <c r="K1270" t="s">
        <v>2095</v>
      </c>
      <c r="L1270" t="s">
        <v>124</v>
      </c>
      <c r="M1270" t="s">
        <v>2043</v>
      </c>
      <c r="N1270" t="s">
        <v>2039</v>
      </c>
      <c r="O1270" t="s">
        <v>2040</v>
      </c>
      <c r="Q1270" t="s">
        <v>57</v>
      </c>
      <c r="Y1270" t="s">
        <v>2097</v>
      </c>
      <c r="Z1270">
        <v>9405</v>
      </c>
      <c r="AE1270">
        <v>1150</v>
      </c>
      <c r="AF1270" s="4">
        <v>0.6</v>
      </c>
      <c r="AG1270">
        <f t="shared" si="123"/>
        <v>460</v>
      </c>
      <c r="AH1270" s="4">
        <v>0.18</v>
      </c>
      <c r="AI1270">
        <f t="shared" si="118"/>
        <v>542.8</v>
      </c>
      <c r="AJ1270" s="4">
        <v>0.2</v>
      </c>
      <c r="AK1270">
        <f t="shared" si="119"/>
        <v>108.56</v>
      </c>
      <c r="AL1270">
        <f t="shared" si="120"/>
        <v>651.36</v>
      </c>
      <c r="AM1270">
        <f t="shared" si="121"/>
        <v>498.64</v>
      </c>
      <c r="AN1270" s="4">
        <f t="shared" si="122"/>
        <v>0.4336</v>
      </c>
      <c r="AO1270" t="s">
        <v>221</v>
      </c>
      <c r="AQ1270" t="s">
        <v>217</v>
      </c>
      <c r="AT1270" t="s">
        <v>64</v>
      </c>
    </row>
    <row r="1271" ht="15.75" customHeight="1" spans="1:46">
      <c r="A1271" t="s">
        <v>2093</v>
      </c>
      <c r="B1271" t="s">
        <v>71</v>
      </c>
      <c r="C1271" t="s">
        <v>1499</v>
      </c>
      <c r="D1271" t="s">
        <v>2088</v>
      </c>
      <c r="E1271" t="s">
        <v>2076</v>
      </c>
      <c r="F1271" t="s">
        <v>2094</v>
      </c>
      <c r="H1271" t="s">
        <v>2034</v>
      </c>
      <c r="I1271" t="s">
        <v>2058</v>
      </c>
      <c r="J1271" t="s">
        <v>1127</v>
      </c>
      <c r="K1271" t="s">
        <v>2095</v>
      </c>
      <c r="L1271" t="s">
        <v>124</v>
      </c>
      <c r="M1271" t="s">
        <v>2043</v>
      </c>
      <c r="N1271" t="s">
        <v>2039</v>
      </c>
      <c r="O1271" t="s">
        <v>2040</v>
      </c>
      <c r="Q1271" t="s">
        <v>57</v>
      </c>
      <c r="Y1271" t="s">
        <v>2098</v>
      </c>
      <c r="Z1271">
        <v>9405</v>
      </c>
      <c r="AE1271">
        <v>1150</v>
      </c>
      <c r="AF1271" s="4">
        <v>0.6</v>
      </c>
      <c r="AG1271">
        <f t="shared" si="123"/>
        <v>460</v>
      </c>
      <c r="AH1271" s="4">
        <v>0.18</v>
      </c>
      <c r="AI1271">
        <f t="shared" si="118"/>
        <v>542.8</v>
      </c>
      <c r="AJ1271" s="4">
        <v>0.2</v>
      </c>
      <c r="AK1271">
        <f t="shared" si="119"/>
        <v>108.56</v>
      </c>
      <c r="AL1271">
        <f t="shared" si="120"/>
        <v>651.36</v>
      </c>
      <c r="AM1271">
        <f t="shared" si="121"/>
        <v>498.64</v>
      </c>
      <c r="AN1271" s="4">
        <f t="shared" si="122"/>
        <v>0.4336</v>
      </c>
      <c r="AO1271" t="s">
        <v>221</v>
      </c>
      <c r="AQ1271" t="s">
        <v>217</v>
      </c>
      <c r="AT1271" t="s">
        <v>64</v>
      </c>
    </row>
    <row r="1272" ht="15.75" customHeight="1" spans="1:46">
      <c r="A1272" s="15" t="s">
        <v>2099</v>
      </c>
      <c r="B1272" s="15" t="s">
        <v>46</v>
      </c>
      <c r="C1272" s="15" t="s">
        <v>1499</v>
      </c>
      <c r="D1272" s="15" t="s">
        <v>2088</v>
      </c>
      <c r="E1272" s="15" t="s">
        <v>2100</v>
      </c>
      <c r="F1272" s="15" t="s">
        <v>2101</v>
      </c>
      <c r="G1272" s="15"/>
      <c r="H1272" s="15" t="s">
        <v>2034</v>
      </c>
      <c r="I1272" s="15" t="s">
        <v>2078</v>
      </c>
      <c r="J1272" s="15"/>
      <c r="K1272" s="15"/>
      <c r="L1272" s="15" t="s">
        <v>124</v>
      </c>
      <c r="M1272" s="15" t="s">
        <v>2038</v>
      </c>
      <c r="N1272" s="15" t="s">
        <v>2039</v>
      </c>
      <c r="O1272" s="15" t="s">
        <v>2040</v>
      </c>
      <c r="P1272" s="15"/>
      <c r="Q1272" s="15" t="s">
        <v>57</v>
      </c>
      <c r="R1272" s="15"/>
      <c r="S1272" s="15"/>
      <c r="T1272" s="15"/>
      <c r="U1272" s="15"/>
      <c r="V1272" s="15"/>
      <c r="W1272" s="15"/>
      <c r="X1272" s="15"/>
      <c r="Y1272" s="15" t="s">
        <v>2102</v>
      </c>
      <c r="Z1272" s="15">
        <v>9405</v>
      </c>
      <c r="AA1272" s="15"/>
      <c r="AB1272" s="15"/>
      <c r="AC1272" s="15"/>
      <c r="AD1272" s="15"/>
      <c r="AE1272" s="15">
        <v>400</v>
      </c>
      <c r="AF1272" s="16">
        <v>0.6</v>
      </c>
      <c r="AG1272" s="15">
        <f t="shared" si="123"/>
        <v>160</v>
      </c>
      <c r="AH1272" s="16">
        <v>0.18</v>
      </c>
      <c r="AI1272" s="15">
        <f t="shared" si="118"/>
        <v>188.8</v>
      </c>
      <c r="AJ1272" s="16">
        <v>0.2</v>
      </c>
      <c r="AK1272" s="15">
        <f t="shared" si="119"/>
        <v>37.76</v>
      </c>
      <c r="AL1272" s="15">
        <f t="shared" si="120"/>
        <v>226.56</v>
      </c>
      <c r="AM1272" s="15">
        <f t="shared" si="121"/>
        <v>173.44</v>
      </c>
      <c r="AN1272" s="16">
        <f t="shared" si="122"/>
        <v>0.4336</v>
      </c>
      <c r="AO1272" s="15" t="s">
        <v>221</v>
      </c>
      <c r="AP1272" s="15"/>
      <c r="AQ1272" s="15" t="s">
        <v>217</v>
      </c>
      <c r="AR1272" s="15"/>
      <c r="AS1272" s="15"/>
      <c r="AT1272" t="s">
        <v>869</v>
      </c>
    </row>
    <row r="1273" ht="15.75" customHeight="1" spans="1:46">
      <c r="A1273" s="15" t="s">
        <v>2099</v>
      </c>
      <c r="B1273" s="15" t="s">
        <v>67</v>
      </c>
      <c r="C1273" s="15" t="s">
        <v>1499</v>
      </c>
      <c r="D1273" s="15" t="s">
        <v>2088</v>
      </c>
      <c r="E1273" s="15" t="s">
        <v>2100</v>
      </c>
      <c r="F1273" s="15" t="s">
        <v>2101</v>
      </c>
      <c r="G1273" s="15"/>
      <c r="H1273" s="15" t="s">
        <v>2034</v>
      </c>
      <c r="I1273" s="15" t="s">
        <v>2078</v>
      </c>
      <c r="J1273" s="15"/>
      <c r="K1273" s="15"/>
      <c r="L1273" s="15" t="s">
        <v>124</v>
      </c>
      <c r="M1273" s="15" t="s">
        <v>2042</v>
      </c>
      <c r="N1273" s="15" t="s">
        <v>2039</v>
      </c>
      <c r="O1273" s="15" t="s">
        <v>2040</v>
      </c>
      <c r="P1273" s="15"/>
      <c r="Q1273" s="15" t="s">
        <v>57</v>
      </c>
      <c r="R1273" s="15"/>
      <c r="S1273" s="15"/>
      <c r="T1273" s="15"/>
      <c r="U1273" s="15"/>
      <c r="V1273" s="15"/>
      <c r="W1273" s="15"/>
      <c r="X1273" s="15"/>
      <c r="Y1273" s="15" t="s">
        <v>2102</v>
      </c>
      <c r="Z1273" s="15">
        <v>9405</v>
      </c>
      <c r="AA1273" s="15"/>
      <c r="AB1273" s="15"/>
      <c r="AC1273" s="15"/>
      <c r="AD1273" s="15"/>
      <c r="AE1273" s="15">
        <v>400</v>
      </c>
      <c r="AF1273" s="16">
        <v>0.6</v>
      </c>
      <c r="AG1273" s="15">
        <f t="shared" si="123"/>
        <v>160</v>
      </c>
      <c r="AH1273" s="16">
        <v>0.18</v>
      </c>
      <c r="AI1273" s="15">
        <f t="shared" si="118"/>
        <v>188.8</v>
      </c>
      <c r="AJ1273" s="16">
        <v>0.2</v>
      </c>
      <c r="AK1273" s="15">
        <f t="shared" si="119"/>
        <v>37.76</v>
      </c>
      <c r="AL1273" s="15">
        <f t="shared" si="120"/>
        <v>226.56</v>
      </c>
      <c r="AM1273" s="15">
        <f t="shared" si="121"/>
        <v>173.44</v>
      </c>
      <c r="AN1273" s="16">
        <f t="shared" si="122"/>
        <v>0.4336</v>
      </c>
      <c r="AO1273" s="15" t="s">
        <v>221</v>
      </c>
      <c r="AP1273" s="15"/>
      <c r="AQ1273" s="15" t="s">
        <v>217</v>
      </c>
      <c r="AR1273" s="15"/>
      <c r="AS1273" s="15"/>
      <c r="AT1273" t="s">
        <v>869</v>
      </c>
    </row>
    <row r="1274" ht="15.75" customHeight="1" spans="1:46">
      <c r="A1274" s="15" t="s">
        <v>2099</v>
      </c>
      <c r="B1274" s="15" t="s">
        <v>71</v>
      </c>
      <c r="C1274" s="15" t="s">
        <v>1499</v>
      </c>
      <c r="D1274" s="15" t="s">
        <v>2088</v>
      </c>
      <c r="E1274" s="15" t="s">
        <v>2100</v>
      </c>
      <c r="F1274" s="15" t="s">
        <v>2101</v>
      </c>
      <c r="G1274" s="15"/>
      <c r="H1274" s="15" t="s">
        <v>2034</v>
      </c>
      <c r="I1274" s="15" t="s">
        <v>2078</v>
      </c>
      <c r="J1274" s="15"/>
      <c r="K1274" s="15"/>
      <c r="L1274" s="15" t="s">
        <v>124</v>
      </c>
      <c r="M1274" s="15" t="s">
        <v>2043</v>
      </c>
      <c r="N1274" s="15" t="s">
        <v>2039</v>
      </c>
      <c r="O1274" s="15" t="s">
        <v>2040</v>
      </c>
      <c r="P1274" s="15"/>
      <c r="Q1274" s="15" t="s">
        <v>57</v>
      </c>
      <c r="R1274" s="15"/>
      <c r="S1274" s="15"/>
      <c r="T1274" s="15"/>
      <c r="U1274" s="15"/>
      <c r="V1274" s="15"/>
      <c r="W1274" s="15"/>
      <c r="X1274" s="15"/>
      <c r="Y1274" s="15" t="s">
        <v>2102</v>
      </c>
      <c r="Z1274" s="15">
        <v>9405</v>
      </c>
      <c r="AA1274" s="15"/>
      <c r="AB1274" s="15"/>
      <c r="AC1274" s="15"/>
      <c r="AD1274" s="15"/>
      <c r="AE1274" s="15">
        <v>400</v>
      </c>
      <c r="AF1274" s="16">
        <v>0.6</v>
      </c>
      <c r="AG1274" s="15">
        <f t="shared" si="123"/>
        <v>160</v>
      </c>
      <c r="AH1274" s="16">
        <v>0.18</v>
      </c>
      <c r="AI1274" s="15">
        <f t="shared" si="118"/>
        <v>188.8</v>
      </c>
      <c r="AJ1274" s="16">
        <v>0.2</v>
      </c>
      <c r="AK1274" s="15">
        <f t="shared" si="119"/>
        <v>37.76</v>
      </c>
      <c r="AL1274" s="15">
        <f t="shared" si="120"/>
        <v>226.56</v>
      </c>
      <c r="AM1274" s="15">
        <f t="shared" si="121"/>
        <v>173.44</v>
      </c>
      <c r="AN1274" s="16">
        <f t="shared" si="122"/>
        <v>0.4336</v>
      </c>
      <c r="AO1274" s="15" t="s">
        <v>221</v>
      </c>
      <c r="AP1274" s="15"/>
      <c r="AQ1274" s="15" t="s">
        <v>217</v>
      </c>
      <c r="AR1274" s="15"/>
      <c r="AS1274" s="15"/>
      <c r="AT1274" t="s">
        <v>869</v>
      </c>
    </row>
    <row r="1275" ht="15.75" customHeight="1" spans="1:46">
      <c r="A1275" s="15" t="s">
        <v>2099</v>
      </c>
      <c r="B1275" s="15" t="s">
        <v>75</v>
      </c>
      <c r="C1275" s="15" t="s">
        <v>1499</v>
      </c>
      <c r="D1275" s="15" t="s">
        <v>2088</v>
      </c>
      <c r="E1275" s="15" t="s">
        <v>2100</v>
      </c>
      <c r="F1275" s="15" t="s">
        <v>2101</v>
      </c>
      <c r="G1275" s="15"/>
      <c r="H1275" s="15" t="s">
        <v>2034</v>
      </c>
      <c r="I1275" s="15" t="s">
        <v>2078</v>
      </c>
      <c r="J1275" s="15"/>
      <c r="K1275" s="15"/>
      <c r="L1275" s="15" t="s">
        <v>124</v>
      </c>
      <c r="M1275" s="15" t="s">
        <v>2038</v>
      </c>
      <c r="N1275" s="15" t="s">
        <v>2039</v>
      </c>
      <c r="O1275" s="15" t="s">
        <v>2051</v>
      </c>
      <c r="P1275" s="15"/>
      <c r="Q1275" s="15" t="s">
        <v>57</v>
      </c>
      <c r="R1275" s="15"/>
      <c r="S1275" s="15"/>
      <c r="T1275" s="15"/>
      <c r="U1275" s="15"/>
      <c r="V1275" s="15"/>
      <c r="W1275" s="15"/>
      <c r="X1275" s="15"/>
      <c r="Y1275" s="15" t="s">
        <v>2103</v>
      </c>
      <c r="Z1275" s="15">
        <v>9405</v>
      </c>
      <c r="AA1275" s="15"/>
      <c r="AB1275" s="15"/>
      <c r="AC1275" s="15"/>
      <c r="AD1275" s="15"/>
      <c r="AE1275" s="15">
        <v>400</v>
      </c>
      <c r="AF1275" s="16">
        <v>0.6</v>
      </c>
      <c r="AG1275" s="15">
        <f t="shared" si="123"/>
        <v>160</v>
      </c>
      <c r="AH1275" s="16">
        <v>0.18</v>
      </c>
      <c r="AI1275" s="15">
        <f t="shared" si="118"/>
        <v>188.8</v>
      </c>
      <c r="AJ1275" s="16">
        <v>0.2</v>
      </c>
      <c r="AK1275" s="15">
        <f t="shared" si="119"/>
        <v>37.76</v>
      </c>
      <c r="AL1275" s="15">
        <f t="shared" si="120"/>
        <v>226.56</v>
      </c>
      <c r="AM1275" s="15">
        <f t="shared" si="121"/>
        <v>173.44</v>
      </c>
      <c r="AN1275" s="16">
        <f t="shared" si="122"/>
        <v>0.4336</v>
      </c>
      <c r="AO1275" s="15" t="s">
        <v>221</v>
      </c>
      <c r="AP1275" s="15"/>
      <c r="AQ1275" s="15" t="s">
        <v>217</v>
      </c>
      <c r="AR1275" s="15"/>
      <c r="AS1275" s="15"/>
      <c r="AT1275" t="s">
        <v>869</v>
      </c>
    </row>
    <row r="1276" ht="15.75" customHeight="1" spans="1:46">
      <c r="A1276" s="15" t="s">
        <v>2099</v>
      </c>
      <c r="B1276" s="15" t="s">
        <v>79</v>
      </c>
      <c r="C1276" s="15" t="s">
        <v>1499</v>
      </c>
      <c r="D1276" s="15" t="s">
        <v>2088</v>
      </c>
      <c r="E1276" s="15" t="s">
        <v>2100</v>
      </c>
      <c r="F1276" s="15" t="s">
        <v>2101</v>
      </c>
      <c r="G1276" s="15"/>
      <c r="H1276" s="15" t="s">
        <v>2034</v>
      </c>
      <c r="I1276" s="15" t="s">
        <v>2078</v>
      </c>
      <c r="J1276" s="15"/>
      <c r="K1276" s="15"/>
      <c r="L1276" s="15" t="s">
        <v>124</v>
      </c>
      <c r="M1276" s="15" t="s">
        <v>2042</v>
      </c>
      <c r="N1276" s="15" t="s">
        <v>2039</v>
      </c>
      <c r="O1276" s="15" t="s">
        <v>2051</v>
      </c>
      <c r="P1276" s="15"/>
      <c r="Q1276" s="15" t="s">
        <v>57</v>
      </c>
      <c r="R1276" s="15"/>
      <c r="S1276" s="15"/>
      <c r="T1276" s="15"/>
      <c r="U1276" s="15"/>
      <c r="V1276" s="15"/>
      <c r="W1276" s="15"/>
      <c r="X1276" s="15"/>
      <c r="Y1276" s="15" t="s">
        <v>2103</v>
      </c>
      <c r="Z1276" s="15">
        <v>9405</v>
      </c>
      <c r="AA1276" s="15"/>
      <c r="AB1276" s="15"/>
      <c r="AC1276" s="15"/>
      <c r="AD1276" s="15"/>
      <c r="AE1276" s="15">
        <v>400</v>
      </c>
      <c r="AF1276" s="16">
        <v>0.6</v>
      </c>
      <c r="AG1276" s="15">
        <f t="shared" si="123"/>
        <v>160</v>
      </c>
      <c r="AH1276" s="16">
        <v>0.18</v>
      </c>
      <c r="AI1276" s="15">
        <f t="shared" si="118"/>
        <v>188.8</v>
      </c>
      <c r="AJ1276" s="16">
        <v>0.2</v>
      </c>
      <c r="AK1276" s="15">
        <f t="shared" si="119"/>
        <v>37.76</v>
      </c>
      <c r="AL1276" s="15">
        <f t="shared" si="120"/>
        <v>226.56</v>
      </c>
      <c r="AM1276" s="15">
        <f t="shared" si="121"/>
        <v>173.44</v>
      </c>
      <c r="AN1276" s="16">
        <f t="shared" si="122"/>
        <v>0.4336</v>
      </c>
      <c r="AO1276" s="15" t="s">
        <v>221</v>
      </c>
      <c r="AP1276" s="15"/>
      <c r="AQ1276" s="15" t="s">
        <v>217</v>
      </c>
      <c r="AR1276" s="15"/>
      <c r="AS1276" s="15"/>
      <c r="AT1276" t="s">
        <v>869</v>
      </c>
    </row>
    <row r="1277" ht="15.75" customHeight="1" spans="1:46">
      <c r="A1277" s="15" t="s">
        <v>2099</v>
      </c>
      <c r="B1277" s="15" t="s">
        <v>83</v>
      </c>
      <c r="C1277" s="15" t="s">
        <v>1499</v>
      </c>
      <c r="D1277" s="15" t="s">
        <v>2088</v>
      </c>
      <c r="E1277" s="15" t="s">
        <v>2100</v>
      </c>
      <c r="F1277" s="15" t="s">
        <v>2101</v>
      </c>
      <c r="G1277" s="15"/>
      <c r="H1277" s="15" t="s">
        <v>2034</v>
      </c>
      <c r="I1277" s="15" t="s">
        <v>2078</v>
      </c>
      <c r="J1277" s="15"/>
      <c r="K1277" s="15"/>
      <c r="L1277" s="15" t="s">
        <v>124</v>
      </c>
      <c r="M1277" s="15" t="s">
        <v>2043</v>
      </c>
      <c r="N1277" s="15" t="s">
        <v>2039</v>
      </c>
      <c r="O1277" s="15" t="s">
        <v>2051</v>
      </c>
      <c r="P1277" s="15"/>
      <c r="Q1277" s="15" t="s">
        <v>57</v>
      </c>
      <c r="R1277" s="15"/>
      <c r="S1277" s="15"/>
      <c r="T1277" s="15"/>
      <c r="U1277" s="15"/>
      <c r="V1277" s="15"/>
      <c r="W1277" s="15"/>
      <c r="X1277" s="15"/>
      <c r="Y1277" s="15" t="s">
        <v>2103</v>
      </c>
      <c r="Z1277" s="15">
        <v>9405</v>
      </c>
      <c r="AA1277" s="15"/>
      <c r="AB1277" s="15"/>
      <c r="AC1277" s="15"/>
      <c r="AD1277" s="15"/>
      <c r="AE1277" s="15">
        <v>400</v>
      </c>
      <c r="AF1277" s="16">
        <v>0.6</v>
      </c>
      <c r="AG1277" s="15">
        <f t="shared" si="123"/>
        <v>160</v>
      </c>
      <c r="AH1277" s="16">
        <v>0.18</v>
      </c>
      <c r="AI1277" s="15">
        <f t="shared" si="118"/>
        <v>188.8</v>
      </c>
      <c r="AJ1277" s="16">
        <v>0.2</v>
      </c>
      <c r="AK1277" s="15">
        <f t="shared" si="119"/>
        <v>37.76</v>
      </c>
      <c r="AL1277" s="15">
        <f t="shared" si="120"/>
        <v>226.56</v>
      </c>
      <c r="AM1277" s="15">
        <f t="shared" si="121"/>
        <v>173.44</v>
      </c>
      <c r="AN1277" s="16">
        <f t="shared" si="122"/>
        <v>0.4336</v>
      </c>
      <c r="AO1277" s="15" t="s">
        <v>221</v>
      </c>
      <c r="AP1277" s="15"/>
      <c r="AQ1277" s="15" t="s">
        <v>217</v>
      </c>
      <c r="AR1277" s="15"/>
      <c r="AS1277" s="15"/>
      <c r="AT1277" t="s">
        <v>869</v>
      </c>
    </row>
    <row r="1278" ht="15.75" customHeight="1" spans="1:46">
      <c r="A1278" s="15" t="s">
        <v>2099</v>
      </c>
      <c r="B1278" s="15" t="s">
        <v>131</v>
      </c>
      <c r="C1278" s="15" t="s">
        <v>1499</v>
      </c>
      <c r="D1278" s="15" t="s">
        <v>2088</v>
      </c>
      <c r="E1278" s="15" t="s">
        <v>2100</v>
      </c>
      <c r="F1278" s="15" t="s">
        <v>2101</v>
      </c>
      <c r="G1278" s="15"/>
      <c r="H1278" s="15" t="s">
        <v>2034</v>
      </c>
      <c r="I1278" s="15" t="s">
        <v>2068</v>
      </c>
      <c r="J1278" s="15"/>
      <c r="K1278" s="15"/>
      <c r="L1278" s="15" t="s">
        <v>124</v>
      </c>
      <c r="M1278" s="15" t="s">
        <v>2038</v>
      </c>
      <c r="N1278" s="15" t="s">
        <v>2039</v>
      </c>
      <c r="O1278" s="15" t="s">
        <v>2040</v>
      </c>
      <c r="P1278" s="15"/>
      <c r="Q1278" s="15" t="s">
        <v>57</v>
      </c>
      <c r="R1278" s="15"/>
      <c r="S1278" s="15"/>
      <c r="T1278" s="15"/>
      <c r="U1278" s="15"/>
      <c r="V1278" s="15"/>
      <c r="W1278" s="15"/>
      <c r="X1278" s="15"/>
      <c r="Y1278" s="15" t="s">
        <v>2102</v>
      </c>
      <c r="Z1278" s="15">
        <v>9405</v>
      </c>
      <c r="AA1278" s="15"/>
      <c r="AB1278" s="15"/>
      <c r="AC1278" s="15"/>
      <c r="AD1278" s="15"/>
      <c r="AE1278" s="15">
        <v>850</v>
      </c>
      <c r="AF1278" s="16">
        <v>0.65</v>
      </c>
      <c r="AG1278" s="15">
        <f t="shared" si="123"/>
        <v>297.5</v>
      </c>
      <c r="AH1278" s="16">
        <v>0.18</v>
      </c>
      <c r="AI1278" s="15">
        <f t="shared" si="118"/>
        <v>351.05</v>
      </c>
      <c r="AJ1278" s="16">
        <v>0.2</v>
      </c>
      <c r="AK1278" s="15">
        <f t="shared" si="119"/>
        <v>70.21</v>
      </c>
      <c r="AL1278" s="15">
        <f t="shared" si="120"/>
        <v>421.26</v>
      </c>
      <c r="AM1278" s="15">
        <f t="shared" si="121"/>
        <v>428.74</v>
      </c>
      <c r="AN1278" s="16">
        <f t="shared" si="122"/>
        <v>0.5044</v>
      </c>
      <c r="AO1278" s="15" t="s">
        <v>221</v>
      </c>
      <c r="AP1278" s="15"/>
      <c r="AQ1278" s="15" t="s">
        <v>217</v>
      </c>
      <c r="AR1278" s="15"/>
      <c r="AS1278" s="15"/>
      <c r="AT1278" t="s">
        <v>869</v>
      </c>
    </row>
    <row r="1279" ht="15.75" customHeight="1" spans="1:46">
      <c r="A1279" s="15" t="s">
        <v>2099</v>
      </c>
      <c r="B1279" s="15" t="s">
        <v>133</v>
      </c>
      <c r="C1279" s="15" t="s">
        <v>1499</v>
      </c>
      <c r="D1279" s="15" t="s">
        <v>2088</v>
      </c>
      <c r="E1279" s="15" t="s">
        <v>2100</v>
      </c>
      <c r="F1279" s="15" t="s">
        <v>2101</v>
      </c>
      <c r="G1279" s="15"/>
      <c r="H1279" s="15" t="s">
        <v>2034</v>
      </c>
      <c r="I1279" s="15" t="s">
        <v>2068</v>
      </c>
      <c r="J1279" s="15"/>
      <c r="K1279" s="15"/>
      <c r="L1279" s="15" t="s">
        <v>124</v>
      </c>
      <c r="M1279" s="15" t="s">
        <v>2042</v>
      </c>
      <c r="N1279" s="15" t="s">
        <v>2039</v>
      </c>
      <c r="O1279" s="15" t="s">
        <v>2040</v>
      </c>
      <c r="P1279" s="15"/>
      <c r="Q1279" s="15" t="s">
        <v>57</v>
      </c>
      <c r="R1279" s="15"/>
      <c r="S1279" s="15"/>
      <c r="T1279" s="15"/>
      <c r="U1279" s="15"/>
      <c r="V1279" s="15"/>
      <c r="W1279" s="15"/>
      <c r="X1279" s="15"/>
      <c r="Y1279" s="15" t="s">
        <v>2102</v>
      </c>
      <c r="Z1279" s="15">
        <v>9405</v>
      </c>
      <c r="AA1279" s="15"/>
      <c r="AB1279" s="15"/>
      <c r="AC1279" s="15"/>
      <c r="AD1279" s="15"/>
      <c r="AE1279" s="15">
        <v>850</v>
      </c>
      <c r="AF1279" s="16">
        <v>0.65</v>
      </c>
      <c r="AG1279" s="15">
        <f t="shared" si="123"/>
        <v>297.5</v>
      </c>
      <c r="AH1279" s="16">
        <v>0.18</v>
      </c>
      <c r="AI1279" s="15">
        <f t="shared" si="118"/>
        <v>351.05</v>
      </c>
      <c r="AJ1279" s="16">
        <v>0.2</v>
      </c>
      <c r="AK1279" s="15">
        <f t="shared" si="119"/>
        <v>70.21</v>
      </c>
      <c r="AL1279" s="15">
        <f t="shared" si="120"/>
        <v>421.26</v>
      </c>
      <c r="AM1279" s="15">
        <f t="shared" si="121"/>
        <v>428.74</v>
      </c>
      <c r="AN1279" s="16">
        <f t="shared" si="122"/>
        <v>0.5044</v>
      </c>
      <c r="AO1279" s="15" t="s">
        <v>221</v>
      </c>
      <c r="AP1279" s="15"/>
      <c r="AQ1279" s="15" t="s">
        <v>217</v>
      </c>
      <c r="AR1279" s="15"/>
      <c r="AS1279" s="15"/>
      <c r="AT1279" t="s">
        <v>869</v>
      </c>
    </row>
    <row r="1280" ht="15.75" customHeight="1" spans="1:46">
      <c r="A1280" s="15" t="s">
        <v>2099</v>
      </c>
      <c r="B1280" s="15" t="s">
        <v>135</v>
      </c>
      <c r="C1280" s="15" t="s">
        <v>1499</v>
      </c>
      <c r="D1280" s="15" t="s">
        <v>2088</v>
      </c>
      <c r="E1280" s="15" t="s">
        <v>2100</v>
      </c>
      <c r="F1280" s="15" t="s">
        <v>2101</v>
      </c>
      <c r="G1280" s="15"/>
      <c r="H1280" s="15" t="s">
        <v>2034</v>
      </c>
      <c r="I1280" s="15" t="s">
        <v>2068</v>
      </c>
      <c r="J1280" s="15"/>
      <c r="K1280" s="15"/>
      <c r="L1280" s="15" t="s">
        <v>124</v>
      </c>
      <c r="M1280" s="15" t="s">
        <v>2043</v>
      </c>
      <c r="N1280" s="15" t="s">
        <v>2039</v>
      </c>
      <c r="O1280" s="15" t="s">
        <v>2040</v>
      </c>
      <c r="P1280" s="15"/>
      <c r="Q1280" s="15" t="s">
        <v>57</v>
      </c>
      <c r="R1280" s="15"/>
      <c r="S1280" s="15"/>
      <c r="T1280" s="15"/>
      <c r="U1280" s="15"/>
      <c r="V1280" s="15"/>
      <c r="W1280" s="15"/>
      <c r="X1280" s="15"/>
      <c r="Y1280" s="15" t="s">
        <v>2102</v>
      </c>
      <c r="Z1280" s="15">
        <v>9405</v>
      </c>
      <c r="AA1280" s="15"/>
      <c r="AB1280" s="15"/>
      <c r="AC1280" s="15"/>
      <c r="AD1280" s="15"/>
      <c r="AE1280" s="15">
        <v>850</v>
      </c>
      <c r="AF1280" s="16">
        <v>0.65</v>
      </c>
      <c r="AG1280" s="15">
        <f t="shared" si="123"/>
        <v>297.5</v>
      </c>
      <c r="AH1280" s="16">
        <v>0.18</v>
      </c>
      <c r="AI1280" s="15">
        <f t="shared" si="118"/>
        <v>351.05</v>
      </c>
      <c r="AJ1280" s="16">
        <v>0.2</v>
      </c>
      <c r="AK1280" s="15">
        <f t="shared" si="119"/>
        <v>70.21</v>
      </c>
      <c r="AL1280" s="15">
        <f t="shared" si="120"/>
        <v>421.26</v>
      </c>
      <c r="AM1280" s="15">
        <f t="shared" si="121"/>
        <v>428.74</v>
      </c>
      <c r="AN1280" s="16">
        <f t="shared" si="122"/>
        <v>0.5044</v>
      </c>
      <c r="AO1280" s="15" t="s">
        <v>221</v>
      </c>
      <c r="AP1280" s="15"/>
      <c r="AQ1280" s="15" t="s">
        <v>217</v>
      </c>
      <c r="AR1280" s="15"/>
      <c r="AS1280" s="15"/>
      <c r="AT1280" t="s">
        <v>869</v>
      </c>
    </row>
    <row r="1281" ht="15.75" customHeight="1" spans="1:46">
      <c r="A1281" s="15" t="s">
        <v>2099</v>
      </c>
      <c r="B1281" s="15" t="s">
        <v>137</v>
      </c>
      <c r="C1281" s="15" t="s">
        <v>1499</v>
      </c>
      <c r="D1281" s="15" t="s">
        <v>2088</v>
      </c>
      <c r="E1281" s="15" t="s">
        <v>2100</v>
      </c>
      <c r="F1281" s="15" t="s">
        <v>2101</v>
      </c>
      <c r="G1281" s="15"/>
      <c r="H1281" s="15" t="s">
        <v>2034</v>
      </c>
      <c r="I1281" s="15" t="s">
        <v>2068</v>
      </c>
      <c r="J1281" s="15"/>
      <c r="K1281" s="15"/>
      <c r="L1281" s="15" t="s">
        <v>124</v>
      </c>
      <c r="M1281" s="15" t="s">
        <v>2038</v>
      </c>
      <c r="N1281" s="15" t="s">
        <v>2039</v>
      </c>
      <c r="O1281" s="15" t="s">
        <v>2051</v>
      </c>
      <c r="P1281" s="15"/>
      <c r="Q1281" s="15" t="s">
        <v>57</v>
      </c>
      <c r="R1281" s="15"/>
      <c r="S1281" s="15"/>
      <c r="T1281" s="15"/>
      <c r="U1281" s="15"/>
      <c r="V1281" s="15"/>
      <c r="W1281" s="15"/>
      <c r="X1281" s="15"/>
      <c r="Y1281" s="15" t="s">
        <v>2103</v>
      </c>
      <c r="Z1281" s="15">
        <v>9405</v>
      </c>
      <c r="AA1281" s="15"/>
      <c r="AB1281" s="15"/>
      <c r="AC1281" s="15"/>
      <c r="AD1281" s="15"/>
      <c r="AE1281" s="15">
        <v>850</v>
      </c>
      <c r="AF1281" s="16">
        <v>0.65</v>
      </c>
      <c r="AG1281" s="15">
        <f t="shared" si="123"/>
        <v>297.5</v>
      </c>
      <c r="AH1281" s="16">
        <v>0.18</v>
      </c>
      <c r="AI1281" s="15">
        <f t="shared" si="118"/>
        <v>351.05</v>
      </c>
      <c r="AJ1281" s="16">
        <v>0.2</v>
      </c>
      <c r="AK1281" s="15">
        <f t="shared" si="119"/>
        <v>70.21</v>
      </c>
      <c r="AL1281" s="15">
        <f t="shared" si="120"/>
        <v>421.26</v>
      </c>
      <c r="AM1281" s="15">
        <f t="shared" si="121"/>
        <v>428.74</v>
      </c>
      <c r="AN1281" s="16">
        <f t="shared" si="122"/>
        <v>0.5044</v>
      </c>
      <c r="AO1281" s="15" t="s">
        <v>221</v>
      </c>
      <c r="AP1281" s="15"/>
      <c r="AQ1281" s="15" t="s">
        <v>217</v>
      </c>
      <c r="AR1281" s="15"/>
      <c r="AS1281" s="15"/>
      <c r="AT1281" t="s">
        <v>869</v>
      </c>
    </row>
    <row r="1282" ht="15.75" customHeight="1" spans="1:46">
      <c r="A1282" s="15" t="s">
        <v>2099</v>
      </c>
      <c r="B1282" s="15" t="s">
        <v>138</v>
      </c>
      <c r="C1282" s="15" t="s">
        <v>1499</v>
      </c>
      <c r="D1282" s="15" t="s">
        <v>2088</v>
      </c>
      <c r="E1282" s="15" t="s">
        <v>2100</v>
      </c>
      <c r="F1282" s="15" t="s">
        <v>2101</v>
      </c>
      <c r="G1282" s="15"/>
      <c r="H1282" s="15" t="s">
        <v>2034</v>
      </c>
      <c r="I1282" s="15" t="s">
        <v>2068</v>
      </c>
      <c r="J1282" s="15"/>
      <c r="K1282" s="15"/>
      <c r="L1282" s="15" t="s">
        <v>124</v>
      </c>
      <c r="M1282" s="15" t="s">
        <v>2042</v>
      </c>
      <c r="N1282" s="15" t="s">
        <v>2039</v>
      </c>
      <c r="O1282" s="15" t="s">
        <v>2051</v>
      </c>
      <c r="P1282" s="15"/>
      <c r="Q1282" s="15" t="s">
        <v>57</v>
      </c>
      <c r="R1282" s="15"/>
      <c r="S1282" s="15"/>
      <c r="T1282" s="15"/>
      <c r="U1282" s="15"/>
      <c r="V1282" s="15"/>
      <c r="W1282" s="15"/>
      <c r="X1282" s="15"/>
      <c r="Y1282" s="15" t="s">
        <v>2103</v>
      </c>
      <c r="Z1282" s="15">
        <v>9405</v>
      </c>
      <c r="AA1282" s="15"/>
      <c r="AB1282" s="15"/>
      <c r="AC1282" s="15"/>
      <c r="AD1282" s="15"/>
      <c r="AE1282" s="15">
        <v>850</v>
      </c>
      <c r="AF1282" s="16">
        <v>0.65</v>
      </c>
      <c r="AG1282" s="15">
        <f t="shared" si="123"/>
        <v>297.5</v>
      </c>
      <c r="AH1282" s="16">
        <v>0.18</v>
      </c>
      <c r="AI1282" s="15">
        <f t="shared" ref="AI1282:AI1345" si="124">ROUND(AG1282+(AG1282*AH1282),2)</f>
        <v>351.05</v>
      </c>
      <c r="AJ1282" s="16">
        <v>0.2</v>
      </c>
      <c r="AK1282" s="15">
        <f t="shared" ref="AK1282:AK1345" si="125">ROUND(AI1282*AJ1282,2)</f>
        <v>70.21</v>
      </c>
      <c r="AL1282" s="15">
        <f t="shared" ref="AL1282:AL1345" si="126">AI1282+AK1282</f>
        <v>421.26</v>
      </c>
      <c r="AM1282" s="15">
        <f t="shared" ref="AM1282:AM1345" si="127">AE1282-AL1282</f>
        <v>428.74</v>
      </c>
      <c r="AN1282" s="16">
        <f t="shared" ref="AN1282:AN1345" si="128">AM1282/AE1282</f>
        <v>0.5044</v>
      </c>
      <c r="AO1282" s="15" t="s">
        <v>221</v>
      </c>
      <c r="AP1282" s="15"/>
      <c r="AQ1282" s="15" t="s">
        <v>217</v>
      </c>
      <c r="AR1282" s="15"/>
      <c r="AS1282" s="15"/>
      <c r="AT1282" t="s">
        <v>869</v>
      </c>
    </row>
    <row r="1283" ht="15.75" customHeight="1" spans="1:46">
      <c r="A1283" s="15" t="s">
        <v>2099</v>
      </c>
      <c r="B1283" s="15" t="s">
        <v>140</v>
      </c>
      <c r="C1283" s="15" t="s">
        <v>1499</v>
      </c>
      <c r="D1283" s="15" t="s">
        <v>2088</v>
      </c>
      <c r="E1283" s="15" t="s">
        <v>2100</v>
      </c>
      <c r="F1283" s="15" t="s">
        <v>2101</v>
      </c>
      <c r="G1283" s="15"/>
      <c r="H1283" s="15" t="s">
        <v>2034</v>
      </c>
      <c r="I1283" s="15" t="s">
        <v>2068</v>
      </c>
      <c r="J1283" s="15"/>
      <c r="K1283" s="15"/>
      <c r="L1283" s="15" t="s">
        <v>124</v>
      </c>
      <c r="M1283" s="15" t="s">
        <v>2043</v>
      </c>
      <c r="N1283" s="15" t="s">
        <v>2039</v>
      </c>
      <c r="O1283" s="15" t="s">
        <v>2051</v>
      </c>
      <c r="P1283" s="15"/>
      <c r="Q1283" s="15" t="s">
        <v>57</v>
      </c>
      <c r="R1283" s="15"/>
      <c r="S1283" s="15"/>
      <c r="T1283" s="15"/>
      <c r="U1283" s="15"/>
      <c r="V1283" s="15"/>
      <c r="W1283" s="15"/>
      <c r="X1283" s="15"/>
      <c r="Y1283" s="15" t="s">
        <v>2103</v>
      </c>
      <c r="Z1283" s="15">
        <v>9405</v>
      </c>
      <c r="AA1283" s="15"/>
      <c r="AB1283" s="15"/>
      <c r="AC1283" s="15"/>
      <c r="AD1283" s="15"/>
      <c r="AE1283" s="15">
        <v>850</v>
      </c>
      <c r="AF1283" s="16">
        <v>0.65</v>
      </c>
      <c r="AG1283" s="15">
        <f t="shared" si="123"/>
        <v>297.5</v>
      </c>
      <c r="AH1283" s="16">
        <v>0.18</v>
      </c>
      <c r="AI1283" s="15">
        <f t="shared" si="124"/>
        <v>351.05</v>
      </c>
      <c r="AJ1283" s="16">
        <v>0.2</v>
      </c>
      <c r="AK1283" s="15">
        <f t="shared" si="125"/>
        <v>70.21</v>
      </c>
      <c r="AL1283" s="15">
        <f t="shared" si="126"/>
        <v>421.26</v>
      </c>
      <c r="AM1283" s="15">
        <f t="shared" si="127"/>
        <v>428.74</v>
      </c>
      <c r="AN1283" s="16">
        <f t="shared" si="128"/>
        <v>0.5044</v>
      </c>
      <c r="AO1283" s="15" t="s">
        <v>221</v>
      </c>
      <c r="AP1283" s="15"/>
      <c r="AQ1283" s="15" t="s">
        <v>217</v>
      </c>
      <c r="AR1283" s="15"/>
      <c r="AS1283" s="15"/>
      <c r="AT1283" t="s">
        <v>869</v>
      </c>
    </row>
    <row r="1284" ht="15.75" customHeight="1" spans="1:46">
      <c r="A1284" s="15" t="s">
        <v>2099</v>
      </c>
      <c r="B1284" s="15" t="s">
        <v>202</v>
      </c>
      <c r="C1284" s="15" t="s">
        <v>1499</v>
      </c>
      <c r="D1284" s="15" t="s">
        <v>2088</v>
      </c>
      <c r="E1284" s="15" t="s">
        <v>2100</v>
      </c>
      <c r="F1284" s="15" t="s">
        <v>2101</v>
      </c>
      <c r="G1284" s="15"/>
      <c r="H1284" s="15" t="s">
        <v>2034</v>
      </c>
      <c r="I1284" s="15" t="s">
        <v>2058</v>
      </c>
      <c r="J1284" s="15"/>
      <c r="K1284" s="15"/>
      <c r="L1284" s="15" t="s">
        <v>124</v>
      </c>
      <c r="M1284" s="15" t="s">
        <v>2038</v>
      </c>
      <c r="N1284" s="15" t="s">
        <v>2039</v>
      </c>
      <c r="O1284" s="15" t="s">
        <v>2040</v>
      </c>
      <c r="P1284" s="15"/>
      <c r="Q1284" s="15" t="s">
        <v>57</v>
      </c>
      <c r="R1284" s="15"/>
      <c r="S1284" s="15"/>
      <c r="T1284" s="15"/>
      <c r="U1284" s="15"/>
      <c r="V1284" s="15"/>
      <c r="W1284" s="15"/>
      <c r="X1284" s="15"/>
      <c r="Y1284" s="15" t="s">
        <v>2102</v>
      </c>
      <c r="Z1284" s="15">
        <v>9405</v>
      </c>
      <c r="AA1284" s="15"/>
      <c r="AB1284" s="15"/>
      <c r="AC1284" s="15"/>
      <c r="AD1284" s="15"/>
      <c r="AE1284" s="15">
        <v>1150</v>
      </c>
      <c r="AF1284" s="16">
        <v>0.65</v>
      </c>
      <c r="AG1284" s="15">
        <f t="shared" ref="AG1284:AG1347" si="129">ROUND(AE1284-(AE1284*AF1284),2)</f>
        <v>402.5</v>
      </c>
      <c r="AH1284" s="16">
        <v>0.18</v>
      </c>
      <c r="AI1284" s="15">
        <f t="shared" si="124"/>
        <v>474.95</v>
      </c>
      <c r="AJ1284" s="16">
        <v>0.2</v>
      </c>
      <c r="AK1284" s="15">
        <f t="shared" si="125"/>
        <v>94.99</v>
      </c>
      <c r="AL1284" s="15">
        <f t="shared" si="126"/>
        <v>569.94</v>
      </c>
      <c r="AM1284" s="15">
        <f t="shared" si="127"/>
        <v>580.06</v>
      </c>
      <c r="AN1284" s="16">
        <f t="shared" si="128"/>
        <v>0.5044</v>
      </c>
      <c r="AO1284" s="15" t="s">
        <v>221</v>
      </c>
      <c r="AP1284" s="15"/>
      <c r="AQ1284" s="15" t="s">
        <v>217</v>
      </c>
      <c r="AR1284" s="15"/>
      <c r="AS1284" s="15"/>
      <c r="AT1284" t="s">
        <v>869</v>
      </c>
    </row>
    <row r="1285" ht="15.75" customHeight="1" spans="1:46">
      <c r="A1285" s="15" t="s">
        <v>2099</v>
      </c>
      <c r="B1285" s="15" t="s">
        <v>203</v>
      </c>
      <c r="C1285" s="15" t="s">
        <v>1499</v>
      </c>
      <c r="D1285" s="15" t="s">
        <v>2088</v>
      </c>
      <c r="E1285" s="15" t="s">
        <v>2100</v>
      </c>
      <c r="F1285" s="15" t="s">
        <v>2101</v>
      </c>
      <c r="G1285" s="15"/>
      <c r="H1285" s="15" t="s">
        <v>2034</v>
      </c>
      <c r="I1285" s="15" t="s">
        <v>2058</v>
      </c>
      <c r="J1285" s="15"/>
      <c r="K1285" s="15"/>
      <c r="L1285" s="15" t="s">
        <v>124</v>
      </c>
      <c r="M1285" s="15" t="s">
        <v>2042</v>
      </c>
      <c r="N1285" s="15" t="s">
        <v>2039</v>
      </c>
      <c r="O1285" s="15" t="s">
        <v>2040</v>
      </c>
      <c r="P1285" s="15"/>
      <c r="Q1285" s="15" t="s">
        <v>57</v>
      </c>
      <c r="R1285" s="15"/>
      <c r="S1285" s="15"/>
      <c r="T1285" s="15"/>
      <c r="U1285" s="15"/>
      <c r="V1285" s="15"/>
      <c r="W1285" s="15"/>
      <c r="X1285" s="15"/>
      <c r="Y1285" s="15" t="s">
        <v>2102</v>
      </c>
      <c r="Z1285" s="15">
        <v>9405</v>
      </c>
      <c r="AA1285" s="15"/>
      <c r="AB1285" s="15"/>
      <c r="AC1285" s="15"/>
      <c r="AD1285" s="15"/>
      <c r="AE1285" s="15">
        <v>1150</v>
      </c>
      <c r="AF1285" s="16">
        <v>0.65</v>
      </c>
      <c r="AG1285" s="15">
        <f t="shared" si="129"/>
        <v>402.5</v>
      </c>
      <c r="AH1285" s="16">
        <v>0.18</v>
      </c>
      <c r="AI1285" s="15">
        <f t="shared" si="124"/>
        <v>474.95</v>
      </c>
      <c r="AJ1285" s="16">
        <v>0.2</v>
      </c>
      <c r="AK1285" s="15">
        <f t="shared" si="125"/>
        <v>94.99</v>
      </c>
      <c r="AL1285" s="15">
        <f t="shared" si="126"/>
        <v>569.94</v>
      </c>
      <c r="AM1285" s="15">
        <f t="shared" si="127"/>
        <v>580.06</v>
      </c>
      <c r="AN1285" s="16">
        <f t="shared" si="128"/>
        <v>0.5044</v>
      </c>
      <c r="AO1285" s="15" t="s">
        <v>221</v>
      </c>
      <c r="AP1285" s="15"/>
      <c r="AQ1285" s="15" t="s">
        <v>217</v>
      </c>
      <c r="AR1285" s="15"/>
      <c r="AS1285" s="15"/>
      <c r="AT1285" t="s">
        <v>869</v>
      </c>
    </row>
    <row r="1286" ht="15.75" customHeight="1" spans="1:46">
      <c r="A1286" s="15" t="s">
        <v>2099</v>
      </c>
      <c r="B1286" s="15" t="s">
        <v>204</v>
      </c>
      <c r="C1286" s="15" t="s">
        <v>1499</v>
      </c>
      <c r="D1286" s="15" t="s">
        <v>2088</v>
      </c>
      <c r="E1286" s="15" t="s">
        <v>2100</v>
      </c>
      <c r="F1286" s="15" t="s">
        <v>2101</v>
      </c>
      <c r="G1286" s="15"/>
      <c r="H1286" s="15" t="s">
        <v>2034</v>
      </c>
      <c r="I1286" s="15" t="s">
        <v>2058</v>
      </c>
      <c r="J1286" s="15"/>
      <c r="K1286" s="15"/>
      <c r="L1286" s="15" t="s">
        <v>124</v>
      </c>
      <c r="M1286" s="15" t="s">
        <v>2043</v>
      </c>
      <c r="N1286" s="15" t="s">
        <v>2039</v>
      </c>
      <c r="O1286" s="15" t="s">
        <v>2040</v>
      </c>
      <c r="P1286" s="15"/>
      <c r="Q1286" s="15" t="s">
        <v>57</v>
      </c>
      <c r="R1286" s="15"/>
      <c r="S1286" s="15"/>
      <c r="T1286" s="15"/>
      <c r="U1286" s="15"/>
      <c r="V1286" s="15"/>
      <c r="W1286" s="15"/>
      <c r="X1286" s="15"/>
      <c r="Y1286" s="15" t="s">
        <v>2102</v>
      </c>
      <c r="Z1286" s="15">
        <v>9405</v>
      </c>
      <c r="AA1286" s="15"/>
      <c r="AB1286" s="15"/>
      <c r="AC1286" s="15"/>
      <c r="AD1286" s="15"/>
      <c r="AE1286" s="15">
        <v>1150</v>
      </c>
      <c r="AF1286" s="16">
        <v>0.65</v>
      </c>
      <c r="AG1286" s="15">
        <f t="shared" si="129"/>
        <v>402.5</v>
      </c>
      <c r="AH1286" s="16">
        <v>0.18</v>
      </c>
      <c r="AI1286" s="15">
        <f t="shared" si="124"/>
        <v>474.95</v>
      </c>
      <c r="AJ1286" s="16">
        <v>0.2</v>
      </c>
      <c r="AK1286" s="15">
        <f t="shared" si="125"/>
        <v>94.99</v>
      </c>
      <c r="AL1286" s="15">
        <f t="shared" si="126"/>
        <v>569.94</v>
      </c>
      <c r="AM1286" s="15">
        <f t="shared" si="127"/>
        <v>580.06</v>
      </c>
      <c r="AN1286" s="16">
        <f t="shared" si="128"/>
        <v>0.5044</v>
      </c>
      <c r="AO1286" s="15" t="s">
        <v>221</v>
      </c>
      <c r="AP1286" s="15"/>
      <c r="AQ1286" s="15" t="s">
        <v>217</v>
      </c>
      <c r="AR1286" s="15"/>
      <c r="AS1286" s="15"/>
      <c r="AT1286" t="s">
        <v>869</v>
      </c>
    </row>
    <row r="1287" ht="15.75" customHeight="1" spans="1:46">
      <c r="A1287" s="15" t="s">
        <v>2099</v>
      </c>
      <c r="B1287" s="15" t="s">
        <v>205</v>
      </c>
      <c r="C1287" s="15" t="s">
        <v>1499</v>
      </c>
      <c r="D1287" s="15" t="s">
        <v>2088</v>
      </c>
      <c r="E1287" s="15" t="s">
        <v>2100</v>
      </c>
      <c r="F1287" s="15" t="s">
        <v>2101</v>
      </c>
      <c r="G1287" s="15"/>
      <c r="H1287" s="15" t="s">
        <v>2034</v>
      </c>
      <c r="I1287" s="15" t="s">
        <v>2058</v>
      </c>
      <c r="J1287" s="15"/>
      <c r="K1287" s="15"/>
      <c r="L1287" s="15" t="s">
        <v>124</v>
      </c>
      <c r="M1287" s="15" t="s">
        <v>2038</v>
      </c>
      <c r="N1287" s="15" t="s">
        <v>2039</v>
      </c>
      <c r="O1287" s="15" t="s">
        <v>2051</v>
      </c>
      <c r="P1287" s="15"/>
      <c r="Q1287" s="15" t="s">
        <v>57</v>
      </c>
      <c r="R1287" s="15"/>
      <c r="S1287" s="15"/>
      <c r="T1287" s="15"/>
      <c r="U1287" s="15"/>
      <c r="V1287" s="15"/>
      <c r="W1287" s="15"/>
      <c r="X1287" s="15"/>
      <c r="Y1287" s="15" t="s">
        <v>2103</v>
      </c>
      <c r="Z1287" s="15">
        <v>9405</v>
      </c>
      <c r="AA1287" s="15"/>
      <c r="AB1287" s="15"/>
      <c r="AC1287" s="15"/>
      <c r="AD1287" s="15"/>
      <c r="AE1287" s="15">
        <v>1150</v>
      </c>
      <c r="AF1287" s="16">
        <v>0.65</v>
      </c>
      <c r="AG1287" s="15">
        <f t="shared" si="129"/>
        <v>402.5</v>
      </c>
      <c r="AH1287" s="16">
        <v>0.18</v>
      </c>
      <c r="AI1287" s="15">
        <f t="shared" si="124"/>
        <v>474.95</v>
      </c>
      <c r="AJ1287" s="16">
        <v>0.2</v>
      </c>
      <c r="AK1287" s="15">
        <f t="shared" si="125"/>
        <v>94.99</v>
      </c>
      <c r="AL1287" s="15">
        <f t="shared" si="126"/>
        <v>569.94</v>
      </c>
      <c r="AM1287" s="15">
        <f t="shared" si="127"/>
        <v>580.06</v>
      </c>
      <c r="AN1287" s="16">
        <f t="shared" si="128"/>
        <v>0.5044</v>
      </c>
      <c r="AO1287" s="15" t="s">
        <v>221</v>
      </c>
      <c r="AP1287" s="15"/>
      <c r="AQ1287" s="15" t="s">
        <v>217</v>
      </c>
      <c r="AR1287" s="15"/>
      <c r="AS1287" s="15"/>
      <c r="AT1287" t="s">
        <v>869</v>
      </c>
    </row>
    <row r="1288" ht="15.75" customHeight="1" spans="1:46">
      <c r="A1288" s="15" t="s">
        <v>2099</v>
      </c>
      <c r="B1288" s="15" t="s">
        <v>206</v>
      </c>
      <c r="C1288" s="15" t="s">
        <v>1499</v>
      </c>
      <c r="D1288" s="15" t="s">
        <v>2088</v>
      </c>
      <c r="E1288" s="15" t="s">
        <v>2100</v>
      </c>
      <c r="F1288" s="15" t="s">
        <v>2101</v>
      </c>
      <c r="G1288" s="15"/>
      <c r="H1288" s="15" t="s">
        <v>2034</v>
      </c>
      <c r="I1288" s="15" t="s">
        <v>2058</v>
      </c>
      <c r="J1288" s="15"/>
      <c r="K1288" s="15"/>
      <c r="L1288" s="15" t="s">
        <v>124</v>
      </c>
      <c r="M1288" s="15" t="s">
        <v>2042</v>
      </c>
      <c r="N1288" s="15" t="s">
        <v>2039</v>
      </c>
      <c r="O1288" s="15" t="s">
        <v>2051</v>
      </c>
      <c r="P1288" s="15"/>
      <c r="Q1288" s="15" t="s">
        <v>57</v>
      </c>
      <c r="R1288" s="15"/>
      <c r="S1288" s="15"/>
      <c r="T1288" s="15"/>
      <c r="U1288" s="15"/>
      <c r="V1288" s="15"/>
      <c r="W1288" s="15"/>
      <c r="X1288" s="15"/>
      <c r="Y1288" s="15" t="s">
        <v>2103</v>
      </c>
      <c r="Z1288" s="15">
        <v>9405</v>
      </c>
      <c r="AA1288" s="15"/>
      <c r="AB1288" s="15"/>
      <c r="AC1288" s="15"/>
      <c r="AD1288" s="15"/>
      <c r="AE1288" s="15">
        <v>1150</v>
      </c>
      <c r="AF1288" s="16">
        <v>0.65</v>
      </c>
      <c r="AG1288" s="15">
        <f t="shared" si="129"/>
        <v>402.5</v>
      </c>
      <c r="AH1288" s="16">
        <v>0.18</v>
      </c>
      <c r="AI1288" s="15">
        <f t="shared" si="124"/>
        <v>474.95</v>
      </c>
      <c r="AJ1288" s="16">
        <v>0.2</v>
      </c>
      <c r="AK1288" s="15">
        <f t="shared" si="125"/>
        <v>94.99</v>
      </c>
      <c r="AL1288" s="15">
        <f t="shared" si="126"/>
        <v>569.94</v>
      </c>
      <c r="AM1288" s="15">
        <f t="shared" si="127"/>
        <v>580.06</v>
      </c>
      <c r="AN1288" s="16">
        <f t="shared" si="128"/>
        <v>0.5044</v>
      </c>
      <c r="AO1288" s="15" t="s">
        <v>221</v>
      </c>
      <c r="AP1288" s="15"/>
      <c r="AQ1288" s="15" t="s">
        <v>217</v>
      </c>
      <c r="AR1288" s="15"/>
      <c r="AS1288" s="15"/>
      <c r="AT1288" t="s">
        <v>869</v>
      </c>
    </row>
    <row r="1289" ht="15.75" customHeight="1" spans="1:46">
      <c r="A1289" s="15" t="s">
        <v>2099</v>
      </c>
      <c r="B1289" s="15" t="s">
        <v>207</v>
      </c>
      <c r="C1289" s="15" t="s">
        <v>1499</v>
      </c>
      <c r="D1289" s="15" t="s">
        <v>2088</v>
      </c>
      <c r="E1289" s="15" t="s">
        <v>2100</v>
      </c>
      <c r="F1289" s="15" t="s">
        <v>2101</v>
      </c>
      <c r="G1289" s="15"/>
      <c r="H1289" s="15" t="s">
        <v>2034</v>
      </c>
      <c r="I1289" s="15" t="s">
        <v>2058</v>
      </c>
      <c r="J1289" s="15"/>
      <c r="K1289" s="15"/>
      <c r="L1289" s="15" t="s">
        <v>124</v>
      </c>
      <c r="M1289" s="15" t="s">
        <v>2043</v>
      </c>
      <c r="N1289" s="15" t="s">
        <v>2039</v>
      </c>
      <c r="O1289" s="15" t="s">
        <v>2051</v>
      </c>
      <c r="P1289" s="15"/>
      <c r="Q1289" s="15" t="s">
        <v>57</v>
      </c>
      <c r="R1289" s="15"/>
      <c r="S1289" s="15"/>
      <c r="T1289" s="15"/>
      <c r="U1289" s="15"/>
      <c r="V1289" s="15"/>
      <c r="W1289" s="15"/>
      <c r="X1289" s="15"/>
      <c r="Y1289" s="15" t="s">
        <v>2103</v>
      </c>
      <c r="Z1289" s="15">
        <v>9405</v>
      </c>
      <c r="AA1289" s="15"/>
      <c r="AB1289" s="15"/>
      <c r="AC1289" s="15"/>
      <c r="AD1289" s="15"/>
      <c r="AE1289" s="15">
        <v>1150</v>
      </c>
      <c r="AF1289" s="16">
        <v>0.65</v>
      </c>
      <c r="AG1289" s="15">
        <f t="shared" si="129"/>
        <v>402.5</v>
      </c>
      <c r="AH1289" s="16">
        <v>0.18</v>
      </c>
      <c r="AI1289" s="15">
        <f t="shared" si="124"/>
        <v>474.95</v>
      </c>
      <c r="AJ1289" s="16">
        <v>0.2</v>
      </c>
      <c r="AK1289" s="15">
        <f t="shared" si="125"/>
        <v>94.99</v>
      </c>
      <c r="AL1289" s="15">
        <f t="shared" si="126"/>
        <v>569.94</v>
      </c>
      <c r="AM1289" s="15">
        <f t="shared" si="127"/>
        <v>580.06</v>
      </c>
      <c r="AN1289" s="16">
        <f t="shared" si="128"/>
        <v>0.5044</v>
      </c>
      <c r="AO1289" s="15" t="s">
        <v>221</v>
      </c>
      <c r="AP1289" s="15"/>
      <c r="AQ1289" s="15" t="s">
        <v>217</v>
      </c>
      <c r="AR1289" s="15"/>
      <c r="AS1289" s="15"/>
      <c r="AT1289" t="s">
        <v>869</v>
      </c>
    </row>
    <row r="1290" ht="15.75" customHeight="1" spans="1:46">
      <c r="A1290" s="15" t="s">
        <v>2099</v>
      </c>
      <c r="B1290" s="15" t="s">
        <v>208</v>
      </c>
      <c r="C1290" s="15" t="s">
        <v>1499</v>
      </c>
      <c r="D1290" s="15" t="s">
        <v>2088</v>
      </c>
      <c r="E1290" s="15" t="s">
        <v>2100</v>
      </c>
      <c r="F1290" s="15" t="s">
        <v>2101</v>
      </c>
      <c r="G1290" s="15"/>
      <c r="H1290" s="15" t="s">
        <v>2034</v>
      </c>
      <c r="I1290" s="15" t="s">
        <v>2104</v>
      </c>
      <c r="J1290" s="15"/>
      <c r="K1290" s="15"/>
      <c r="L1290" s="15" t="s">
        <v>124</v>
      </c>
      <c r="M1290" s="15" t="s">
        <v>2038</v>
      </c>
      <c r="N1290" s="15" t="s">
        <v>2039</v>
      </c>
      <c r="O1290" s="15" t="s">
        <v>2040</v>
      </c>
      <c r="P1290" s="15"/>
      <c r="Q1290" s="15" t="s">
        <v>57</v>
      </c>
      <c r="R1290" s="15"/>
      <c r="S1290" s="15"/>
      <c r="T1290" s="15"/>
      <c r="U1290" s="15"/>
      <c r="V1290" s="15"/>
      <c r="W1290" s="15"/>
      <c r="X1290" s="15"/>
      <c r="Y1290" s="15" t="s">
        <v>2102</v>
      </c>
      <c r="Z1290" s="15">
        <v>9405</v>
      </c>
      <c r="AA1290" s="15"/>
      <c r="AB1290" s="15"/>
      <c r="AC1290" s="15"/>
      <c r="AD1290" s="15"/>
      <c r="AE1290" s="15">
        <v>1550</v>
      </c>
      <c r="AF1290" s="16">
        <v>0.58</v>
      </c>
      <c r="AG1290" s="15">
        <f t="shared" si="129"/>
        <v>651</v>
      </c>
      <c r="AH1290" s="16">
        <v>0.18</v>
      </c>
      <c r="AI1290" s="15">
        <f t="shared" si="124"/>
        <v>768.18</v>
      </c>
      <c r="AJ1290" s="16">
        <v>0.2</v>
      </c>
      <c r="AK1290" s="15">
        <f t="shared" si="125"/>
        <v>153.64</v>
      </c>
      <c r="AL1290" s="15">
        <f t="shared" si="126"/>
        <v>921.82</v>
      </c>
      <c r="AM1290" s="15">
        <f t="shared" si="127"/>
        <v>628.18</v>
      </c>
      <c r="AN1290" s="16">
        <f t="shared" si="128"/>
        <v>0.405277419354839</v>
      </c>
      <c r="AO1290" s="15" t="s">
        <v>221</v>
      </c>
      <c r="AP1290" s="15"/>
      <c r="AQ1290" s="15" t="s">
        <v>217</v>
      </c>
      <c r="AR1290" s="15"/>
      <c r="AS1290" s="15"/>
      <c r="AT1290" t="s">
        <v>869</v>
      </c>
    </row>
    <row r="1291" ht="15.75" customHeight="1" spans="1:46">
      <c r="A1291" s="15" t="s">
        <v>2099</v>
      </c>
      <c r="B1291" s="15" t="s">
        <v>209</v>
      </c>
      <c r="C1291" s="15" t="s">
        <v>1499</v>
      </c>
      <c r="D1291" s="15" t="s">
        <v>2088</v>
      </c>
      <c r="E1291" s="15" t="s">
        <v>2100</v>
      </c>
      <c r="F1291" s="15" t="s">
        <v>2101</v>
      </c>
      <c r="G1291" s="15"/>
      <c r="H1291" s="15" t="s">
        <v>2034</v>
      </c>
      <c r="I1291" s="15" t="s">
        <v>2104</v>
      </c>
      <c r="J1291" s="15"/>
      <c r="K1291" s="15"/>
      <c r="L1291" s="15" t="s">
        <v>124</v>
      </c>
      <c r="M1291" s="15" t="s">
        <v>2042</v>
      </c>
      <c r="N1291" s="15" t="s">
        <v>2039</v>
      </c>
      <c r="O1291" s="15" t="s">
        <v>2040</v>
      </c>
      <c r="P1291" s="15"/>
      <c r="Q1291" s="15" t="s">
        <v>57</v>
      </c>
      <c r="R1291" s="15"/>
      <c r="S1291" s="15"/>
      <c r="T1291" s="15"/>
      <c r="U1291" s="15"/>
      <c r="V1291" s="15"/>
      <c r="W1291" s="15"/>
      <c r="X1291" s="15"/>
      <c r="Y1291" s="15" t="s">
        <v>2102</v>
      </c>
      <c r="Z1291" s="15">
        <v>9405</v>
      </c>
      <c r="AA1291" s="15"/>
      <c r="AB1291" s="15"/>
      <c r="AC1291" s="15"/>
      <c r="AD1291" s="15"/>
      <c r="AE1291" s="15">
        <v>1550</v>
      </c>
      <c r="AF1291" s="16">
        <v>0.58</v>
      </c>
      <c r="AG1291" s="15">
        <f t="shared" si="129"/>
        <v>651</v>
      </c>
      <c r="AH1291" s="16">
        <v>0.18</v>
      </c>
      <c r="AI1291" s="15">
        <f t="shared" si="124"/>
        <v>768.18</v>
      </c>
      <c r="AJ1291" s="16">
        <v>0.2</v>
      </c>
      <c r="AK1291" s="15">
        <f t="shared" si="125"/>
        <v>153.64</v>
      </c>
      <c r="AL1291" s="15">
        <f t="shared" si="126"/>
        <v>921.82</v>
      </c>
      <c r="AM1291" s="15">
        <f t="shared" si="127"/>
        <v>628.18</v>
      </c>
      <c r="AN1291" s="16">
        <f t="shared" si="128"/>
        <v>0.405277419354839</v>
      </c>
      <c r="AO1291" s="15" t="s">
        <v>221</v>
      </c>
      <c r="AP1291" s="15"/>
      <c r="AQ1291" s="15" t="s">
        <v>217</v>
      </c>
      <c r="AR1291" s="15"/>
      <c r="AS1291" s="15"/>
      <c r="AT1291" t="s">
        <v>869</v>
      </c>
    </row>
    <row r="1292" ht="15.75" customHeight="1" spans="1:46">
      <c r="A1292" s="15" t="s">
        <v>2099</v>
      </c>
      <c r="B1292" s="15" t="s">
        <v>210</v>
      </c>
      <c r="C1292" s="15" t="s">
        <v>1499</v>
      </c>
      <c r="D1292" s="15" t="s">
        <v>2088</v>
      </c>
      <c r="E1292" s="15" t="s">
        <v>2100</v>
      </c>
      <c r="F1292" s="15" t="s">
        <v>2101</v>
      </c>
      <c r="G1292" s="15"/>
      <c r="H1292" s="15" t="s">
        <v>2034</v>
      </c>
      <c r="I1292" s="15" t="s">
        <v>2104</v>
      </c>
      <c r="J1292" s="15"/>
      <c r="K1292" s="15"/>
      <c r="L1292" s="15" t="s">
        <v>124</v>
      </c>
      <c r="M1292" s="15" t="s">
        <v>2043</v>
      </c>
      <c r="N1292" s="15" t="s">
        <v>2039</v>
      </c>
      <c r="O1292" s="15" t="s">
        <v>2040</v>
      </c>
      <c r="P1292" s="15"/>
      <c r="Q1292" s="15" t="s">
        <v>57</v>
      </c>
      <c r="R1292" s="15"/>
      <c r="S1292" s="15"/>
      <c r="T1292" s="15"/>
      <c r="U1292" s="15"/>
      <c r="V1292" s="15"/>
      <c r="W1292" s="15"/>
      <c r="X1292" s="15"/>
      <c r="Y1292" s="15" t="s">
        <v>2102</v>
      </c>
      <c r="Z1292" s="15">
        <v>9405</v>
      </c>
      <c r="AA1292" s="15"/>
      <c r="AB1292" s="15"/>
      <c r="AC1292" s="15"/>
      <c r="AD1292" s="15"/>
      <c r="AE1292" s="15">
        <v>1550</v>
      </c>
      <c r="AF1292" s="16">
        <v>0.58</v>
      </c>
      <c r="AG1292" s="15">
        <f t="shared" si="129"/>
        <v>651</v>
      </c>
      <c r="AH1292" s="16">
        <v>0.18</v>
      </c>
      <c r="AI1292" s="15">
        <f t="shared" si="124"/>
        <v>768.18</v>
      </c>
      <c r="AJ1292" s="16">
        <v>0.2</v>
      </c>
      <c r="AK1292" s="15">
        <f t="shared" si="125"/>
        <v>153.64</v>
      </c>
      <c r="AL1292" s="15">
        <f t="shared" si="126"/>
        <v>921.82</v>
      </c>
      <c r="AM1292" s="15">
        <f t="shared" si="127"/>
        <v>628.18</v>
      </c>
      <c r="AN1292" s="16">
        <f t="shared" si="128"/>
        <v>0.405277419354839</v>
      </c>
      <c r="AO1292" s="15" t="s">
        <v>221</v>
      </c>
      <c r="AP1292" s="15"/>
      <c r="AQ1292" s="15" t="s">
        <v>217</v>
      </c>
      <c r="AR1292" s="15"/>
      <c r="AS1292" s="15"/>
      <c r="AT1292" t="s">
        <v>869</v>
      </c>
    </row>
    <row r="1293" ht="15.75" customHeight="1" spans="1:46">
      <c r="A1293" s="15" t="s">
        <v>2099</v>
      </c>
      <c r="B1293" s="15" t="s">
        <v>211</v>
      </c>
      <c r="C1293" s="15" t="s">
        <v>1499</v>
      </c>
      <c r="D1293" s="15" t="s">
        <v>2088</v>
      </c>
      <c r="E1293" s="15" t="s">
        <v>2100</v>
      </c>
      <c r="F1293" s="15" t="s">
        <v>2101</v>
      </c>
      <c r="G1293" s="15"/>
      <c r="H1293" s="15" t="s">
        <v>2034</v>
      </c>
      <c r="I1293" s="15" t="s">
        <v>2104</v>
      </c>
      <c r="J1293" s="15"/>
      <c r="K1293" s="15"/>
      <c r="L1293" s="15" t="s">
        <v>124</v>
      </c>
      <c r="M1293" s="15" t="s">
        <v>2038</v>
      </c>
      <c r="N1293" s="15" t="s">
        <v>2039</v>
      </c>
      <c r="O1293" s="15" t="s">
        <v>2051</v>
      </c>
      <c r="P1293" s="15"/>
      <c r="Q1293" s="15" t="s">
        <v>57</v>
      </c>
      <c r="R1293" s="15"/>
      <c r="S1293" s="15"/>
      <c r="T1293" s="15"/>
      <c r="U1293" s="15"/>
      <c r="V1293" s="15"/>
      <c r="W1293" s="15"/>
      <c r="X1293" s="15"/>
      <c r="Y1293" s="15" t="s">
        <v>2103</v>
      </c>
      <c r="Z1293" s="15">
        <v>9405</v>
      </c>
      <c r="AA1293" s="15"/>
      <c r="AB1293" s="15"/>
      <c r="AC1293" s="15"/>
      <c r="AD1293" s="15"/>
      <c r="AE1293" s="15">
        <v>1550</v>
      </c>
      <c r="AF1293" s="16">
        <v>0.58</v>
      </c>
      <c r="AG1293" s="15">
        <f t="shared" si="129"/>
        <v>651</v>
      </c>
      <c r="AH1293" s="16">
        <v>0.18</v>
      </c>
      <c r="AI1293" s="15">
        <f t="shared" si="124"/>
        <v>768.18</v>
      </c>
      <c r="AJ1293" s="16">
        <v>0.2</v>
      </c>
      <c r="AK1293" s="15">
        <f t="shared" si="125"/>
        <v>153.64</v>
      </c>
      <c r="AL1293" s="15">
        <f t="shared" si="126"/>
        <v>921.82</v>
      </c>
      <c r="AM1293" s="15">
        <f t="shared" si="127"/>
        <v>628.18</v>
      </c>
      <c r="AN1293" s="16">
        <f t="shared" si="128"/>
        <v>0.405277419354839</v>
      </c>
      <c r="AO1293" s="15" t="s">
        <v>221</v>
      </c>
      <c r="AP1293" s="15"/>
      <c r="AQ1293" s="15" t="s">
        <v>217</v>
      </c>
      <c r="AR1293" s="15"/>
      <c r="AS1293" s="15"/>
      <c r="AT1293" t="s">
        <v>869</v>
      </c>
    </row>
    <row r="1294" ht="15.75" customHeight="1" spans="1:46">
      <c r="A1294" s="15" t="s">
        <v>2099</v>
      </c>
      <c r="B1294" s="15" t="s">
        <v>212</v>
      </c>
      <c r="C1294" s="15" t="s">
        <v>1499</v>
      </c>
      <c r="D1294" s="15" t="s">
        <v>2088</v>
      </c>
      <c r="E1294" s="15" t="s">
        <v>2100</v>
      </c>
      <c r="F1294" s="15" t="s">
        <v>2101</v>
      </c>
      <c r="G1294" s="15"/>
      <c r="H1294" s="15" t="s">
        <v>2034</v>
      </c>
      <c r="I1294" s="15" t="s">
        <v>2104</v>
      </c>
      <c r="J1294" s="15"/>
      <c r="K1294" s="15"/>
      <c r="L1294" s="15" t="s">
        <v>124</v>
      </c>
      <c r="M1294" s="15" t="s">
        <v>2042</v>
      </c>
      <c r="N1294" s="15" t="s">
        <v>2039</v>
      </c>
      <c r="O1294" s="15" t="s">
        <v>2051</v>
      </c>
      <c r="P1294" s="15"/>
      <c r="Q1294" s="15" t="s">
        <v>57</v>
      </c>
      <c r="R1294" s="15"/>
      <c r="S1294" s="15"/>
      <c r="T1294" s="15"/>
      <c r="U1294" s="15"/>
      <c r="V1294" s="15"/>
      <c r="W1294" s="15"/>
      <c r="X1294" s="15"/>
      <c r="Y1294" s="15" t="s">
        <v>2103</v>
      </c>
      <c r="Z1294" s="15">
        <v>9405</v>
      </c>
      <c r="AA1294" s="15"/>
      <c r="AB1294" s="15"/>
      <c r="AC1294" s="15"/>
      <c r="AD1294" s="15"/>
      <c r="AE1294" s="15">
        <v>1550</v>
      </c>
      <c r="AF1294" s="16">
        <v>0.58</v>
      </c>
      <c r="AG1294" s="15">
        <f t="shared" si="129"/>
        <v>651</v>
      </c>
      <c r="AH1294" s="16">
        <v>0.18</v>
      </c>
      <c r="AI1294" s="15">
        <f t="shared" si="124"/>
        <v>768.18</v>
      </c>
      <c r="AJ1294" s="16">
        <v>0.2</v>
      </c>
      <c r="AK1294" s="15">
        <f t="shared" si="125"/>
        <v>153.64</v>
      </c>
      <c r="AL1294" s="15">
        <f t="shared" si="126"/>
        <v>921.82</v>
      </c>
      <c r="AM1294" s="15">
        <f t="shared" si="127"/>
        <v>628.18</v>
      </c>
      <c r="AN1294" s="16">
        <f t="shared" si="128"/>
        <v>0.405277419354839</v>
      </c>
      <c r="AO1294" s="15" t="s">
        <v>221</v>
      </c>
      <c r="AP1294" s="15"/>
      <c r="AQ1294" s="15" t="s">
        <v>217</v>
      </c>
      <c r="AR1294" s="15"/>
      <c r="AS1294" s="15"/>
      <c r="AT1294" t="s">
        <v>869</v>
      </c>
    </row>
    <row r="1295" ht="15.75" customHeight="1" spans="1:46">
      <c r="A1295" s="15" t="s">
        <v>2099</v>
      </c>
      <c r="B1295" s="15" t="s">
        <v>213</v>
      </c>
      <c r="C1295" s="15" t="s">
        <v>1499</v>
      </c>
      <c r="D1295" s="15" t="s">
        <v>2088</v>
      </c>
      <c r="E1295" s="15" t="s">
        <v>2100</v>
      </c>
      <c r="F1295" s="15" t="s">
        <v>2101</v>
      </c>
      <c r="G1295" s="15"/>
      <c r="H1295" s="15" t="s">
        <v>2034</v>
      </c>
      <c r="I1295" s="15" t="s">
        <v>2104</v>
      </c>
      <c r="J1295" s="15"/>
      <c r="K1295" s="15"/>
      <c r="L1295" s="15" t="s">
        <v>124</v>
      </c>
      <c r="M1295" s="15" t="s">
        <v>2043</v>
      </c>
      <c r="N1295" s="15" t="s">
        <v>2039</v>
      </c>
      <c r="O1295" s="15" t="s">
        <v>2051</v>
      </c>
      <c r="P1295" s="15"/>
      <c r="Q1295" s="15" t="s">
        <v>57</v>
      </c>
      <c r="R1295" s="15"/>
      <c r="S1295" s="15"/>
      <c r="T1295" s="15"/>
      <c r="U1295" s="15"/>
      <c r="V1295" s="15"/>
      <c r="W1295" s="15"/>
      <c r="X1295" s="15"/>
      <c r="Y1295" s="15" t="s">
        <v>2103</v>
      </c>
      <c r="Z1295" s="15">
        <v>9405</v>
      </c>
      <c r="AA1295" s="15"/>
      <c r="AB1295" s="15"/>
      <c r="AC1295" s="15"/>
      <c r="AD1295" s="15"/>
      <c r="AE1295" s="15">
        <v>1550</v>
      </c>
      <c r="AF1295" s="16">
        <v>0.58</v>
      </c>
      <c r="AG1295" s="15">
        <f t="shared" si="129"/>
        <v>651</v>
      </c>
      <c r="AH1295" s="16">
        <v>0.18</v>
      </c>
      <c r="AI1295" s="15">
        <f t="shared" si="124"/>
        <v>768.18</v>
      </c>
      <c r="AJ1295" s="16">
        <v>0.2</v>
      </c>
      <c r="AK1295" s="15">
        <f t="shared" si="125"/>
        <v>153.64</v>
      </c>
      <c r="AL1295" s="15">
        <f t="shared" si="126"/>
        <v>921.82</v>
      </c>
      <c r="AM1295" s="15">
        <f t="shared" si="127"/>
        <v>628.18</v>
      </c>
      <c r="AN1295" s="16">
        <f t="shared" si="128"/>
        <v>0.405277419354839</v>
      </c>
      <c r="AO1295" s="15" t="s">
        <v>221</v>
      </c>
      <c r="AP1295" s="15"/>
      <c r="AQ1295" s="15" t="s">
        <v>217</v>
      </c>
      <c r="AR1295" s="15"/>
      <c r="AS1295" s="15"/>
      <c r="AT1295" t="s">
        <v>869</v>
      </c>
    </row>
    <row r="1296" ht="15.75" customHeight="1" spans="1:46">
      <c r="A1296" s="15" t="s">
        <v>2105</v>
      </c>
      <c r="B1296" s="15" t="s">
        <v>46</v>
      </c>
      <c r="C1296" s="15" t="s">
        <v>1499</v>
      </c>
      <c r="D1296" s="15" t="s">
        <v>2088</v>
      </c>
      <c r="E1296" s="15" t="s">
        <v>2100</v>
      </c>
      <c r="F1296" s="15" t="s">
        <v>2106</v>
      </c>
      <c r="G1296" s="15"/>
      <c r="H1296" s="15" t="s">
        <v>2034</v>
      </c>
      <c r="I1296" s="15" t="s">
        <v>2035</v>
      </c>
      <c r="J1296" s="15"/>
      <c r="K1296" s="15"/>
      <c r="L1296" s="15" t="s">
        <v>124</v>
      </c>
      <c r="M1296" s="15" t="s">
        <v>2038</v>
      </c>
      <c r="N1296" s="15" t="s">
        <v>2039</v>
      </c>
      <c r="O1296" s="15" t="s">
        <v>2040</v>
      </c>
      <c r="P1296" s="15"/>
      <c r="Q1296" s="15" t="s">
        <v>57</v>
      </c>
      <c r="R1296" s="15"/>
      <c r="S1296" s="15"/>
      <c r="T1296" s="15"/>
      <c r="U1296" s="15"/>
      <c r="V1296" s="15"/>
      <c r="W1296" s="15"/>
      <c r="X1296" s="15"/>
      <c r="Y1296" s="15" t="s">
        <v>2107</v>
      </c>
      <c r="Z1296" s="15">
        <v>9405</v>
      </c>
      <c r="AA1296" s="15"/>
      <c r="AB1296" s="15"/>
      <c r="AC1296" s="15"/>
      <c r="AD1296" s="15"/>
      <c r="AE1296" s="15">
        <v>252</v>
      </c>
      <c r="AF1296" s="16">
        <v>0.62</v>
      </c>
      <c r="AG1296" s="15">
        <f t="shared" si="129"/>
        <v>95.76</v>
      </c>
      <c r="AH1296" s="16">
        <v>0.18</v>
      </c>
      <c r="AI1296" s="15">
        <f t="shared" si="124"/>
        <v>113</v>
      </c>
      <c r="AJ1296" s="16">
        <v>0.2</v>
      </c>
      <c r="AK1296" s="15">
        <f t="shared" si="125"/>
        <v>22.6</v>
      </c>
      <c r="AL1296" s="15">
        <f t="shared" si="126"/>
        <v>135.6</v>
      </c>
      <c r="AM1296" s="15">
        <f t="shared" si="127"/>
        <v>116.4</v>
      </c>
      <c r="AN1296" s="16">
        <f t="shared" si="128"/>
        <v>0.461904761904762</v>
      </c>
      <c r="AO1296" s="15" t="s">
        <v>221</v>
      </c>
      <c r="AP1296" s="15"/>
      <c r="AQ1296" s="15" t="s">
        <v>217</v>
      </c>
      <c r="AR1296" s="15"/>
      <c r="AS1296" s="15"/>
      <c r="AT1296" t="s">
        <v>869</v>
      </c>
    </row>
    <row r="1297" ht="15.75" customHeight="1" spans="1:46">
      <c r="A1297" s="15" t="s">
        <v>2105</v>
      </c>
      <c r="B1297" s="15" t="s">
        <v>67</v>
      </c>
      <c r="C1297" s="15" t="s">
        <v>1499</v>
      </c>
      <c r="D1297" s="15" t="s">
        <v>2088</v>
      </c>
      <c r="E1297" s="15" t="s">
        <v>2100</v>
      </c>
      <c r="F1297" s="15" t="s">
        <v>2106</v>
      </c>
      <c r="G1297" s="15"/>
      <c r="H1297" s="15" t="s">
        <v>2034</v>
      </c>
      <c r="I1297" s="15" t="s">
        <v>2035</v>
      </c>
      <c r="J1297" s="15"/>
      <c r="K1297" s="15"/>
      <c r="L1297" s="15" t="s">
        <v>124</v>
      </c>
      <c r="M1297" s="15" t="s">
        <v>2042</v>
      </c>
      <c r="N1297" s="15" t="s">
        <v>2039</v>
      </c>
      <c r="O1297" s="15" t="s">
        <v>2040</v>
      </c>
      <c r="P1297" s="15"/>
      <c r="Q1297" s="15" t="s">
        <v>57</v>
      </c>
      <c r="R1297" s="15"/>
      <c r="S1297" s="15"/>
      <c r="T1297" s="15"/>
      <c r="U1297" s="15"/>
      <c r="V1297" s="15"/>
      <c r="W1297" s="15"/>
      <c r="X1297" s="15"/>
      <c r="Y1297" s="15" t="s">
        <v>2107</v>
      </c>
      <c r="Z1297" s="15">
        <v>9405</v>
      </c>
      <c r="AA1297" s="15"/>
      <c r="AB1297" s="15"/>
      <c r="AC1297" s="15"/>
      <c r="AD1297" s="15"/>
      <c r="AE1297" s="15">
        <v>252</v>
      </c>
      <c r="AF1297" s="16">
        <v>0.62</v>
      </c>
      <c r="AG1297" s="15">
        <f t="shared" si="129"/>
        <v>95.76</v>
      </c>
      <c r="AH1297" s="16">
        <v>0.18</v>
      </c>
      <c r="AI1297" s="15">
        <f t="shared" si="124"/>
        <v>113</v>
      </c>
      <c r="AJ1297" s="16">
        <v>0.2</v>
      </c>
      <c r="AK1297" s="15">
        <f t="shared" si="125"/>
        <v>22.6</v>
      </c>
      <c r="AL1297" s="15">
        <f t="shared" si="126"/>
        <v>135.6</v>
      </c>
      <c r="AM1297" s="15">
        <f t="shared" si="127"/>
        <v>116.4</v>
      </c>
      <c r="AN1297" s="16">
        <f t="shared" si="128"/>
        <v>0.461904761904762</v>
      </c>
      <c r="AO1297" s="15" t="s">
        <v>221</v>
      </c>
      <c r="AP1297" s="15"/>
      <c r="AQ1297" s="15" t="s">
        <v>217</v>
      </c>
      <c r="AR1297" s="15"/>
      <c r="AS1297" s="15"/>
      <c r="AT1297" t="s">
        <v>869</v>
      </c>
    </row>
    <row r="1298" ht="15.75" customHeight="1" spans="1:46">
      <c r="A1298" s="15" t="s">
        <v>2105</v>
      </c>
      <c r="B1298" s="15" t="s">
        <v>71</v>
      </c>
      <c r="C1298" s="15" t="s">
        <v>1499</v>
      </c>
      <c r="D1298" s="15" t="s">
        <v>2088</v>
      </c>
      <c r="E1298" s="15" t="s">
        <v>2100</v>
      </c>
      <c r="F1298" s="15" t="s">
        <v>2106</v>
      </c>
      <c r="G1298" s="15"/>
      <c r="H1298" s="15" t="s">
        <v>2034</v>
      </c>
      <c r="I1298" s="15" t="s">
        <v>2035</v>
      </c>
      <c r="J1298" s="15"/>
      <c r="K1298" s="15"/>
      <c r="L1298" s="15" t="s">
        <v>124</v>
      </c>
      <c r="M1298" s="15" t="s">
        <v>2043</v>
      </c>
      <c r="N1298" s="15" t="s">
        <v>2039</v>
      </c>
      <c r="O1298" s="15" t="s">
        <v>2040</v>
      </c>
      <c r="P1298" s="15"/>
      <c r="Q1298" s="15" t="s">
        <v>57</v>
      </c>
      <c r="R1298" s="15"/>
      <c r="S1298" s="15"/>
      <c r="T1298" s="15"/>
      <c r="U1298" s="15"/>
      <c r="V1298" s="15"/>
      <c r="W1298" s="15"/>
      <c r="X1298" s="15"/>
      <c r="Y1298" s="15" t="s">
        <v>2107</v>
      </c>
      <c r="Z1298" s="15">
        <v>9405</v>
      </c>
      <c r="AA1298" s="15"/>
      <c r="AB1298" s="15"/>
      <c r="AC1298" s="15"/>
      <c r="AD1298" s="15"/>
      <c r="AE1298" s="15">
        <v>252</v>
      </c>
      <c r="AF1298" s="16">
        <v>0.62</v>
      </c>
      <c r="AG1298" s="15">
        <f t="shared" si="129"/>
        <v>95.76</v>
      </c>
      <c r="AH1298" s="16">
        <v>0.18</v>
      </c>
      <c r="AI1298" s="15">
        <f t="shared" si="124"/>
        <v>113</v>
      </c>
      <c r="AJ1298" s="16">
        <v>0.2</v>
      </c>
      <c r="AK1298" s="15">
        <f t="shared" si="125"/>
        <v>22.6</v>
      </c>
      <c r="AL1298" s="15">
        <f t="shared" si="126"/>
        <v>135.6</v>
      </c>
      <c r="AM1298" s="15">
        <f t="shared" si="127"/>
        <v>116.4</v>
      </c>
      <c r="AN1298" s="16">
        <f t="shared" si="128"/>
        <v>0.461904761904762</v>
      </c>
      <c r="AO1298" s="15" t="s">
        <v>221</v>
      </c>
      <c r="AP1298" s="15"/>
      <c r="AQ1298" s="15" t="s">
        <v>217</v>
      </c>
      <c r="AR1298" s="15"/>
      <c r="AS1298" s="15"/>
      <c r="AT1298" t="s">
        <v>869</v>
      </c>
    </row>
    <row r="1299" ht="15.75" customHeight="1" spans="1:46">
      <c r="A1299" s="15" t="s">
        <v>2105</v>
      </c>
      <c r="B1299" s="15" t="s">
        <v>75</v>
      </c>
      <c r="C1299" s="15" t="s">
        <v>1499</v>
      </c>
      <c r="D1299" s="15" t="s">
        <v>2088</v>
      </c>
      <c r="E1299" s="15" t="s">
        <v>2100</v>
      </c>
      <c r="F1299" s="15" t="s">
        <v>2106</v>
      </c>
      <c r="G1299" s="15"/>
      <c r="H1299" s="15" t="s">
        <v>2034</v>
      </c>
      <c r="I1299" s="15" t="s">
        <v>2078</v>
      </c>
      <c r="J1299" s="15"/>
      <c r="K1299" s="15"/>
      <c r="L1299" s="15" t="s">
        <v>124</v>
      </c>
      <c r="M1299" s="15" t="s">
        <v>2038</v>
      </c>
      <c r="N1299" s="15" t="s">
        <v>2039</v>
      </c>
      <c r="O1299" s="15" t="s">
        <v>2040</v>
      </c>
      <c r="P1299" s="15"/>
      <c r="Q1299" s="15" t="s">
        <v>57</v>
      </c>
      <c r="R1299" s="15"/>
      <c r="S1299" s="15"/>
      <c r="T1299" s="15"/>
      <c r="U1299" s="15"/>
      <c r="V1299" s="15"/>
      <c r="W1299" s="15"/>
      <c r="X1299" s="15"/>
      <c r="Y1299" s="15" t="s">
        <v>2107</v>
      </c>
      <c r="Z1299" s="15">
        <v>9405</v>
      </c>
      <c r="AA1299" s="15"/>
      <c r="AB1299" s="15"/>
      <c r="AC1299" s="15"/>
      <c r="AD1299" s="15"/>
      <c r="AE1299" s="15">
        <v>400</v>
      </c>
      <c r="AF1299" s="16">
        <v>0.62</v>
      </c>
      <c r="AG1299" s="15">
        <f t="shared" si="129"/>
        <v>152</v>
      </c>
      <c r="AH1299" s="16">
        <v>0.18</v>
      </c>
      <c r="AI1299" s="15">
        <f t="shared" si="124"/>
        <v>179.36</v>
      </c>
      <c r="AJ1299" s="16">
        <v>0.2</v>
      </c>
      <c r="AK1299" s="15">
        <f t="shared" si="125"/>
        <v>35.87</v>
      </c>
      <c r="AL1299" s="15">
        <f t="shared" si="126"/>
        <v>215.23</v>
      </c>
      <c r="AM1299" s="15">
        <f t="shared" si="127"/>
        <v>184.77</v>
      </c>
      <c r="AN1299" s="16">
        <f t="shared" si="128"/>
        <v>0.461925</v>
      </c>
      <c r="AO1299" s="15" t="s">
        <v>221</v>
      </c>
      <c r="AP1299" s="15"/>
      <c r="AQ1299" s="15" t="s">
        <v>217</v>
      </c>
      <c r="AR1299" s="15"/>
      <c r="AS1299" s="15"/>
      <c r="AT1299" t="s">
        <v>869</v>
      </c>
    </row>
    <row r="1300" ht="15.75" customHeight="1" spans="1:46">
      <c r="A1300" s="15" t="s">
        <v>2105</v>
      </c>
      <c r="B1300" s="15" t="s">
        <v>79</v>
      </c>
      <c r="C1300" s="15" t="s">
        <v>1499</v>
      </c>
      <c r="D1300" s="15" t="s">
        <v>2088</v>
      </c>
      <c r="E1300" s="15" t="s">
        <v>2100</v>
      </c>
      <c r="F1300" s="15" t="s">
        <v>2106</v>
      </c>
      <c r="G1300" s="15"/>
      <c r="H1300" s="15" t="s">
        <v>2034</v>
      </c>
      <c r="I1300" s="15" t="s">
        <v>2078</v>
      </c>
      <c r="J1300" s="15"/>
      <c r="K1300" s="15"/>
      <c r="L1300" s="15" t="s">
        <v>124</v>
      </c>
      <c r="M1300" s="15" t="s">
        <v>2042</v>
      </c>
      <c r="N1300" s="15" t="s">
        <v>2039</v>
      </c>
      <c r="O1300" s="15" t="s">
        <v>2040</v>
      </c>
      <c r="P1300" s="15"/>
      <c r="Q1300" s="15" t="s">
        <v>57</v>
      </c>
      <c r="R1300" s="15"/>
      <c r="S1300" s="15"/>
      <c r="T1300" s="15"/>
      <c r="U1300" s="15"/>
      <c r="V1300" s="15"/>
      <c r="W1300" s="15"/>
      <c r="X1300" s="15"/>
      <c r="Y1300" s="15" t="s">
        <v>2107</v>
      </c>
      <c r="Z1300" s="15">
        <v>9405</v>
      </c>
      <c r="AA1300" s="15"/>
      <c r="AB1300" s="15"/>
      <c r="AC1300" s="15"/>
      <c r="AD1300" s="15"/>
      <c r="AE1300" s="15">
        <v>400</v>
      </c>
      <c r="AF1300" s="16">
        <v>0.62</v>
      </c>
      <c r="AG1300" s="15">
        <f t="shared" si="129"/>
        <v>152</v>
      </c>
      <c r="AH1300" s="16">
        <v>0.18</v>
      </c>
      <c r="AI1300" s="15">
        <f t="shared" si="124"/>
        <v>179.36</v>
      </c>
      <c r="AJ1300" s="16">
        <v>0.2</v>
      </c>
      <c r="AK1300" s="15">
        <f t="shared" si="125"/>
        <v>35.87</v>
      </c>
      <c r="AL1300" s="15">
        <f t="shared" si="126"/>
        <v>215.23</v>
      </c>
      <c r="AM1300" s="15">
        <f t="shared" si="127"/>
        <v>184.77</v>
      </c>
      <c r="AN1300" s="16">
        <f t="shared" si="128"/>
        <v>0.461925</v>
      </c>
      <c r="AO1300" s="15" t="s">
        <v>221</v>
      </c>
      <c r="AP1300" s="15"/>
      <c r="AQ1300" s="15" t="s">
        <v>217</v>
      </c>
      <c r="AR1300" s="15"/>
      <c r="AS1300" s="15"/>
      <c r="AT1300" t="s">
        <v>869</v>
      </c>
    </row>
    <row r="1301" ht="15.75" customHeight="1" spans="1:46">
      <c r="A1301" s="15" t="s">
        <v>2105</v>
      </c>
      <c r="B1301" s="15" t="s">
        <v>83</v>
      </c>
      <c r="C1301" s="15" t="s">
        <v>1499</v>
      </c>
      <c r="D1301" s="15" t="s">
        <v>2088</v>
      </c>
      <c r="E1301" s="15" t="s">
        <v>2100</v>
      </c>
      <c r="F1301" s="15" t="s">
        <v>2106</v>
      </c>
      <c r="G1301" s="15"/>
      <c r="H1301" s="15" t="s">
        <v>2034</v>
      </c>
      <c r="I1301" s="15" t="s">
        <v>2078</v>
      </c>
      <c r="J1301" s="15"/>
      <c r="K1301" s="15"/>
      <c r="L1301" s="15" t="s">
        <v>124</v>
      </c>
      <c r="M1301" s="15" t="s">
        <v>2043</v>
      </c>
      <c r="N1301" s="15" t="s">
        <v>2039</v>
      </c>
      <c r="O1301" s="15" t="s">
        <v>2040</v>
      </c>
      <c r="P1301" s="15"/>
      <c r="Q1301" s="15" t="s">
        <v>57</v>
      </c>
      <c r="R1301" s="15"/>
      <c r="S1301" s="15"/>
      <c r="T1301" s="15"/>
      <c r="U1301" s="15"/>
      <c r="V1301" s="15"/>
      <c r="W1301" s="15"/>
      <c r="X1301" s="15"/>
      <c r="Y1301" s="15" t="s">
        <v>2107</v>
      </c>
      <c r="Z1301" s="15">
        <v>9405</v>
      </c>
      <c r="AA1301" s="15"/>
      <c r="AB1301" s="15"/>
      <c r="AC1301" s="15"/>
      <c r="AD1301" s="15"/>
      <c r="AE1301" s="15">
        <v>400</v>
      </c>
      <c r="AF1301" s="16">
        <v>0.62</v>
      </c>
      <c r="AG1301" s="15">
        <f t="shared" si="129"/>
        <v>152</v>
      </c>
      <c r="AH1301" s="16">
        <v>0.18</v>
      </c>
      <c r="AI1301" s="15">
        <f t="shared" si="124"/>
        <v>179.36</v>
      </c>
      <c r="AJ1301" s="16">
        <v>0.2</v>
      </c>
      <c r="AK1301" s="15">
        <f t="shared" si="125"/>
        <v>35.87</v>
      </c>
      <c r="AL1301" s="15">
        <f t="shared" si="126"/>
        <v>215.23</v>
      </c>
      <c r="AM1301" s="15">
        <f t="shared" si="127"/>
        <v>184.77</v>
      </c>
      <c r="AN1301" s="16">
        <f t="shared" si="128"/>
        <v>0.461925</v>
      </c>
      <c r="AO1301" s="15" t="s">
        <v>221</v>
      </c>
      <c r="AP1301" s="15"/>
      <c r="AQ1301" s="15" t="s">
        <v>217</v>
      </c>
      <c r="AR1301" s="15"/>
      <c r="AS1301" s="15"/>
      <c r="AT1301" t="s">
        <v>869</v>
      </c>
    </row>
    <row r="1302" ht="15.75" customHeight="1" spans="1:46">
      <c r="A1302" s="15" t="s">
        <v>2105</v>
      </c>
      <c r="B1302" s="15" t="s">
        <v>131</v>
      </c>
      <c r="C1302" s="15" t="s">
        <v>1499</v>
      </c>
      <c r="D1302" s="15" t="s">
        <v>2088</v>
      </c>
      <c r="E1302" s="15" t="s">
        <v>2100</v>
      </c>
      <c r="F1302" s="15" t="s">
        <v>2106</v>
      </c>
      <c r="G1302" s="15"/>
      <c r="H1302" s="15" t="s">
        <v>2034</v>
      </c>
      <c r="I1302" s="15" t="s">
        <v>2045</v>
      </c>
      <c r="J1302" s="15"/>
      <c r="K1302" s="15"/>
      <c r="L1302" s="15" t="s">
        <v>124</v>
      </c>
      <c r="M1302" s="15" t="s">
        <v>2038</v>
      </c>
      <c r="N1302" s="15" t="s">
        <v>2039</v>
      </c>
      <c r="O1302" s="15" t="s">
        <v>2040</v>
      </c>
      <c r="P1302" s="15"/>
      <c r="Q1302" s="15" t="s">
        <v>57</v>
      </c>
      <c r="R1302" s="15"/>
      <c r="S1302" s="15"/>
      <c r="T1302" s="15"/>
      <c r="U1302" s="15"/>
      <c r="V1302" s="15"/>
      <c r="W1302" s="15"/>
      <c r="X1302" s="15"/>
      <c r="Y1302" s="15" t="s">
        <v>2107</v>
      </c>
      <c r="Z1302" s="15">
        <v>9405</v>
      </c>
      <c r="AA1302" s="15"/>
      <c r="AB1302" s="15"/>
      <c r="AC1302" s="15"/>
      <c r="AD1302" s="15"/>
      <c r="AE1302" s="15">
        <v>600</v>
      </c>
      <c r="AF1302" s="16">
        <v>0.62</v>
      </c>
      <c r="AG1302" s="15">
        <f t="shared" si="129"/>
        <v>228</v>
      </c>
      <c r="AH1302" s="16">
        <v>0.18</v>
      </c>
      <c r="AI1302" s="15">
        <f t="shared" si="124"/>
        <v>269.04</v>
      </c>
      <c r="AJ1302" s="16">
        <v>0.2</v>
      </c>
      <c r="AK1302" s="15">
        <f t="shared" si="125"/>
        <v>53.81</v>
      </c>
      <c r="AL1302" s="15">
        <f t="shared" si="126"/>
        <v>322.85</v>
      </c>
      <c r="AM1302" s="15">
        <f t="shared" si="127"/>
        <v>277.15</v>
      </c>
      <c r="AN1302" s="16">
        <f t="shared" si="128"/>
        <v>0.461916666666667</v>
      </c>
      <c r="AO1302" s="15" t="s">
        <v>221</v>
      </c>
      <c r="AP1302" s="15"/>
      <c r="AQ1302" s="15" t="s">
        <v>217</v>
      </c>
      <c r="AR1302" s="15"/>
      <c r="AS1302" s="15"/>
      <c r="AT1302" t="s">
        <v>869</v>
      </c>
    </row>
    <row r="1303" ht="15.75" customHeight="1" spans="1:46">
      <c r="A1303" s="15" t="s">
        <v>2105</v>
      </c>
      <c r="B1303" s="15" t="s">
        <v>133</v>
      </c>
      <c r="C1303" s="15" t="s">
        <v>1499</v>
      </c>
      <c r="D1303" s="15" t="s">
        <v>2088</v>
      </c>
      <c r="E1303" s="15" t="s">
        <v>2100</v>
      </c>
      <c r="F1303" s="15" t="s">
        <v>2106</v>
      </c>
      <c r="G1303" s="15"/>
      <c r="H1303" s="15" t="s">
        <v>2034</v>
      </c>
      <c r="I1303" s="15" t="s">
        <v>2045</v>
      </c>
      <c r="J1303" s="15"/>
      <c r="K1303" s="15"/>
      <c r="L1303" s="15" t="s">
        <v>124</v>
      </c>
      <c r="M1303" s="15" t="s">
        <v>2042</v>
      </c>
      <c r="N1303" s="15" t="s">
        <v>2039</v>
      </c>
      <c r="O1303" s="15" t="s">
        <v>2040</v>
      </c>
      <c r="P1303" s="15"/>
      <c r="Q1303" s="15" t="s">
        <v>57</v>
      </c>
      <c r="R1303" s="15"/>
      <c r="S1303" s="15"/>
      <c r="T1303" s="15"/>
      <c r="U1303" s="15"/>
      <c r="V1303" s="15"/>
      <c r="W1303" s="15"/>
      <c r="X1303" s="15"/>
      <c r="Y1303" s="15" t="s">
        <v>2107</v>
      </c>
      <c r="Z1303" s="15">
        <v>9405</v>
      </c>
      <c r="AA1303" s="15"/>
      <c r="AB1303" s="15"/>
      <c r="AC1303" s="15"/>
      <c r="AD1303" s="15"/>
      <c r="AE1303" s="15">
        <v>600</v>
      </c>
      <c r="AF1303" s="16">
        <v>0.62</v>
      </c>
      <c r="AG1303" s="15">
        <f t="shared" si="129"/>
        <v>228</v>
      </c>
      <c r="AH1303" s="16">
        <v>0.18</v>
      </c>
      <c r="AI1303" s="15">
        <f t="shared" si="124"/>
        <v>269.04</v>
      </c>
      <c r="AJ1303" s="16">
        <v>0.2</v>
      </c>
      <c r="AK1303" s="15">
        <f t="shared" si="125"/>
        <v>53.81</v>
      </c>
      <c r="AL1303" s="15">
        <f t="shared" si="126"/>
        <v>322.85</v>
      </c>
      <c r="AM1303" s="15">
        <f t="shared" si="127"/>
        <v>277.15</v>
      </c>
      <c r="AN1303" s="16">
        <f t="shared" si="128"/>
        <v>0.461916666666667</v>
      </c>
      <c r="AO1303" s="15" t="s">
        <v>221</v>
      </c>
      <c r="AP1303" s="15"/>
      <c r="AQ1303" s="15" t="s">
        <v>217</v>
      </c>
      <c r="AR1303" s="15"/>
      <c r="AS1303" s="15"/>
      <c r="AT1303" t="s">
        <v>869</v>
      </c>
    </row>
    <row r="1304" ht="15.75" customHeight="1" spans="1:46">
      <c r="A1304" s="15" t="s">
        <v>2105</v>
      </c>
      <c r="B1304" s="15" t="s">
        <v>135</v>
      </c>
      <c r="C1304" s="15" t="s">
        <v>1499</v>
      </c>
      <c r="D1304" s="15" t="s">
        <v>2088</v>
      </c>
      <c r="E1304" s="15" t="s">
        <v>2100</v>
      </c>
      <c r="F1304" s="15" t="s">
        <v>2106</v>
      </c>
      <c r="G1304" s="15"/>
      <c r="H1304" s="15" t="s">
        <v>2034</v>
      </c>
      <c r="I1304" s="15" t="s">
        <v>2045</v>
      </c>
      <c r="J1304" s="15"/>
      <c r="K1304" s="15"/>
      <c r="L1304" s="15" t="s">
        <v>124</v>
      </c>
      <c r="M1304" s="15" t="s">
        <v>2043</v>
      </c>
      <c r="N1304" s="15" t="s">
        <v>2039</v>
      </c>
      <c r="O1304" s="15" t="s">
        <v>2040</v>
      </c>
      <c r="P1304" s="15"/>
      <c r="Q1304" s="15" t="s">
        <v>57</v>
      </c>
      <c r="R1304" s="15"/>
      <c r="S1304" s="15"/>
      <c r="T1304" s="15"/>
      <c r="U1304" s="15"/>
      <c r="V1304" s="15"/>
      <c r="W1304" s="15"/>
      <c r="X1304" s="15"/>
      <c r="Y1304" s="15" t="s">
        <v>2107</v>
      </c>
      <c r="Z1304" s="15">
        <v>9405</v>
      </c>
      <c r="AA1304" s="15"/>
      <c r="AB1304" s="15"/>
      <c r="AC1304" s="15"/>
      <c r="AD1304" s="15"/>
      <c r="AE1304" s="15">
        <v>600</v>
      </c>
      <c r="AF1304" s="16">
        <v>0.62</v>
      </c>
      <c r="AG1304" s="15">
        <f t="shared" si="129"/>
        <v>228</v>
      </c>
      <c r="AH1304" s="16">
        <v>0.18</v>
      </c>
      <c r="AI1304" s="15">
        <f t="shared" si="124"/>
        <v>269.04</v>
      </c>
      <c r="AJ1304" s="16">
        <v>0.2</v>
      </c>
      <c r="AK1304" s="15">
        <f t="shared" si="125"/>
        <v>53.81</v>
      </c>
      <c r="AL1304" s="15">
        <f t="shared" si="126"/>
        <v>322.85</v>
      </c>
      <c r="AM1304" s="15">
        <f t="shared" si="127"/>
        <v>277.15</v>
      </c>
      <c r="AN1304" s="16">
        <f t="shared" si="128"/>
        <v>0.461916666666667</v>
      </c>
      <c r="AO1304" s="15" t="s">
        <v>221</v>
      </c>
      <c r="AP1304" s="15"/>
      <c r="AQ1304" s="15" t="s">
        <v>217</v>
      </c>
      <c r="AR1304" s="15"/>
      <c r="AS1304" s="15"/>
      <c r="AT1304" t="s">
        <v>869</v>
      </c>
    </row>
    <row r="1305" ht="15.75" customHeight="1" spans="1:46">
      <c r="A1305" s="15" t="s">
        <v>2105</v>
      </c>
      <c r="B1305" s="15" t="s">
        <v>137</v>
      </c>
      <c r="C1305" s="15" t="s">
        <v>1499</v>
      </c>
      <c r="D1305" s="15" t="s">
        <v>2088</v>
      </c>
      <c r="E1305" s="15" t="s">
        <v>2100</v>
      </c>
      <c r="F1305" s="15" t="s">
        <v>2106</v>
      </c>
      <c r="G1305" s="15"/>
      <c r="H1305" s="15" t="s">
        <v>2034</v>
      </c>
      <c r="I1305" s="15" t="s">
        <v>2047</v>
      </c>
      <c r="J1305" s="15"/>
      <c r="K1305" s="15"/>
      <c r="L1305" s="15" t="s">
        <v>124</v>
      </c>
      <c r="M1305" s="15" t="s">
        <v>2038</v>
      </c>
      <c r="N1305" s="15" t="s">
        <v>2039</v>
      </c>
      <c r="O1305" s="15" t="s">
        <v>2040</v>
      </c>
      <c r="P1305" s="15"/>
      <c r="Q1305" s="15" t="s">
        <v>57</v>
      </c>
      <c r="R1305" s="15"/>
      <c r="S1305" s="15"/>
      <c r="T1305" s="15"/>
      <c r="U1305" s="15"/>
      <c r="V1305" s="15"/>
      <c r="W1305" s="15"/>
      <c r="X1305" s="15"/>
      <c r="Y1305" s="15" t="s">
        <v>2107</v>
      </c>
      <c r="Z1305" s="15">
        <v>9405</v>
      </c>
      <c r="AA1305" s="15"/>
      <c r="AB1305" s="15"/>
      <c r="AC1305" s="15"/>
      <c r="AD1305" s="15"/>
      <c r="AE1305" s="15">
        <v>950</v>
      </c>
      <c r="AF1305" s="16">
        <v>0.6</v>
      </c>
      <c r="AG1305" s="15">
        <f t="shared" si="129"/>
        <v>380</v>
      </c>
      <c r="AH1305" s="16">
        <v>0.18</v>
      </c>
      <c r="AI1305" s="15">
        <f t="shared" si="124"/>
        <v>448.4</v>
      </c>
      <c r="AJ1305" s="16">
        <v>0.2</v>
      </c>
      <c r="AK1305" s="15">
        <f t="shared" si="125"/>
        <v>89.68</v>
      </c>
      <c r="AL1305" s="15">
        <f t="shared" si="126"/>
        <v>538.08</v>
      </c>
      <c r="AM1305" s="15">
        <f t="shared" si="127"/>
        <v>411.92</v>
      </c>
      <c r="AN1305" s="16">
        <f t="shared" si="128"/>
        <v>0.4336</v>
      </c>
      <c r="AO1305" s="15" t="s">
        <v>221</v>
      </c>
      <c r="AP1305" s="15"/>
      <c r="AQ1305" s="15" t="s">
        <v>217</v>
      </c>
      <c r="AR1305" s="15"/>
      <c r="AS1305" s="15"/>
      <c r="AT1305" t="s">
        <v>869</v>
      </c>
    </row>
    <row r="1306" ht="15.75" customHeight="1" spans="1:46">
      <c r="A1306" s="15" t="s">
        <v>2105</v>
      </c>
      <c r="B1306" s="15" t="s">
        <v>138</v>
      </c>
      <c r="C1306" s="15" t="s">
        <v>1499</v>
      </c>
      <c r="D1306" s="15" t="s">
        <v>2088</v>
      </c>
      <c r="E1306" s="15" t="s">
        <v>2100</v>
      </c>
      <c r="F1306" s="15" t="s">
        <v>2106</v>
      </c>
      <c r="G1306" s="15"/>
      <c r="H1306" s="15" t="s">
        <v>2034</v>
      </c>
      <c r="I1306" s="15" t="s">
        <v>2047</v>
      </c>
      <c r="J1306" s="15"/>
      <c r="K1306" s="15"/>
      <c r="L1306" s="15" t="s">
        <v>124</v>
      </c>
      <c r="M1306" s="15" t="s">
        <v>2042</v>
      </c>
      <c r="N1306" s="15" t="s">
        <v>2039</v>
      </c>
      <c r="O1306" s="15" t="s">
        <v>2040</v>
      </c>
      <c r="P1306" s="15"/>
      <c r="Q1306" s="15" t="s">
        <v>57</v>
      </c>
      <c r="R1306" s="15"/>
      <c r="S1306" s="15"/>
      <c r="T1306" s="15"/>
      <c r="U1306" s="15"/>
      <c r="V1306" s="15"/>
      <c r="W1306" s="15"/>
      <c r="X1306" s="15"/>
      <c r="Y1306" s="15" t="s">
        <v>2107</v>
      </c>
      <c r="Z1306" s="15">
        <v>9405</v>
      </c>
      <c r="AA1306" s="15"/>
      <c r="AB1306" s="15"/>
      <c r="AC1306" s="15"/>
      <c r="AD1306" s="15"/>
      <c r="AE1306" s="15">
        <v>950</v>
      </c>
      <c r="AF1306" s="16">
        <v>0.6</v>
      </c>
      <c r="AG1306" s="15">
        <f t="shared" si="129"/>
        <v>380</v>
      </c>
      <c r="AH1306" s="16">
        <v>0.18</v>
      </c>
      <c r="AI1306" s="15">
        <f t="shared" si="124"/>
        <v>448.4</v>
      </c>
      <c r="AJ1306" s="16">
        <v>0.2</v>
      </c>
      <c r="AK1306" s="15">
        <f t="shared" si="125"/>
        <v>89.68</v>
      </c>
      <c r="AL1306" s="15">
        <f t="shared" si="126"/>
        <v>538.08</v>
      </c>
      <c r="AM1306" s="15">
        <f t="shared" si="127"/>
        <v>411.92</v>
      </c>
      <c r="AN1306" s="16">
        <f t="shared" si="128"/>
        <v>0.4336</v>
      </c>
      <c r="AO1306" s="15" t="s">
        <v>221</v>
      </c>
      <c r="AP1306" s="15"/>
      <c r="AQ1306" s="15" t="s">
        <v>217</v>
      </c>
      <c r="AR1306" s="15"/>
      <c r="AS1306" s="15"/>
      <c r="AT1306" t="s">
        <v>869</v>
      </c>
    </row>
    <row r="1307" ht="15.75" customHeight="1" spans="1:46">
      <c r="A1307" s="15" t="s">
        <v>2105</v>
      </c>
      <c r="B1307" s="15" t="s">
        <v>140</v>
      </c>
      <c r="C1307" s="15" t="s">
        <v>1499</v>
      </c>
      <c r="D1307" s="15" t="s">
        <v>2088</v>
      </c>
      <c r="E1307" s="15" t="s">
        <v>2100</v>
      </c>
      <c r="F1307" s="15" t="s">
        <v>2106</v>
      </c>
      <c r="G1307" s="15"/>
      <c r="H1307" s="15" t="s">
        <v>2034</v>
      </c>
      <c r="I1307" s="15" t="s">
        <v>2047</v>
      </c>
      <c r="J1307" s="15"/>
      <c r="K1307" s="15"/>
      <c r="L1307" s="15" t="s">
        <v>124</v>
      </c>
      <c r="M1307" s="15" t="s">
        <v>2043</v>
      </c>
      <c r="N1307" s="15" t="s">
        <v>2039</v>
      </c>
      <c r="O1307" s="15" t="s">
        <v>2040</v>
      </c>
      <c r="P1307" s="15"/>
      <c r="Q1307" s="15" t="s">
        <v>57</v>
      </c>
      <c r="R1307" s="15"/>
      <c r="S1307" s="15"/>
      <c r="T1307" s="15"/>
      <c r="U1307" s="15"/>
      <c r="V1307" s="15"/>
      <c r="W1307" s="15"/>
      <c r="X1307" s="15"/>
      <c r="Y1307" s="15" t="s">
        <v>2107</v>
      </c>
      <c r="Z1307" s="15">
        <v>9405</v>
      </c>
      <c r="AA1307" s="15"/>
      <c r="AB1307" s="15"/>
      <c r="AC1307" s="15"/>
      <c r="AD1307" s="15"/>
      <c r="AE1307" s="15">
        <v>950</v>
      </c>
      <c r="AF1307" s="16">
        <v>0.6</v>
      </c>
      <c r="AG1307" s="15">
        <f t="shared" si="129"/>
        <v>380</v>
      </c>
      <c r="AH1307" s="16">
        <v>0.18</v>
      </c>
      <c r="AI1307" s="15">
        <f t="shared" si="124"/>
        <v>448.4</v>
      </c>
      <c r="AJ1307" s="16">
        <v>0.2</v>
      </c>
      <c r="AK1307" s="15">
        <f t="shared" si="125"/>
        <v>89.68</v>
      </c>
      <c r="AL1307" s="15">
        <f t="shared" si="126"/>
        <v>538.08</v>
      </c>
      <c r="AM1307" s="15">
        <f t="shared" si="127"/>
        <v>411.92</v>
      </c>
      <c r="AN1307" s="16">
        <f t="shared" si="128"/>
        <v>0.4336</v>
      </c>
      <c r="AO1307" s="15" t="s">
        <v>221</v>
      </c>
      <c r="AP1307" s="15"/>
      <c r="AQ1307" s="15" t="s">
        <v>217</v>
      </c>
      <c r="AR1307" s="15"/>
      <c r="AS1307" s="15"/>
      <c r="AT1307" t="s">
        <v>869</v>
      </c>
    </row>
    <row r="1308" ht="15.75" customHeight="1" spans="1:46">
      <c r="A1308" s="15" t="s">
        <v>2105</v>
      </c>
      <c r="B1308" s="15" t="s">
        <v>202</v>
      </c>
      <c r="C1308" s="15" t="s">
        <v>1499</v>
      </c>
      <c r="D1308" s="15" t="s">
        <v>2088</v>
      </c>
      <c r="E1308" s="15" t="s">
        <v>2100</v>
      </c>
      <c r="F1308" s="15" t="s">
        <v>2106</v>
      </c>
      <c r="G1308" s="15"/>
      <c r="H1308" s="15" t="s">
        <v>2034</v>
      </c>
      <c r="I1308" s="15" t="s">
        <v>2108</v>
      </c>
      <c r="J1308" s="15"/>
      <c r="K1308" s="15"/>
      <c r="L1308" s="15" t="s">
        <v>124</v>
      </c>
      <c r="M1308" s="15" t="s">
        <v>2038</v>
      </c>
      <c r="N1308" s="15" t="s">
        <v>2039</v>
      </c>
      <c r="O1308" s="15" t="s">
        <v>2040</v>
      </c>
      <c r="P1308" s="15"/>
      <c r="Q1308" s="15" t="s">
        <v>57</v>
      </c>
      <c r="R1308" s="15"/>
      <c r="S1308" s="15"/>
      <c r="T1308" s="15"/>
      <c r="U1308" s="15"/>
      <c r="V1308" s="15"/>
      <c r="W1308" s="15"/>
      <c r="X1308" s="15"/>
      <c r="Y1308" s="15" t="s">
        <v>2107</v>
      </c>
      <c r="Z1308" s="15">
        <v>9405</v>
      </c>
      <c r="AA1308" s="15"/>
      <c r="AB1308" s="15"/>
      <c r="AC1308" s="15"/>
      <c r="AD1308" s="15"/>
      <c r="AE1308" s="15">
        <v>900</v>
      </c>
      <c r="AF1308" s="16">
        <v>0.6</v>
      </c>
      <c r="AG1308" s="15">
        <f t="shared" si="129"/>
        <v>360</v>
      </c>
      <c r="AH1308" s="16">
        <v>0.18</v>
      </c>
      <c r="AI1308" s="15">
        <f t="shared" si="124"/>
        <v>424.8</v>
      </c>
      <c r="AJ1308" s="16">
        <v>0.2</v>
      </c>
      <c r="AK1308" s="15">
        <f t="shared" si="125"/>
        <v>84.96</v>
      </c>
      <c r="AL1308" s="15">
        <f t="shared" si="126"/>
        <v>509.76</v>
      </c>
      <c r="AM1308" s="15">
        <f t="shared" si="127"/>
        <v>390.24</v>
      </c>
      <c r="AN1308" s="16">
        <f t="shared" si="128"/>
        <v>0.4336</v>
      </c>
      <c r="AO1308" s="15" t="s">
        <v>221</v>
      </c>
      <c r="AP1308" s="15"/>
      <c r="AQ1308" s="15" t="s">
        <v>217</v>
      </c>
      <c r="AR1308" s="15"/>
      <c r="AS1308" s="15"/>
      <c r="AT1308" t="s">
        <v>869</v>
      </c>
    </row>
    <row r="1309" ht="15.75" customHeight="1" spans="1:46">
      <c r="A1309" s="15" t="s">
        <v>2105</v>
      </c>
      <c r="B1309" s="15" t="s">
        <v>203</v>
      </c>
      <c r="C1309" s="15" t="s">
        <v>1499</v>
      </c>
      <c r="D1309" s="15" t="s">
        <v>2088</v>
      </c>
      <c r="E1309" s="15" t="s">
        <v>2100</v>
      </c>
      <c r="F1309" s="15" t="s">
        <v>2106</v>
      </c>
      <c r="G1309" s="15"/>
      <c r="H1309" s="15" t="s">
        <v>2034</v>
      </c>
      <c r="I1309" s="15" t="s">
        <v>2108</v>
      </c>
      <c r="J1309" s="15"/>
      <c r="K1309" s="15"/>
      <c r="L1309" s="15" t="s">
        <v>124</v>
      </c>
      <c r="M1309" s="15" t="s">
        <v>2042</v>
      </c>
      <c r="N1309" s="15" t="s">
        <v>2039</v>
      </c>
      <c r="O1309" s="15" t="s">
        <v>2040</v>
      </c>
      <c r="P1309" s="15"/>
      <c r="Q1309" s="15" t="s">
        <v>57</v>
      </c>
      <c r="R1309" s="15"/>
      <c r="S1309" s="15"/>
      <c r="T1309" s="15"/>
      <c r="U1309" s="15"/>
      <c r="V1309" s="15"/>
      <c r="W1309" s="15"/>
      <c r="X1309" s="15"/>
      <c r="Y1309" s="15" t="s">
        <v>2107</v>
      </c>
      <c r="Z1309" s="15">
        <v>9405</v>
      </c>
      <c r="AA1309" s="15"/>
      <c r="AB1309" s="15"/>
      <c r="AC1309" s="15"/>
      <c r="AD1309" s="15"/>
      <c r="AE1309" s="15">
        <v>900</v>
      </c>
      <c r="AF1309" s="16">
        <v>0.6</v>
      </c>
      <c r="AG1309" s="15">
        <f t="shared" si="129"/>
        <v>360</v>
      </c>
      <c r="AH1309" s="16">
        <v>0.18</v>
      </c>
      <c r="AI1309" s="15">
        <f t="shared" si="124"/>
        <v>424.8</v>
      </c>
      <c r="AJ1309" s="16">
        <v>0.2</v>
      </c>
      <c r="AK1309" s="15">
        <f t="shared" si="125"/>
        <v>84.96</v>
      </c>
      <c r="AL1309" s="15">
        <f t="shared" si="126"/>
        <v>509.76</v>
      </c>
      <c r="AM1309" s="15">
        <f t="shared" si="127"/>
        <v>390.24</v>
      </c>
      <c r="AN1309" s="16">
        <f t="shared" si="128"/>
        <v>0.4336</v>
      </c>
      <c r="AO1309" s="15" t="s">
        <v>221</v>
      </c>
      <c r="AP1309" s="15"/>
      <c r="AQ1309" s="15" t="s">
        <v>217</v>
      </c>
      <c r="AR1309" s="15"/>
      <c r="AS1309" s="15"/>
      <c r="AT1309" t="s">
        <v>869</v>
      </c>
    </row>
    <row r="1310" ht="15.75" customHeight="1" spans="1:46">
      <c r="A1310" s="15" t="s">
        <v>2105</v>
      </c>
      <c r="B1310" s="15" t="s">
        <v>204</v>
      </c>
      <c r="C1310" s="15" t="s">
        <v>1499</v>
      </c>
      <c r="D1310" s="15" t="s">
        <v>2088</v>
      </c>
      <c r="E1310" s="15" t="s">
        <v>2100</v>
      </c>
      <c r="F1310" s="15" t="s">
        <v>2106</v>
      </c>
      <c r="G1310" s="15"/>
      <c r="H1310" s="15" t="s">
        <v>2034</v>
      </c>
      <c r="I1310" s="15" t="s">
        <v>2108</v>
      </c>
      <c r="J1310" s="15"/>
      <c r="K1310" s="15"/>
      <c r="L1310" s="15" t="s">
        <v>124</v>
      </c>
      <c r="M1310" s="15" t="s">
        <v>2043</v>
      </c>
      <c r="N1310" s="15" t="s">
        <v>2039</v>
      </c>
      <c r="O1310" s="15" t="s">
        <v>2040</v>
      </c>
      <c r="P1310" s="15"/>
      <c r="Q1310" s="15" t="s">
        <v>57</v>
      </c>
      <c r="R1310" s="15"/>
      <c r="S1310" s="15"/>
      <c r="T1310" s="15"/>
      <c r="U1310" s="15"/>
      <c r="V1310" s="15"/>
      <c r="W1310" s="15"/>
      <c r="X1310" s="15"/>
      <c r="Y1310" s="15" t="s">
        <v>2107</v>
      </c>
      <c r="Z1310" s="15">
        <v>9405</v>
      </c>
      <c r="AA1310" s="15"/>
      <c r="AB1310" s="15"/>
      <c r="AC1310" s="15"/>
      <c r="AD1310" s="15"/>
      <c r="AE1310" s="15">
        <v>900</v>
      </c>
      <c r="AF1310" s="16">
        <v>0.6</v>
      </c>
      <c r="AG1310" s="15">
        <f t="shared" si="129"/>
        <v>360</v>
      </c>
      <c r="AH1310" s="16">
        <v>0.18</v>
      </c>
      <c r="AI1310" s="15">
        <f t="shared" si="124"/>
        <v>424.8</v>
      </c>
      <c r="AJ1310" s="16">
        <v>0.2</v>
      </c>
      <c r="AK1310" s="15">
        <f t="shared" si="125"/>
        <v>84.96</v>
      </c>
      <c r="AL1310" s="15">
        <f t="shared" si="126"/>
        <v>509.76</v>
      </c>
      <c r="AM1310" s="15">
        <f t="shared" si="127"/>
        <v>390.24</v>
      </c>
      <c r="AN1310" s="16">
        <f t="shared" si="128"/>
        <v>0.4336</v>
      </c>
      <c r="AO1310" s="15" t="s">
        <v>221</v>
      </c>
      <c r="AP1310" s="15"/>
      <c r="AQ1310" s="15" t="s">
        <v>217</v>
      </c>
      <c r="AR1310" s="15"/>
      <c r="AS1310" s="15"/>
      <c r="AT1310" t="s">
        <v>869</v>
      </c>
    </row>
    <row r="1311" ht="15.75" customHeight="1" spans="1:46">
      <c r="A1311" s="15" t="s">
        <v>2105</v>
      </c>
      <c r="B1311" s="15" t="s">
        <v>205</v>
      </c>
      <c r="C1311" s="15" t="s">
        <v>1499</v>
      </c>
      <c r="D1311" s="15" t="s">
        <v>2088</v>
      </c>
      <c r="E1311" s="15" t="s">
        <v>2100</v>
      </c>
      <c r="F1311" s="15" t="s">
        <v>2106</v>
      </c>
      <c r="G1311" s="15"/>
      <c r="H1311" s="15" t="s">
        <v>2034</v>
      </c>
      <c r="I1311" s="15" t="s">
        <v>2078</v>
      </c>
      <c r="J1311" s="15"/>
      <c r="K1311" s="15"/>
      <c r="L1311" s="15" t="s">
        <v>124</v>
      </c>
      <c r="M1311" s="15" t="s">
        <v>2038</v>
      </c>
      <c r="N1311" s="15" t="s">
        <v>2039</v>
      </c>
      <c r="O1311" s="15" t="s">
        <v>2051</v>
      </c>
      <c r="P1311" s="15"/>
      <c r="Q1311" s="15" t="s">
        <v>57</v>
      </c>
      <c r="R1311" s="15"/>
      <c r="S1311" s="15"/>
      <c r="T1311" s="15"/>
      <c r="U1311" s="15"/>
      <c r="V1311" s="15"/>
      <c r="W1311" s="15"/>
      <c r="X1311" s="15"/>
      <c r="Y1311" s="15" t="s">
        <v>2109</v>
      </c>
      <c r="Z1311" s="15">
        <v>9405</v>
      </c>
      <c r="AA1311" s="15"/>
      <c r="AB1311" s="15"/>
      <c r="AC1311" s="15"/>
      <c r="AD1311" s="15"/>
      <c r="AE1311" s="15">
        <v>400</v>
      </c>
      <c r="AF1311" s="16">
        <v>0.62</v>
      </c>
      <c r="AG1311" s="15">
        <f t="shared" si="129"/>
        <v>152</v>
      </c>
      <c r="AH1311" s="16">
        <v>0.18</v>
      </c>
      <c r="AI1311" s="15">
        <f t="shared" si="124"/>
        <v>179.36</v>
      </c>
      <c r="AJ1311" s="16">
        <v>0.2</v>
      </c>
      <c r="AK1311" s="15">
        <f t="shared" si="125"/>
        <v>35.87</v>
      </c>
      <c r="AL1311" s="15">
        <f t="shared" si="126"/>
        <v>215.23</v>
      </c>
      <c r="AM1311" s="15">
        <f t="shared" si="127"/>
        <v>184.77</v>
      </c>
      <c r="AN1311" s="16">
        <f t="shared" si="128"/>
        <v>0.461925</v>
      </c>
      <c r="AO1311" s="15" t="s">
        <v>221</v>
      </c>
      <c r="AP1311" s="15"/>
      <c r="AQ1311" s="15" t="s">
        <v>217</v>
      </c>
      <c r="AR1311" s="15"/>
      <c r="AS1311" s="15"/>
      <c r="AT1311" t="s">
        <v>869</v>
      </c>
    </row>
    <row r="1312" ht="15.75" customHeight="1" spans="1:46">
      <c r="A1312" s="15" t="s">
        <v>2105</v>
      </c>
      <c r="B1312" s="15" t="s">
        <v>206</v>
      </c>
      <c r="C1312" s="15" t="s">
        <v>1499</v>
      </c>
      <c r="D1312" s="15" t="s">
        <v>2088</v>
      </c>
      <c r="E1312" s="15" t="s">
        <v>2100</v>
      </c>
      <c r="F1312" s="15" t="s">
        <v>2106</v>
      </c>
      <c r="G1312" s="15"/>
      <c r="H1312" s="15" t="s">
        <v>2034</v>
      </c>
      <c r="I1312" s="15" t="s">
        <v>2078</v>
      </c>
      <c r="J1312" s="15"/>
      <c r="K1312" s="15"/>
      <c r="L1312" s="15" t="s">
        <v>124</v>
      </c>
      <c r="M1312" s="15" t="s">
        <v>2042</v>
      </c>
      <c r="N1312" s="15" t="s">
        <v>2039</v>
      </c>
      <c r="O1312" s="15" t="s">
        <v>2051</v>
      </c>
      <c r="P1312" s="15"/>
      <c r="Q1312" s="15" t="s">
        <v>57</v>
      </c>
      <c r="R1312" s="15"/>
      <c r="S1312" s="15"/>
      <c r="T1312" s="15"/>
      <c r="U1312" s="15"/>
      <c r="V1312" s="15"/>
      <c r="W1312" s="15"/>
      <c r="X1312" s="15"/>
      <c r="Y1312" s="15" t="s">
        <v>2109</v>
      </c>
      <c r="Z1312" s="15">
        <v>9405</v>
      </c>
      <c r="AA1312" s="15"/>
      <c r="AB1312" s="15"/>
      <c r="AC1312" s="15"/>
      <c r="AD1312" s="15"/>
      <c r="AE1312" s="15">
        <v>400</v>
      </c>
      <c r="AF1312" s="16">
        <v>0.62</v>
      </c>
      <c r="AG1312" s="15">
        <f t="shared" si="129"/>
        <v>152</v>
      </c>
      <c r="AH1312" s="16">
        <v>0.18</v>
      </c>
      <c r="AI1312" s="15">
        <f t="shared" si="124"/>
        <v>179.36</v>
      </c>
      <c r="AJ1312" s="16">
        <v>0.2</v>
      </c>
      <c r="AK1312" s="15">
        <f t="shared" si="125"/>
        <v>35.87</v>
      </c>
      <c r="AL1312" s="15">
        <f t="shared" si="126"/>
        <v>215.23</v>
      </c>
      <c r="AM1312" s="15">
        <f t="shared" si="127"/>
        <v>184.77</v>
      </c>
      <c r="AN1312" s="16">
        <f t="shared" si="128"/>
        <v>0.461925</v>
      </c>
      <c r="AO1312" s="15" t="s">
        <v>221</v>
      </c>
      <c r="AP1312" s="15"/>
      <c r="AQ1312" s="15" t="s">
        <v>217</v>
      </c>
      <c r="AR1312" s="15"/>
      <c r="AS1312" s="15"/>
      <c r="AT1312" t="s">
        <v>869</v>
      </c>
    </row>
    <row r="1313" ht="15.75" customHeight="1" spans="1:46">
      <c r="A1313" s="15" t="s">
        <v>2105</v>
      </c>
      <c r="B1313" s="15" t="s">
        <v>207</v>
      </c>
      <c r="C1313" s="15" t="s">
        <v>1499</v>
      </c>
      <c r="D1313" s="15" t="s">
        <v>2088</v>
      </c>
      <c r="E1313" s="15" t="s">
        <v>2100</v>
      </c>
      <c r="F1313" s="15" t="s">
        <v>2106</v>
      </c>
      <c r="G1313" s="15"/>
      <c r="H1313" s="15" t="s">
        <v>2034</v>
      </c>
      <c r="I1313" s="15" t="s">
        <v>2078</v>
      </c>
      <c r="J1313" s="15"/>
      <c r="K1313" s="15"/>
      <c r="L1313" s="15" t="s">
        <v>124</v>
      </c>
      <c r="M1313" s="15" t="s">
        <v>2043</v>
      </c>
      <c r="N1313" s="15" t="s">
        <v>2039</v>
      </c>
      <c r="O1313" s="15" t="s">
        <v>2051</v>
      </c>
      <c r="P1313" s="15"/>
      <c r="Q1313" s="15" t="s">
        <v>57</v>
      </c>
      <c r="R1313" s="15"/>
      <c r="S1313" s="15"/>
      <c r="T1313" s="15"/>
      <c r="U1313" s="15"/>
      <c r="V1313" s="15"/>
      <c r="W1313" s="15"/>
      <c r="X1313" s="15"/>
      <c r="Y1313" s="15" t="s">
        <v>2109</v>
      </c>
      <c r="Z1313" s="15">
        <v>9405</v>
      </c>
      <c r="AA1313" s="15"/>
      <c r="AB1313" s="15"/>
      <c r="AC1313" s="15"/>
      <c r="AD1313" s="15"/>
      <c r="AE1313" s="15">
        <v>400</v>
      </c>
      <c r="AF1313" s="16">
        <v>0.62</v>
      </c>
      <c r="AG1313" s="15">
        <f t="shared" si="129"/>
        <v>152</v>
      </c>
      <c r="AH1313" s="16">
        <v>0.18</v>
      </c>
      <c r="AI1313" s="15">
        <f t="shared" si="124"/>
        <v>179.36</v>
      </c>
      <c r="AJ1313" s="16">
        <v>0.2</v>
      </c>
      <c r="AK1313" s="15">
        <f t="shared" si="125"/>
        <v>35.87</v>
      </c>
      <c r="AL1313" s="15">
        <f t="shared" si="126"/>
        <v>215.23</v>
      </c>
      <c r="AM1313" s="15">
        <f t="shared" si="127"/>
        <v>184.77</v>
      </c>
      <c r="AN1313" s="16">
        <f t="shared" si="128"/>
        <v>0.461925</v>
      </c>
      <c r="AO1313" s="15" t="s">
        <v>221</v>
      </c>
      <c r="AP1313" s="15"/>
      <c r="AQ1313" s="15" t="s">
        <v>217</v>
      </c>
      <c r="AR1313" s="15"/>
      <c r="AS1313" s="15"/>
      <c r="AT1313" t="s">
        <v>869</v>
      </c>
    </row>
    <row r="1314" ht="15.75" customHeight="1" spans="1:46">
      <c r="A1314" s="15" t="s">
        <v>2105</v>
      </c>
      <c r="B1314" s="15" t="s">
        <v>208</v>
      </c>
      <c r="C1314" s="15" t="s">
        <v>1499</v>
      </c>
      <c r="D1314" s="15" t="s">
        <v>2088</v>
      </c>
      <c r="E1314" s="15" t="s">
        <v>2100</v>
      </c>
      <c r="F1314" s="15" t="s">
        <v>2106</v>
      </c>
      <c r="G1314" s="15"/>
      <c r="H1314" s="15" t="s">
        <v>2034</v>
      </c>
      <c r="I1314" s="15" t="s">
        <v>2045</v>
      </c>
      <c r="J1314" s="15"/>
      <c r="K1314" s="15"/>
      <c r="L1314" s="15" t="s">
        <v>124</v>
      </c>
      <c r="M1314" s="15" t="s">
        <v>2038</v>
      </c>
      <c r="N1314" s="15" t="s">
        <v>2039</v>
      </c>
      <c r="O1314" s="15" t="s">
        <v>2051</v>
      </c>
      <c r="P1314" s="15"/>
      <c r="Q1314" s="15" t="s">
        <v>57</v>
      </c>
      <c r="R1314" s="15"/>
      <c r="S1314" s="15"/>
      <c r="T1314" s="15"/>
      <c r="U1314" s="15"/>
      <c r="V1314" s="15"/>
      <c r="W1314" s="15"/>
      <c r="X1314" s="15"/>
      <c r="Y1314" s="15" t="s">
        <v>2109</v>
      </c>
      <c r="Z1314" s="15">
        <v>9405</v>
      </c>
      <c r="AA1314" s="15"/>
      <c r="AB1314" s="15"/>
      <c r="AC1314" s="15"/>
      <c r="AD1314" s="15"/>
      <c r="AE1314" s="15">
        <v>600</v>
      </c>
      <c r="AF1314" s="16">
        <v>0.62</v>
      </c>
      <c r="AG1314" s="15">
        <f t="shared" si="129"/>
        <v>228</v>
      </c>
      <c r="AH1314" s="16">
        <v>0.18</v>
      </c>
      <c r="AI1314" s="15">
        <f t="shared" si="124"/>
        <v>269.04</v>
      </c>
      <c r="AJ1314" s="16">
        <v>0.2</v>
      </c>
      <c r="AK1314" s="15">
        <f t="shared" si="125"/>
        <v>53.81</v>
      </c>
      <c r="AL1314" s="15">
        <f t="shared" si="126"/>
        <v>322.85</v>
      </c>
      <c r="AM1314" s="15">
        <f t="shared" si="127"/>
        <v>277.15</v>
      </c>
      <c r="AN1314" s="16">
        <f t="shared" si="128"/>
        <v>0.461916666666667</v>
      </c>
      <c r="AO1314" s="15" t="s">
        <v>221</v>
      </c>
      <c r="AP1314" s="15"/>
      <c r="AQ1314" s="15" t="s">
        <v>217</v>
      </c>
      <c r="AR1314" s="15"/>
      <c r="AS1314" s="15"/>
      <c r="AT1314" t="s">
        <v>869</v>
      </c>
    </row>
    <row r="1315" ht="15.75" customHeight="1" spans="1:46">
      <c r="A1315" s="15" t="s">
        <v>2105</v>
      </c>
      <c r="B1315" s="15" t="s">
        <v>209</v>
      </c>
      <c r="C1315" s="15" t="s">
        <v>1499</v>
      </c>
      <c r="D1315" s="15" t="s">
        <v>2088</v>
      </c>
      <c r="E1315" s="15" t="s">
        <v>2100</v>
      </c>
      <c r="F1315" s="15" t="s">
        <v>2106</v>
      </c>
      <c r="G1315" s="15"/>
      <c r="H1315" s="15" t="s">
        <v>2034</v>
      </c>
      <c r="I1315" s="15" t="s">
        <v>2045</v>
      </c>
      <c r="J1315" s="15"/>
      <c r="K1315" s="15"/>
      <c r="L1315" s="15" t="s">
        <v>124</v>
      </c>
      <c r="M1315" s="15" t="s">
        <v>2042</v>
      </c>
      <c r="N1315" s="15" t="s">
        <v>2039</v>
      </c>
      <c r="O1315" s="15" t="s">
        <v>2051</v>
      </c>
      <c r="P1315" s="15"/>
      <c r="Q1315" s="15" t="s">
        <v>57</v>
      </c>
      <c r="R1315" s="15"/>
      <c r="S1315" s="15"/>
      <c r="T1315" s="15"/>
      <c r="U1315" s="15"/>
      <c r="V1315" s="15"/>
      <c r="W1315" s="15"/>
      <c r="X1315" s="15"/>
      <c r="Y1315" s="15" t="s">
        <v>2109</v>
      </c>
      <c r="Z1315" s="15">
        <v>9405</v>
      </c>
      <c r="AA1315" s="15"/>
      <c r="AB1315" s="15"/>
      <c r="AC1315" s="15"/>
      <c r="AD1315" s="15"/>
      <c r="AE1315" s="15">
        <v>600</v>
      </c>
      <c r="AF1315" s="16">
        <v>0.62</v>
      </c>
      <c r="AG1315" s="15">
        <f t="shared" si="129"/>
        <v>228</v>
      </c>
      <c r="AH1315" s="16">
        <v>0.18</v>
      </c>
      <c r="AI1315" s="15">
        <f t="shared" si="124"/>
        <v>269.04</v>
      </c>
      <c r="AJ1315" s="16">
        <v>0.2</v>
      </c>
      <c r="AK1315" s="15">
        <f t="shared" si="125"/>
        <v>53.81</v>
      </c>
      <c r="AL1315" s="15">
        <f t="shared" si="126"/>
        <v>322.85</v>
      </c>
      <c r="AM1315" s="15">
        <f t="shared" si="127"/>
        <v>277.15</v>
      </c>
      <c r="AN1315" s="16">
        <f t="shared" si="128"/>
        <v>0.461916666666667</v>
      </c>
      <c r="AO1315" s="15" t="s">
        <v>221</v>
      </c>
      <c r="AP1315" s="15"/>
      <c r="AQ1315" s="15" t="s">
        <v>217</v>
      </c>
      <c r="AR1315" s="15"/>
      <c r="AS1315" s="15"/>
      <c r="AT1315" t="s">
        <v>869</v>
      </c>
    </row>
    <row r="1316" ht="15.75" customHeight="1" spans="1:46">
      <c r="A1316" s="15" t="s">
        <v>2105</v>
      </c>
      <c r="B1316" s="15" t="s">
        <v>210</v>
      </c>
      <c r="C1316" s="15" t="s">
        <v>1499</v>
      </c>
      <c r="D1316" s="15" t="s">
        <v>2088</v>
      </c>
      <c r="E1316" s="15" t="s">
        <v>2100</v>
      </c>
      <c r="F1316" s="15" t="s">
        <v>2106</v>
      </c>
      <c r="G1316" s="15"/>
      <c r="H1316" s="15" t="s">
        <v>2034</v>
      </c>
      <c r="I1316" s="15" t="s">
        <v>2045</v>
      </c>
      <c r="J1316" s="15"/>
      <c r="K1316" s="15"/>
      <c r="L1316" s="15" t="s">
        <v>124</v>
      </c>
      <c r="M1316" s="15" t="s">
        <v>2043</v>
      </c>
      <c r="N1316" s="15" t="s">
        <v>2039</v>
      </c>
      <c r="O1316" s="15" t="s">
        <v>2051</v>
      </c>
      <c r="P1316" s="15"/>
      <c r="Q1316" s="15" t="s">
        <v>57</v>
      </c>
      <c r="R1316" s="15"/>
      <c r="S1316" s="15"/>
      <c r="T1316" s="15"/>
      <c r="U1316" s="15"/>
      <c r="V1316" s="15"/>
      <c r="W1316" s="15"/>
      <c r="X1316" s="15"/>
      <c r="Y1316" s="15" t="s">
        <v>2109</v>
      </c>
      <c r="Z1316" s="15">
        <v>9405</v>
      </c>
      <c r="AA1316" s="15"/>
      <c r="AB1316" s="15"/>
      <c r="AC1316" s="15"/>
      <c r="AD1316" s="15"/>
      <c r="AE1316" s="15">
        <v>600</v>
      </c>
      <c r="AF1316" s="16">
        <v>0.62</v>
      </c>
      <c r="AG1316" s="15">
        <f t="shared" si="129"/>
        <v>228</v>
      </c>
      <c r="AH1316" s="16">
        <v>0.18</v>
      </c>
      <c r="AI1316" s="15">
        <f t="shared" si="124"/>
        <v>269.04</v>
      </c>
      <c r="AJ1316" s="16">
        <v>0.2</v>
      </c>
      <c r="AK1316" s="15">
        <f t="shared" si="125"/>
        <v>53.81</v>
      </c>
      <c r="AL1316" s="15">
        <f t="shared" si="126"/>
        <v>322.85</v>
      </c>
      <c r="AM1316" s="15">
        <f t="shared" si="127"/>
        <v>277.15</v>
      </c>
      <c r="AN1316" s="16">
        <f t="shared" si="128"/>
        <v>0.461916666666667</v>
      </c>
      <c r="AO1316" s="15" t="s">
        <v>221</v>
      </c>
      <c r="AP1316" s="15"/>
      <c r="AQ1316" s="15" t="s">
        <v>217</v>
      </c>
      <c r="AR1316" s="15"/>
      <c r="AS1316" s="15"/>
      <c r="AT1316" t="s">
        <v>869</v>
      </c>
    </row>
    <row r="1317" ht="15.75" customHeight="1" spans="1:46">
      <c r="A1317" s="15" t="s">
        <v>2105</v>
      </c>
      <c r="B1317" s="15" t="s">
        <v>211</v>
      </c>
      <c r="C1317" s="15" t="s">
        <v>1499</v>
      </c>
      <c r="D1317" s="15" t="s">
        <v>2088</v>
      </c>
      <c r="E1317" s="15" t="s">
        <v>2100</v>
      </c>
      <c r="F1317" s="15" t="s">
        <v>2106</v>
      </c>
      <c r="G1317" s="15"/>
      <c r="H1317" s="15" t="s">
        <v>2034</v>
      </c>
      <c r="I1317" s="15" t="s">
        <v>2047</v>
      </c>
      <c r="J1317" s="15"/>
      <c r="K1317" s="15"/>
      <c r="L1317" s="15" t="s">
        <v>124</v>
      </c>
      <c r="M1317" s="15" t="s">
        <v>2038</v>
      </c>
      <c r="N1317" s="15" t="s">
        <v>2039</v>
      </c>
      <c r="O1317" s="15" t="s">
        <v>2051</v>
      </c>
      <c r="P1317" s="15"/>
      <c r="Q1317" s="15" t="s">
        <v>57</v>
      </c>
      <c r="R1317" s="15"/>
      <c r="S1317" s="15"/>
      <c r="T1317" s="15"/>
      <c r="U1317" s="15"/>
      <c r="V1317" s="15"/>
      <c r="W1317" s="15"/>
      <c r="X1317" s="15"/>
      <c r="Y1317" s="15" t="s">
        <v>2109</v>
      </c>
      <c r="Z1317" s="15">
        <v>9405</v>
      </c>
      <c r="AA1317" s="15"/>
      <c r="AB1317" s="15"/>
      <c r="AC1317" s="15"/>
      <c r="AD1317" s="15"/>
      <c r="AE1317" s="15">
        <v>950</v>
      </c>
      <c r="AF1317" s="16">
        <v>0.6</v>
      </c>
      <c r="AG1317" s="15">
        <f t="shared" si="129"/>
        <v>380</v>
      </c>
      <c r="AH1317" s="16">
        <v>0.18</v>
      </c>
      <c r="AI1317" s="15">
        <f t="shared" si="124"/>
        <v>448.4</v>
      </c>
      <c r="AJ1317" s="16">
        <v>0.2</v>
      </c>
      <c r="AK1317" s="15">
        <f t="shared" si="125"/>
        <v>89.68</v>
      </c>
      <c r="AL1317" s="15">
        <f t="shared" si="126"/>
        <v>538.08</v>
      </c>
      <c r="AM1317" s="15">
        <f t="shared" si="127"/>
        <v>411.92</v>
      </c>
      <c r="AN1317" s="16">
        <f t="shared" si="128"/>
        <v>0.4336</v>
      </c>
      <c r="AO1317" s="15" t="s">
        <v>221</v>
      </c>
      <c r="AP1317" s="15"/>
      <c r="AQ1317" s="15" t="s">
        <v>217</v>
      </c>
      <c r="AR1317" s="15"/>
      <c r="AS1317" s="15"/>
      <c r="AT1317" t="s">
        <v>869</v>
      </c>
    </row>
    <row r="1318" ht="15.75" customHeight="1" spans="1:46">
      <c r="A1318" s="15" t="s">
        <v>2105</v>
      </c>
      <c r="B1318" s="15" t="s">
        <v>212</v>
      </c>
      <c r="C1318" s="15" t="s">
        <v>1499</v>
      </c>
      <c r="D1318" s="15" t="s">
        <v>2088</v>
      </c>
      <c r="E1318" s="15" t="s">
        <v>2100</v>
      </c>
      <c r="F1318" s="15" t="s">
        <v>2106</v>
      </c>
      <c r="G1318" s="15"/>
      <c r="H1318" s="15" t="s">
        <v>2034</v>
      </c>
      <c r="I1318" s="15" t="s">
        <v>2047</v>
      </c>
      <c r="J1318" s="15"/>
      <c r="K1318" s="15"/>
      <c r="L1318" s="15" t="s">
        <v>124</v>
      </c>
      <c r="M1318" s="15" t="s">
        <v>2042</v>
      </c>
      <c r="N1318" s="15" t="s">
        <v>2039</v>
      </c>
      <c r="O1318" s="15" t="s">
        <v>2051</v>
      </c>
      <c r="P1318" s="15"/>
      <c r="Q1318" s="15" t="s">
        <v>57</v>
      </c>
      <c r="R1318" s="15"/>
      <c r="S1318" s="15"/>
      <c r="T1318" s="15"/>
      <c r="U1318" s="15"/>
      <c r="V1318" s="15"/>
      <c r="W1318" s="15"/>
      <c r="X1318" s="15"/>
      <c r="Y1318" s="15" t="s">
        <v>2109</v>
      </c>
      <c r="Z1318" s="15">
        <v>9405</v>
      </c>
      <c r="AA1318" s="15"/>
      <c r="AB1318" s="15"/>
      <c r="AC1318" s="15"/>
      <c r="AD1318" s="15"/>
      <c r="AE1318" s="15">
        <v>950</v>
      </c>
      <c r="AF1318" s="16">
        <v>0.6</v>
      </c>
      <c r="AG1318" s="15">
        <f t="shared" si="129"/>
        <v>380</v>
      </c>
      <c r="AH1318" s="16">
        <v>0.18</v>
      </c>
      <c r="AI1318" s="15">
        <f t="shared" si="124"/>
        <v>448.4</v>
      </c>
      <c r="AJ1318" s="16">
        <v>0.2</v>
      </c>
      <c r="AK1318" s="15">
        <f t="shared" si="125"/>
        <v>89.68</v>
      </c>
      <c r="AL1318" s="15">
        <f t="shared" si="126"/>
        <v>538.08</v>
      </c>
      <c r="AM1318" s="15">
        <f t="shared" si="127"/>
        <v>411.92</v>
      </c>
      <c r="AN1318" s="16">
        <f t="shared" si="128"/>
        <v>0.4336</v>
      </c>
      <c r="AO1318" s="15" t="s">
        <v>221</v>
      </c>
      <c r="AP1318" s="15"/>
      <c r="AQ1318" s="15" t="s">
        <v>217</v>
      </c>
      <c r="AR1318" s="15"/>
      <c r="AS1318" s="15"/>
      <c r="AT1318" t="s">
        <v>869</v>
      </c>
    </row>
    <row r="1319" ht="15.75" customHeight="1" spans="1:46">
      <c r="A1319" s="15" t="s">
        <v>2105</v>
      </c>
      <c r="B1319" s="15" t="s">
        <v>213</v>
      </c>
      <c r="C1319" s="15" t="s">
        <v>1499</v>
      </c>
      <c r="D1319" s="15" t="s">
        <v>2088</v>
      </c>
      <c r="E1319" s="15" t="s">
        <v>2100</v>
      </c>
      <c r="F1319" s="15" t="s">
        <v>2106</v>
      </c>
      <c r="G1319" s="15"/>
      <c r="H1319" s="15" t="s">
        <v>2034</v>
      </c>
      <c r="I1319" s="15" t="s">
        <v>2047</v>
      </c>
      <c r="J1319" s="15"/>
      <c r="K1319" s="15"/>
      <c r="L1319" s="15" t="s">
        <v>124</v>
      </c>
      <c r="M1319" s="15" t="s">
        <v>2043</v>
      </c>
      <c r="N1319" s="15" t="s">
        <v>2039</v>
      </c>
      <c r="O1319" s="15" t="s">
        <v>2051</v>
      </c>
      <c r="P1319" s="15"/>
      <c r="Q1319" s="15" t="s">
        <v>57</v>
      </c>
      <c r="R1319" s="15"/>
      <c r="S1319" s="15"/>
      <c r="T1319" s="15"/>
      <c r="U1319" s="15"/>
      <c r="V1319" s="15"/>
      <c r="W1319" s="15"/>
      <c r="X1319" s="15"/>
      <c r="Y1319" s="15" t="s">
        <v>2109</v>
      </c>
      <c r="Z1319" s="15">
        <v>9405</v>
      </c>
      <c r="AA1319" s="15"/>
      <c r="AB1319" s="15"/>
      <c r="AC1319" s="15"/>
      <c r="AD1319" s="15"/>
      <c r="AE1319" s="15">
        <v>950</v>
      </c>
      <c r="AF1319" s="16">
        <v>0.6</v>
      </c>
      <c r="AG1319" s="15">
        <f t="shared" si="129"/>
        <v>380</v>
      </c>
      <c r="AH1319" s="16">
        <v>0.18</v>
      </c>
      <c r="AI1319" s="15">
        <f t="shared" si="124"/>
        <v>448.4</v>
      </c>
      <c r="AJ1319" s="16">
        <v>0.2</v>
      </c>
      <c r="AK1319" s="15">
        <f t="shared" si="125"/>
        <v>89.68</v>
      </c>
      <c r="AL1319" s="15">
        <f t="shared" si="126"/>
        <v>538.08</v>
      </c>
      <c r="AM1319" s="15">
        <f t="shared" si="127"/>
        <v>411.92</v>
      </c>
      <c r="AN1319" s="16">
        <f t="shared" si="128"/>
        <v>0.4336</v>
      </c>
      <c r="AO1319" s="15" t="s">
        <v>221</v>
      </c>
      <c r="AP1319" s="15"/>
      <c r="AQ1319" s="15" t="s">
        <v>217</v>
      </c>
      <c r="AR1319" s="15"/>
      <c r="AS1319" s="15"/>
      <c r="AT1319" t="s">
        <v>869</v>
      </c>
    </row>
    <row r="1320" ht="15.75" customHeight="1" spans="1:46">
      <c r="A1320" s="15" t="s">
        <v>2105</v>
      </c>
      <c r="B1320" s="15" t="s">
        <v>1520</v>
      </c>
      <c r="C1320" s="15" t="s">
        <v>1499</v>
      </c>
      <c r="D1320" s="15" t="s">
        <v>2088</v>
      </c>
      <c r="E1320" s="15" t="s">
        <v>2100</v>
      </c>
      <c r="F1320" s="15" t="s">
        <v>2106</v>
      </c>
      <c r="G1320" s="15"/>
      <c r="H1320" s="15" t="s">
        <v>2034</v>
      </c>
      <c r="I1320" s="15" t="s">
        <v>2108</v>
      </c>
      <c r="J1320" s="15"/>
      <c r="K1320" s="15"/>
      <c r="L1320" s="15" t="s">
        <v>124</v>
      </c>
      <c r="M1320" s="15" t="s">
        <v>2038</v>
      </c>
      <c r="N1320" s="15" t="s">
        <v>2039</v>
      </c>
      <c r="O1320" s="15" t="s">
        <v>2051</v>
      </c>
      <c r="P1320" s="15"/>
      <c r="Q1320" s="15" t="s">
        <v>57</v>
      </c>
      <c r="R1320" s="15"/>
      <c r="S1320" s="15"/>
      <c r="T1320" s="15"/>
      <c r="U1320" s="15"/>
      <c r="V1320" s="15"/>
      <c r="W1320" s="15"/>
      <c r="X1320" s="15"/>
      <c r="Y1320" s="15" t="s">
        <v>2109</v>
      </c>
      <c r="Z1320" s="15">
        <v>9405</v>
      </c>
      <c r="AA1320" s="15"/>
      <c r="AB1320" s="15"/>
      <c r="AC1320" s="15"/>
      <c r="AD1320" s="15"/>
      <c r="AE1320" s="15">
        <v>900</v>
      </c>
      <c r="AF1320" s="16">
        <v>0.5</v>
      </c>
      <c r="AG1320" s="15">
        <f t="shared" si="129"/>
        <v>450</v>
      </c>
      <c r="AH1320" s="16">
        <v>0.18</v>
      </c>
      <c r="AI1320" s="15">
        <f t="shared" si="124"/>
        <v>531</v>
      </c>
      <c r="AJ1320" s="16">
        <v>0.2</v>
      </c>
      <c r="AK1320" s="15">
        <f t="shared" si="125"/>
        <v>106.2</v>
      </c>
      <c r="AL1320" s="15">
        <f t="shared" si="126"/>
        <v>637.2</v>
      </c>
      <c r="AM1320" s="15">
        <f t="shared" si="127"/>
        <v>262.8</v>
      </c>
      <c r="AN1320" s="16">
        <f t="shared" si="128"/>
        <v>0.292</v>
      </c>
      <c r="AO1320" s="15" t="s">
        <v>221</v>
      </c>
      <c r="AP1320" s="15"/>
      <c r="AQ1320" s="15" t="s">
        <v>217</v>
      </c>
      <c r="AR1320" s="15"/>
      <c r="AS1320" s="15"/>
      <c r="AT1320" t="s">
        <v>869</v>
      </c>
    </row>
    <row r="1321" ht="15.75" customHeight="1" spans="1:46">
      <c r="A1321" s="15" t="s">
        <v>2105</v>
      </c>
      <c r="B1321" s="15" t="s">
        <v>1521</v>
      </c>
      <c r="C1321" s="15" t="s">
        <v>1499</v>
      </c>
      <c r="D1321" s="15" t="s">
        <v>2088</v>
      </c>
      <c r="E1321" s="15" t="s">
        <v>2100</v>
      </c>
      <c r="F1321" s="15" t="s">
        <v>2106</v>
      </c>
      <c r="G1321" s="15"/>
      <c r="H1321" s="15" t="s">
        <v>2034</v>
      </c>
      <c r="I1321" s="15" t="s">
        <v>2108</v>
      </c>
      <c r="J1321" s="15"/>
      <c r="K1321" s="15"/>
      <c r="L1321" s="15" t="s">
        <v>124</v>
      </c>
      <c r="M1321" s="15" t="s">
        <v>2042</v>
      </c>
      <c r="N1321" s="15" t="s">
        <v>2039</v>
      </c>
      <c r="O1321" s="15" t="s">
        <v>2051</v>
      </c>
      <c r="P1321" s="15"/>
      <c r="Q1321" s="15" t="s">
        <v>57</v>
      </c>
      <c r="R1321" s="15"/>
      <c r="S1321" s="15"/>
      <c r="T1321" s="15"/>
      <c r="U1321" s="15"/>
      <c r="V1321" s="15"/>
      <c r="W1321" s="15"/>
      <c r="X1321" s="15"/>
      <c r="Y1321" s="15" t="s">
        <v>2109</v>
      </c>
      <c r="Z1321" s="15">
        <v>9405</v>
      </c>
      <c r="AA1321" s="15"/>
      <c r="AB1321" s="15"/>
      <c r="AC1321" s="15"/>
      <c r="AD1321" s="15"/>
      <c r="AE1321" s="15">
        <v>900</v>
      </c>
      <c r="AF1321" s="16">
        <v>0.5</v>
      </c>
      <c r="AG1321" s="15">
        <f t="shared" si="129"/>
        <v>450</v>
      </c>
      <c r="AH1321" s="16">
        <v>0.18</v>
      </c>
      <c r="AI1321" s="15">
        <f t="shared" si="124"/>
        <v>531</v>
      </c>
      <c r="AJ1321" s="16">
        <v>0.2</v>
      </c>
      <c r="AK1321" s="15">
        <f t="shared" si="125"/>
        <v>106.2</v>
      </c>
      <c r="AL1321" s="15">
        <f t="shared" si="126"/>
        <v>637.2</v>
      </c>
      <c r="AM1321" s="15">
        <f t="shared" si="127"/>
        <v>262.8</v>
      </c>
      <c r="AN1321" s="16">
        <f t="shared" si="128"/>
        <v>0.292</v>
      </c>
      <c r="AO1321" s="15" t="s">
        <v>221</v>
      </c>
      <c r="AP1321" s="15"/>
      <c r="AQ1321" s="15" t="s">
        <v>217</v>
      </c>
      <c r="AR1321" s="15"/>
      <c r="AS1321" s="15"/>
      <c r="AT1321" t="s">
        <v>869</v>
      </c>
    </row>
    <row r="1322" ht="15.75" customHeight="1" spans="1:46">
      <c r="A1322" s="15" t="s">
        <v>2105</v>
      </c>
      <c r="B1322" s="15" t="s">
        <v>1523</v>
      </c>
      <c r="C1322" s="15" t="s">
        <v>1499</v>
      </c>
      <c r="D1322" s="15" t="s">
        <v>2088</v>
      </c>
      <c r="E1322" s="15" t="s">
        <v>2100</v>
      </c>
      <c r="F1322" s="15" t="s">
        <v>2106</v>
      </c>
      <c r="G1322" s="15"/>
      <c r="H1322" s="15" t="s">
        <v>2034</v>
      </c>
      <c r="I1322" s="15" t="s">
        <v>2108</v>
      </c>
      <c r="J1322" s="15"/>
      <c r="K1322" s="15"/>
      <c r="L1322" s="15" t="s">
        <v>124</v>
      </c>
      <c r="M1322" s="15" t="s">
        <v>2043</v>
      </c>
      <c r="N1322" s="15" t="s">
        <v>2039</v>
      </c>
      <c r="O1322" s="15" t="s">
        <v>2051</v>
      </c>
      <c r="P1322" s="15"/>
      <c r="Q1322" s="15" t="s">
        <v>57</v>
      </c>
      <c r="R1322" s="15"/>
      <c r="S1322" s="15"/>
      <c r="T1322" s="15"/>
      <c r="U1322" s="15"/>
      <c r="V1322" s="15"/>
      <c r="W1322" s="15"/>
      <c r="X1322" s="15"/>
      <c r="Y1322" s="15" t="s">
        <v>2109</v>
      </c>
      <c r="Z1322" s="15">
        <v>9405</v>
      </c>
      <c r="AA1322" s="15"/>
      <c r="AB1322" s="15"/>
      <c r="AC1322" s="15"/>
      <c r="AD1322" s="15"/>
      <c r="AE1322" s="15">
        <v>900</v>
      </c>
      <c r="AF1322" s="16">
        <v>0.5</v>
      </c>
      <c r="AG1322" s="15">
        <f t="shared" si="129"/>
        <v>450</v>
      </c>
      <c r="AH1322" s="16">
        <v>0.18</v>
      </c>
      <c r="AI1322" s="15">
        <f t="shared" si="124"/>
        <v>531</v>
      </c>
      <c r="AJ1322" s="16">
        <v>0.2</v>
      </c>
      <c r="AK1322" s="15">
        <f t="shared" si="125"/>
        <v>106.2</v>
      </c>
      <c r="AL1322" s="15">
        <f t="shared" si="126"/>
        <v>637.2</v>
      </c>
      <c r="AM1322" s="15">
        <f t="shared" si="127"/>
        <v>262.8</v>
      </c>
      <c r="AN1322" s="16">
        <f t="shared" si="128"/>
        <v>0.292</v>
      </c>
      <c r="AO1322" s="15" t="s">
        <v>221</v>
      </c>
      <c r="AP1322" s="15"/>
      <c r="AQ1322" s="15" t="s">
        <v>217</v>
      </c>
      <c r="AR1322" s="15"/>
      <c r="AS1322" s="15"/>
      <c r="AT1322" t="s">
        <v>869</v>
      </c>
    </row>
    <row r="1323" ht="15.75" customHeight="1" spans="1:46">
      <c r="A1323" t="s">
        <v>2110</v>
      </c>
      <c r="B1323" t="s">
        <v>46</v>
      </c>
      <c r="C1323" t="s">
        <v>1499</v>
      </c>
      <c r="D1323" t="s">
        <v>2111</v>
      </c>
      <c r="E1323" t="s">
        <v>2032</v>
      </c>
      <c r="F1323" t="s">
        <v>2112</v>
      </c>
      <c r="H1323" t="s">
        <v>2034</v>
      </c>
      <c r="I1323" t="s">
        <v>2035</v>
      </c>
      <c r="J1323" t="s">
        <v>2036</v>
      </c>
      <c r="K1323" t="s">
        <v>2113</v>
      </c>
      <c r="L1323" t="s">
        <v>124</v>
      </c>
      <c r="M1323" t="s">
        <v>2038</v>
      </c>
      <c r="Q1323" t="s">
        <v>57</v>
      </c>
      <c r="Y1323" t="s">
        <v>2114</v>
      </c>
      <c r="Z1323">
        <v>9405</v>
      </c>
      <c r="AE1323">
        <v>635</v>
      </c>
      <c r="AF1323" s="4">
        <v>0.5</v>
      </c>
      <c r="AG1323">
        <f t="shared" si="129"/>
        <v>317.5</v>
      </c>
      <c r="AH1323" s="4">
        <v>0.18</v>
      </c>
      <c r="AI1323">
        <f t="shared" si="124"/>
        <v>374.65</v>
      </c>
      <c r="AJ1323" s="4">
        <v>0.2</v>
      </c>
      <c r="AK1323">
        <f t="shared" si="125"/>
        <v>74.93</v>
      </c>
      <c r="AL1323">
        <f t="shared" si="126"/>
        <v>449.58</v>
      </c>
      <c r="AM1323">
        <f t="shared" si="127"/>
        <v>185.42</v>
      </c>
      <c r="AN1323" s="4">
        <f t="shared" si="128"/>
        <v>0.292</v>
      </c>
      <c r="AO1323" t="s">
        <v>64</v>
      </c>
      <c r="AQ1323" t="s">
        <v>217</v>
      </c>
      <c r="AT1323" t="s">
        <v>64</v>
      </c>
    </row>
    <row r="1324" ht="15.75" customHeight="1" spans="1:46">
      <c r="A1324" t="s">
        <v>2110</v>
      </c>
      <c r="B1324" t="s">
        <v>67</v>
      </c>
      <c r="C1324" t="s">
        <v>1499</v>
      </c>
      <c r="D1324" t="s">
        <v>2111</v>
      </c>
      <c r="E1324" t="s">
        <v>2032</v>
      </c>
      <c r="F1324" t="s">
        <v>2112</v>
      </c>
      <c r="H1324" t="s">
        <v>2034</v>
      </c>
      <c r="I1324" t="s">
        <v>2035</v>
      </c>
      <c r="J1324" t="s">
        <v>2036</v>
      </c>
      <c r="K1324" t="s">
        <v>2113</v>
      </c>
      <c r="L1324" t="s">
        <v>124</v>
      </c>
      <c r="M1324" t="s">
        <v>2043</v>
      </c>
      <c r="Q1324" t="s">
        <v>57</v>
      </c>
      <c r="Y1324" t="s">
        <v>2114</v>
      </c>
      <c r="Z1324">
        <v>9405</v>
      </c>
      <c r="AE1324">
        <v>635</v>
      </c>
      <c r="AF1324" s="4">
        <v>0.5</v>
      </c>
      <c r="AG1324">
        <f t="shared" si="129"/>
        <v>317.5</v>
      </c>
      <c r="AH1324" s="4">
        <v>0.18</v>
      </c>
      <c r="AI1324">
        <f t="shared" si="124"/>
        <v>374.65</v>
      </c>
      <c r="AJ1324" s="4">
        <v>0.2</v>
      </c>
      <c r="AK1324">
        <f t="shared" si="125"/>
        <v>74.93</v>
      </c>
      <c r="AL1324">
        <f t="shared" si="126"/>
        <v>449.58</v>
      </c>
      <c r="AM1324">
        <f t="shared" si="127"/>
        <v>185.42</v>
      </c>
      <c r="AN1324" s="4">
        <f t="shared" si="128"/>
        <v>0.292</v>
      </c>
      <c r="AO1324" t="s">
        <v>64</v>
      </c>
      <c r="AQ1324" t="s">
        <v>217</v>
      </c>
      <c r="AT1324" t="s">
        <v>64</v>
      </c>
    </row>
    <row r="1325" ht="15.75" customHeight="1" spans="1:46">
      <c r="A1325" t="s">
        <v>2110</v>
      </c>
      <c r="B1325" t="s">
        <v>71</v>
      </c>
      <c r="C1325" t="s">
        <v>1499</v>
      </c>
      <c r="D1325" t="s">
        <v>2111</v>
      </c>
      <c r="E1325" t="s">
        <v>2032</v>
      </c>
      <c r="F1325" t="s">
        <v>2112</v>
      </c>
      <c r="H1325" t="s">
        <v>2034</v>
      </c>
      <c r="I1325" t="s">
        <v>2115</v>
      </c>
      <c r="J1325" t="s">
        <v>2036</v>
      </c>
      <c r="K1325" t="s">
        <v>2116</v>
      </c>
      <c r="L1325" t="s">
        <v>124</v>
      </c>
      <c r="M1325" t="s">
        <v>2038</v>
      </c>
      <c r="Q1325" t="s">
        <v>57</v>
      </c>
      <c r="Y1325" t="s">
        <v>2114</v>
      </c>
      <c r="Z1325">
        <v>9405</v>
      </c>
      <c r="AE1325">
        <v>315</v>
      </c>
      <c r="AF1325" s="4">
        <v>0.68</v>
      </c>
      <c r="AG1325">
        <f t="shared" si="129"/>
        <v>100.8</v>
      </c>
      <c r="AH1325" s="4">
        <v>0.18</v>
      </c>
      <c r="AI1325">
        <f t="shared" si="124"/>
        <v>118.94</v>
      </c>
      <c r="AJ1325" s="4">
        <v>0.2</v>
      </c>
      <c r="AK1325">
        <f t="shared" si="125"/>
        <v>23.79</v>
      </c>
      <c r="AL1325">
        <f t="shared" si="126"/>
        <v>142.73</v>
      </c>
      <c r="AM1325">
        <f t="shared" si="127"/>
        <v>172.27</v>
      </c>
      <c r="AN1325" s="4">
        <f t="shared" si="128"/>
        <v>0.546888888888889</v>
      </c>
      <c r="AO1325" t="s">
        <v>64</v>
      </c>
      <c r="AQ1325" t="s">
        <v>217</v>
      </c>
      <c r="AT1325" t="s">
        <v>64</v>
      </c>
    </row>
    <row r="1326" ht="15.75" customHeight="1" spans="1:46">
      <c r="A1326" t="s">
        <v>2110</v>
      </c>
      <c r="B1326" t="s">
        <v>75</v>
      </c>
      <c r="C1326" t="s">
        <v>1499</v>
      </c>
      <c r="D1326" t="s">
        <v>2111</v>
      </c>
      <c r="E1326" t="s">
        <v>2032</v>
      </c>
      <c r="F1326" t="s">
        <v>2112</v>
      </c>
      <c r="H1326" t="s">
        <v>2034</v>
      </c>
      <c r="I1326" t="s">
        <v>2115</v>
      </c>
      <c r="J1326" t="s">
        <v>2036</v>
      </c>
      <c r="K1326" t="s">
        <v>2116</v>
      </c>
      <c r="L1326" t="s">
        <v>124</v>
      </c>
      <c r="M1326" t="s">
        <v>2043</v>
      </c>
      <c r="Q1326" t="s">
        <v>57</v>
      </c>
      <c r="Y1326" t="s">
        <v>2114</v>
      </c>
      <c r="Z1326">
        <v>9405</v>
      </c>
      <c r="AE1326">
        <v>315</v>
      </c>
      <c r="AF1326" s="4">
        <v>0.68</v>
      </c>
      <c r="AG1326">
        <f t="shared" si="129"/>
        <v>100.8</v>
      </c>
      <c r="AH1326" s="4">
        <v>0.18</v>
      </c>
      <c r="AI1326">
        <f t="shared" si="124"/>
        <v>118.94</v>
      </c>
      <c r="AJ1326" s="4">
        <v>0.2</v>
      </c>
      <c r="AK1326">
        <f t="shared" si="125"/>
        <v>23.79</v>
      </c>
      <c r="AL1326">
        <f t="shared" si="126"/>
        <v>142.73</v>
      </c>
      <c r="AM1326">
        <f t="shared" si="127"/>
        <v>172.27</v>
      </c>
      <c r="AN1326" s="4">
        <f t="shared" si="128"/>
        <v>0.546888888888889</v>
      </c>
      <c r="AO1326" t="s">
        <v>64</v>
      </c>
      <c r="AQ1326" t="s">
        <v>217</v>
      </c>
      <c r="AT1326" t="s">
        <v>64</v>
      </c>
    </row>
    <row r="1327" ht="15.75" customHeight="1" spans="1:46">
      <c r="A1327" t="s">
        <v>2110</v>
      </c>
      <c r="B1327" t="s">
        <v>79</v>
      </c>
      <c r="C1327" t="s">
        <v>1499</v>
      </c>
      <c r="D1327" t="s">
        <v>2111</v>
      </c>
      <c r="E1327" t="s">
        <v>2032</v>
      </c>
      <c r="F1327" t="s">
        <v>2112</v>
      </c>
      <c r="H1327" t="s">
        <v>2034</v>
      </c>
      <c r="I1327" t="s">
        <v>2064</v>
      </c>
      <c r="J1327" t="s">
        <v>2036</v>
      </c>
      <c r="K1327" t="s">
        <v>2117</v>
      </c>
      <c r="L1327" t="s">
        <v>124</v>
      </c>
      <c r="M1327" t="s">
        <v>2038</v>
      </c>
      <c r="Q1327" t="s">
        <v>57</v>
      </c>
      <c r="Y1327" t="s">
        <v>2114</v>
      </c>
      <c r="Z1327">
        <v>9405</v>
      </c>
      <c r="AE1327">
        <v>1400</v>
      </c>
      <c r="AF1327" s="4">
        <v>0.55</v>
      </c>
      <c r="AG1327">
        <f t="shared" si="129"/>
        <v>630</v>
      </c>
      <c r="AH1327" s="4">
        <v>0.18</v>
      </c>
      <c r="AI1327">
        <f t="shared" si="124"/>
        <v>743.4</v>
      </c>
      <c r="AJ1327" s="4">
        <v>0.2</v>
      </c>
      <c r="AK1327">
        <f t="shared" si="125"/>
        <v>148.68</v>
      </c>
      <c r="AL1327">
        <f t="shared" si="126"/>
        <v>892.08</v>
      </c>
      <c r="AM1327">
        <f t="shared" si="127"/>
        <v>507.92</v>
      </c>
      <c r="AN1327" s="4">
        <f t="shared" si="128"/>
        <v>0.3628</v>
      </c>
      <c r="AO1327" t="s">
        <v>64</v>
      </c>
      <c r="AQ1327" t="s">
        <v>217</v>
      </c>
      <c r="AT1327" t="s">
        <v>64</v>
      </c>
    </row>
    <row r="1328" ht="15.75" customHeight="1" spans="1:46">
      <c r="A1328" t="s">
        <v>2110</v>
      </c>
      <c r="B1328" t="s">
        <v>83</v>
      </c>
      <c r="C1328" t="s">
        <v>1499</v>
      </c>
      <c r="D1328" t="s">
        <v>2111</v>
      </c>
      <c r="E1328" t="s">
        <v>2032</v>
      </c>
      <c r="F1328" t="s">
        <v>2112</v>
      </c>
      <c r="H1328" t="s">
        <v>2034</v>
      </c>
      <c r="I1328" t="s">
        <v>2064</v>
      </c>
      <c r="J1328" t="s">
        <v>2036</v>
      </c>
      <c r="K1328" t="s">
        <v>2117</v>
      </c>
      <c r="L1328" t="s">
        <v>124</v>
      </c>
      <c r="M1328" t="s">
        <v>2043</v>
      </c>
      <c r="Q1328" t="s">
        <v>57</v>
      </c>
      <c r="Y1328" t="s">
        <v>2114</v>
      </c>
      <c r="Z1328">
        <v>9405</v>
      </c>
      <c r="AE1328">
        <v>1400</v>
      </c>
      <c r="AF1328" s="4">
        <v>0.55</v>
      </c>
      <c r="AG1328">
        <f t="shared" si="129"/>
        <v>630</v>
      </c>
      <c r="AH1328" s="4">
        <v>0.18</v>
      </c>
      <c r="AI1328">
        <f t="shared" si="124"/>
        <v>743.4</v>
      </c>
      <c r="AJ1328" s="4">
        <v>0.2</v>
      </c>
      <c r="AK1328">
        <f t="shared" si="125"/>
        <v>148.68</v>
      </c>
      <c r="AL1328">
        <f t="shared" si="126"/>
        <v>892.08</v>
      </c>
      <c r="AM1328">
        <f t="shared" si="127"/>
        <v>507.92</v>
      </c>
      <c r="AN1328" s="4">
        <f t="shared" si="128"/>
        <v>0.3628</v>
      </c>
      <c r="AO1328" t="s">
        <v>64</v>
      </c>
      <c r="AQ1328" t="s">
        <v>217</v>
      </c>
      <c r="AT1328" t="s">
        <v>64</v>
      </c>
    </row>
    <row r="1329" ht="15.75" customHeight="1" spans="1:46">
      <c r="A1329" t="s">
        <v>2110</v>
      </c>
      <c r="B1329" t="s">
        <v>131</v>
      </c>
      <c r="C1329" t="s">
        <v>1499</v>
      </c>
      <c r="D1329" t="s">
        <v>2111</v>
      </c>
      <c r="E1329" t="s">
        <v>2032</v>
      </c>
      <c r="F1329" t="s">
        <v>2112</v>
      </c>
      <c r="H1329" t="s">
        <v>2034</v>
      </c>
      <c r="I1329" t="s">
        <v>2064</v>
      </c>
      <c r="J1329" t="s">
        <v>2036</v>
      </c>
      <c r="K1329" t="s">
        <v>2117</v>
      </c>
      <c r="L1329" t="s">
        <v>124</v>
      </c>
      <c r="M1329" t="s">
        <v>2042</v>
      </c>
      <c r="Q1329" t="s">
        <v>57</v>
      </c>
      <c r="Y1329" t="s">
        <v>2114</v>
      </c>
      <c r="Z1329">
        <v>9405</v>
      </c>
      <c r="AE1329">
        <v>1400</v>
      </c>
      <c r="AF1329" s="4">
        <v>0.55</v>
      </c>
      <c r="AG1329">
        <f t="shared" si="129"/>
        <v>630</v>
      </c>
      <c r="AH1329" s="4">
        <v>0.18</v>
      </c>
      <c r="AI1329">
        <f t="shared" si="124"/>
        <v>743.4</v>
      </c>
      <c r="AJ1329" s="4">
        <v>0.2</v>
      </c>
      <c r="AK1329">
        <f t="shared" si="125"/>
        <v>148.68</v>
      </c>
      <c r="AL1329">
        <f t="shared" si="126"/>
        <v>892.08</v>
      </c>
      <c r="AM1329">
        <f t="shared" si="127"/>
        <v>507.92</v>
      </c>
      <c r="AN1329" s="4">
        <f t="shared" si="128"/>
        <v>0.3628</v>
      </c>
      <c r="AO1329" t="s">
        <v>64</v>
      </c>
      <c r="AQ1329" t="s">
        <v>217</v>
      </c>
      <c r="AT1329" t="s">
        <v>64</v>
      </c>
    </row>
    <row r="1330" ht="15.75" customHeight="1" spans="1:46">
      <c r="A1330" t="s">
        <v>2110</v>
      </c>
      <c r="B1330" t="s">
        <v>133</v>
      </c>
      <c r="C1330" t="s">
        <v>1499</v>
      </c>
      <c r="D1330" t="s">
        <v>2111</v>
      </c>
      <c r="E1330" t="s">
        <v>2032</v>
      </c>
      <c r="F1330" t="s">
        <v>2112</v>
      </c>
      <c r="H1330" t="s">
        <v>2034</v>
      </c>
      <c r="I1330" t="s">
        <v>2068</v>
      </c>
      <c r="J1330" t="s">
        <v>2036</v>
      </c>
      <c r="K1330" t="s">
        <v>2118</v>
      </c>
      <c r="L1330" t="s">
        <v>124</v>
      </c>
      <c r="M1330" t="s">
        <v>2038</v>
      </c>
      <c r="Q1330" t="s">
        <v>57</v>
      </c>
      <c r="Y1330" t="s">
        <v>2114</v>
      </c>
      <c r="Z1330">
        <v>9405</v>
      </c>
      <c r="AE1330">
        <v>1850</v>
      </c>
      <c r="AF1330" s="4">
        <v>0.55</v>
      </c>
      <c r="AG1330">
        <f t="shared" si="129"/>
        <v>832.5</v>
      </c>
      <c r="AH1330" s="4">
        <v>0.18</v>
      </c>
      <c r="AI1330">
        <f t="shared" si="124"/>
        <v>982.35</v>
      </c>
      <c r="AJ1330" s="4">
        <v>0.2</v>
      </c>
      <c r="AK1330">
        <f t="shared" si="125"/>
        <v>196.47</v>
      </c>
      <c r="AL1330">
        <f t="shared" si="126"/>
        <v>1178.82</v>
      </c>
      <c r="AM1330">
        <f t="shared" si="127"/>
        <v>671.18</v>
      </c>
      <c r="AN1330" s="4">
        <f t="shared" si="128"/>
        <v>0.3628</v>
      </c>
      <c r="AO1330" t="s">
        <v>64</v>
      </c>
      <c r="AQ1330" t="s">
        <v>217</v>
      </c>
      <c r="AT1330" t="s">
        <v>64</v>
      </c>
    </row>
    <row r="1331" ht="15.75" customHeight="1" spans="1:46">
      <c r="A1331" t="s">
        <v>2110</v>
      </c>
      <c r="B1331" t="s">
        <v>135</v>
      </c>
      <c r="C1331" t="s">
        <v>1499</v>
      </c>
      <c r="D1331" t="s">
        <v>2111</v>
      </c>
      <c r="E1331" t="s">
        <v>2032</v>
      </c>
      <c r="F1331" t="s">
        <v>2112</v>
      </c>
      <c r="H1331" t="s">
        <v>2034</v>
      </c>
      <c r="I1331" t="s">
        <v>2068</v>
      </c>
      <c r="J1331" t="s">
        <v>2036</v>
      </c>
      <c r="K1331" t="s">
        <v>2118</v>
      </c>
      <c r="L1331" t="s">
        <v>124</v>
      </c>
      <c r="M1331" t="s">
        <v>2043</v>
      </c>
      <c r="Q1331" t="s">
        <v>57</v>
      </c>
      <c r="Y1331" t="s">
        <v>2114</v>
      </c>
      <c r="Z1331">
        <v>9405</v>
      </c>
      <c r="AE1331">
        <v>1850</v>
      </c>
      <c r="AF1331" s="4">
        <v>0.55</v>
      </c>
      <c r="AG1331">
        <f t="shared" si="129"/>
        <v>832.5</v>
      </c>
      <c r="AH1331" s="4">
        <v>0.18</v>
      </c>
      <c r="AI1331">
        <f t="shared" si="124"/>
        <v>982.35</v>
      </c>
      <c r="AJ1331" s="4">
        <v>0.2</v>
      </c>
      <c r="AK1331">
        <f t="shared" si="125"/>
        <v>196.47</v>
      </c>
      <c r="AL1331">
        <f t="shared" si="126"/>
        <v>1178.82</v>
      </c>
      <c r="AM1331">
        <f t="shared" si="127"/>
        <v>671.18</v>
      </c>
      <c r="AN1331" s="4">
        <f t="shared" si="128"/>
        <v>0.3628</v>
      </c>
      <c r="AO1331" t="s">
        <v>64</v>
      </c>
      <c r="AQ1331" t="s">
        <v>217</v>
      </c>
      <c r="AT1331" t="s">
        <v>64</v>
      </c>
    </row>
    <row r="1332" ht="15.75" customHeight="1" spans="1:46">
      <c r="A1332" t="s">
        <v>2110</v>
      </c>
      <c r="B1332" t="s">
        <v>137</v>
      </c>
      <c r="C1332" t="s">
        <v>1499</v>
      </c>
      <c r="D1332" t="s">
        <v>2111</v>
      </c>
      <c r="E1332" t="s">
        <v>2032</v>
      </c>
      <c r="F1332" t="s">
        <v>2112</v>
      </c>
      <c r="H1332" t="s">
        <v>2034</v>
      </c>
      <c r="I1332" t="s">
        <v>2068</v>
      </c>
      <c r="J1332" t="s">
        <v>2036</v>
      </c>
      <c r="K1332" t="s">
        <v>2118</v>
      </c>
      <c r="L1332" t="s">
        <v>124</v>
      </c>
      <c r="M1332" t="s">
        <v>2042</v>
      </c>
      <c r="Q1332" t="s">
        <v>57</v>
      </c>
      <c r="Y1332" t="s">
        <v>2114</v>
      </c>
      <c r="Z1332">
        <v>9405</v>
      </c>
      <c r="AE1332">
        <v>1850</v>
      </c>
      <c r="AF1332" s="4">
        <v>0.55</v>
      </c>
      <c r="AG1332">
        <f t="shared" si="129"/>
        <v>832.5</v>
      </c>
      <c r="AH1332" s="4">
        <v>0.18</v>
      </c>
      <c r="AI1332">
        <f t="shared" si="124"/>
        <v>982.35</v>
      </c>
      <c r="AJ1332" s="4">
        <v>0.2</v>
      </c>
      <c r="AK1332">
        <f t="shared" si="125"/>
        <v>196.47</v>
      </c>
      <c r="AL1332">
        <f t="shared" si="126"/>
        <v>1178.82</v>
      </c>
      <c r="AM1332">
        <f t="shared" si="127"/>
        <v>671.18</v>
      </c>
      <c r="AN1332" s="4">
        <f t="shared" si="128"/>
        <v>0.3628</v>
      </c>
      <c r="AO1332" t="s">
        <v>64</v>
      </c>
      <c r="AQ1332" t="s">
        <v>217</v>
      </c>
      <c r="AT1332" t="s">
        <v>64</v>
      </c>
    </row>
    <row r="1333" ht="15.75" customHeight="1" spans="1:46">
      <c r="A1333" t="s">
        <v>2110</v>
      </c>
      <c r="B1333" t="s">
        <v>138</v>
      </c>
      <c r="C1333" t="s">
        <v>1499</v>
      </c>
      <c r="D1333" t="s">
        <v>2111</v>
      </c>
      <c r="E1333" t="s">
        <v>2032</v>
      </c>
      <c r="F1333" t="s">
        <v>2112</v>
      </c>
      <c r="H1333" t="s">
        <v>2034</v>
      </c>
      <c r="I1333" t="s">
        <v>2108</v>
      </c>
      <c r="J1333" t="s">
        <v>2036</v>
      </c>
      <c r="K1333" t="s">
        <v>2046</v>
      </c>
      <c r="L1333" t="s">
        <v>124</v>
      </c>
      <c r="M1333" t="s">
        <v>2038</v>
      </c>
      <c r="Q1333" t="s">
        <v>57</v>
      </c>
      <c r="Y1333" t="s">
        <v>2114</v>
      </c>
      <c r="Z1333">
        <v>9405</v>
      </c>
      <c r="AE1333">
        <v>3620</v>
      </c>
      <c r="AF1333" s="4">
        <v>0.55</v>
      </c>
      <c r="AG1333">
        <f t="shared" si="129"/>
        <v>1629</v>
      </c>
      <c r="AH1333" s="4">
        <v>0.18</v>
      </c>
      <c r="AI1333">
        <f t="shared" si="124"/>
        <v>1922.22</v>
      </c>
      <c r="AJ1333" s="4">
        <v>0.2</v>
      </c>
      <c r="AK1333">
        <f t="shared" si="125"/>
        <v>384.44</v>
      </c>
      <c r="AL1333">
        <f t="shared" si="126"/>
        <v>2306.66</v>
      </c>
      <c r="AM1333">
        <f t="shared" si="127"/>
        <v>1313.34</v>
      </c>
      <c r="AN1333" s="4">
        <f t="shared" si="128"/>
        <v>0.362801104972376</v>
      </c>
      <c r="AO1333" t="s">
        <v>64</v>
      </c>
      <c r="AQ1333" t="s">
        <v>217</v>
      </c>
      <c r="AT1333" t="s">
        <v>64</v>
      </c>
    </row>
    <row r="1334" ht="15.75" customHeight="1" spans="1:46">
      <c r="A1334" t="s">
        <v>2110</v>
      </c>
      <c r="B1334" t="s">
        <v>140</v>
      </c>
      <c r="C1334" t="s">
        <v>1499</v>
      </c>
      <c r="D1334" t="s">
        <v>2111</v>
      </c>
      <c r="E1334" t="s">
        <v>2032</v>
      </c>
      <c r="F1334" t="s">
        <v>2112</v>
      </c>
      <c r="H1334" t="s">
        <v>2034</v>
      </c>
      <c r="I1334" t="s">
        <v>2108</v>
      </c>
      <c r="J1334" t="s">
        <v>2036</v>
      </c>
      <c r="K1334" t="s">
        <v>2046</v>
      </c>
      <c r="L1334" t="s">
        <v>124</v>
      </c>
      <c r="M1334" t="s">
        <v>2042</v>
      </c>
      <c r="Q1334" t="s">
        <v>57</v>
      </c>
      <c r="Y1334" t="s">
        <v>2114</v>
      </c>
      <c r="Z1334">
        <v>9405</v>
      </c>
      <c r="AE1334">
        <v>3620</v>
      </c>
      <c r="AF1334" s="4">
        <v>0.55</v>
      </c>
      <c r="AG1334">
        <f t="shared" si="129"/>
        <v>1629</v>
      </c>
      <c r="AH1334" s="4">
        <v>0.18</v>
      </c>
      <c r="AI1334">
        <f t="shared" si="124"/>
        <v>1922.22</v>
      </c>
      <c r="AJ1334" s="4">
        <v>0.2</v>
      </c>
      <c r="AK1334">
        <f t="shared" si="125"/>
        <v>384.44</v>
      </c>
      <c r="AL1334">
        <f t="shared" si="126"/>
        <v>2306.66</v>
      </c>
      <c r="AM1334">
        <f t="shared" si="127"/>
        <v>1313.34</v>
      </c>
      <c r="AN1334" s="4">
        <f t="shared" si="128"/>
        <v>0.362801104972376</v>
      </c>
      <c r="AO1334" t="s">
        <v>64</v>
      </c>
      <c r="AQ1334" t="s">
        <v>217</v>
      </c>
      <c r="AT1334" t="s">
        <v>64</v>
      </c>
    </row>
    <row r="1335" ht="15.75" customHeight="1" spans="1:46">
      <c r="A1335" t="s">
        <v>2119</v>
      </c>
      <c r="B1335" t="s">
        <v>46</v>
      </c>
      <c r="C1335" t="s">
        <v>1499</v>
      </c>
      <c r="D1335" t="s">
        <v>2111</v>
      </c>
      <c r="E1335" t="s">
        <v>2032</v>
      </c>
      <c r="F1335" t="s">
        <v>2120</v>
      </c>
      <c r="H1335" t="s">
        <v>2034</v>
      </c>
      <c r="I1335" t="s">
        <v>2035</v>
      </c>
      <c r="J1335" t="s">
        <v>2036</v>
      </c>
      <c r="K1335" t="s">
        <v>2121</v>
      </c>
      <c r="L1335" t="s">
        <v>124</v>
      </c>
      <c r="M1335" t="s">
        <v>2038</v>
      </c>
      <c r="Q1335" t="s">
        <v>57</v>
      </c>
      <c r="Y1335" t="s">
        <v>2114</v>
      </c>
      <c r="Z1335">
        <v>9405</v>
      </c>
      <c r="AE1335">
        <v>680</v>
      </c>
      <c r="AF1335" s="4">
        <v>0.5</v>
      </c>
      <c r="AG1335">
        <f t="shared" si="129"/>
        <v>340</v>
      </c>
      <c r="AH1335" s="4">
        <v>0.18</v>
      </c>
      <c r="AI1335">
        <f t="shared" si="124"/>
        <v>401.2</v>
      </c>
      <c r="AJ1335" s="4">
        <v>0.2</v>
      </c>
      <c r="AK1335">
        <f t="shared" si="125"/>
        <v>80.24</v>
      </c>
      <c r="AL1335">
        <f t="shared" si="126"/>
        <v>481.44</v>
      </c>
      <c r="AM1335">
        <f t="shared" si="127"/>
        <v>198.56</v>
      </c>
      <c r="AN1335" s="4">
        <f t="shared" si="128"/>
        <v>0.292</v>
      </c>
      <c r="AO1335" t="s">
        <v>64</v>
      </c>
      <c r="AQ1335" t="s">
        <v>217</v>
      </c>
      <c r="AT1335" t="s">
        <v>64</v>
      </c>
    </row>
    <row r="1336" ht="15.75" customHeight="1" spans="1:46">
      <c r="A1336" t="s">
        <v>2119</v>
      </c>
      <c r="B1336" t="s">
        <v>67</v>
      </c>
      <c r="C1336" t="s">
        <v>1499</v>
      </c>
      <c r="D1336" t="s">
        <v>2111</v>
      </c>
      <c r="E1336" t="s">
        <v>2032</v>
      </c>
      <c r="F1336" t="s">
        <v>2120</v>
      </c>
      <c r="H1336" t="s">
        <v>2034</v>
      </c>
      <c r="I1336" t="s">
        <v>2035</v>
      </c>
      <c r="J1336" t="s">
        <v>2036</v>
      </c>
      <c r="K1336" t="s">
        <v>2121</v>
      </c>
      <c r="L1336" t="s">
        <v>124</v>
      </c>
      <c r="M1336" t="s">
        <v>2043</v>
      </c>
      <c r="Q1336" t="s">
        <v>57</v>
      </c>
      <c r="Y1336" t="s">
        <v>2114</v>
      </c>
      <c r="Z1336">
        <v>9405</v>
      </c>
      <c r="AE1336">
        <v>680</v>
      </c>
      <c r="AF1336" s="4">
        <v>0.5</v>
      </c>
      <c r="AG1336">
        <f t="shared" si="129"/>
        <v>340</v>
      </c>
      <c r="AH1336" s="4">
        <v>0.18</v>
      </c>
      <c r="AI1336">
        <f t="shared" si="124"/>
        <v>401.2</v>
      </c>
      <c r="AJ1336" s="4">
        <v>0.2</v>
      </c>
      <c r="AK1336">
        <f t="shared" si="125"/>
        <v>80.24</v>
      </c>
      <c r="AL1336">
        <f t="shared" si="126"/>
        <v>481.44</v>
      </c>
      <c r="AM1336">
        <f t="shared" si="127"/>
        <v>198.56</v>
      </c>
      <c r="AN1336" s="4">
        <f t="shared" si="128"/>
        <v>0.292</v>
      </c>
      <c r="AO1336" t="s">
        <v>64</v>
      </c>
      <c r="AQ1336" t="s">
        <v>217</v>
      </c>
      <c r="AT1336" t="s">
        <v>64</v>
      </c>
    </row>
    <row r="1337" ht="15.75" customHeight="1" spans="1:46">
      <c r="A1337" t="s">
        <v>2119</v>
      </c>
      <c r="B1337" t="s">
        <v>71</v>
      </c>
      <c r="C1337" t="s">
        <v>1499</v>
      </c>
      <c r="D1337" t="s">
        <v>2111</v>
      </c>
      <c r="E1337" t="s">
        <v>2032</v>
      </c>
      <c r="F1337" t="s">
        <v>2120</v>
      </c>
      <c r="H1337" t="s">
        <v>2034</v>
      </c>
      <c r="I1337" t="s">
        <v>2035</v>
      </c>
      <c r="J1337" t="s">
        <v>2036</v>
      </c>
      <c r="K1337" t="s">
        <v>2121</v>
      </c>
      <c r="L1337" t="s">
        <v>124</v>
      </c>
      <c r="M1337" t="s">
        <v>2042</v>
      </c>
      <c r="Q1337" t="s">
        <v>57</v>
      </c>
      <c r="Y1337" t="s">
        <v>2114</v>
      </c>
      <c r="Z1337">
        <v>9405</v>
      </c>
      <c r="AE1337">
        <v>680</v>
      </c>
      <c r="AF1337" s="4">
        <v>0.5</v>
      </c>
      <c r="AG1337">
        <f t="shared" si="129"/>
        <v>340</v>
      </c>
      <c r="AH1337" s="4">
        <v>0.18</v>
      </c>
      <c r="AI1337">
        <f t="shared" si="124"/>
        <v>401.2</v>
      </c>
      <c r="AJ1337" s="4">
        <v>0.2</v>
      </c>
      <c r="AK1337">
        <f t="shared" si="125"/>
        <v>80.24</v>
      </c>
      <c r="AL1337">
        <f t="shared" si="126"/>
        <v>481.44</v>
      </c>
      <c r="AM1337">
        <f t="shared" si="127"/>
        <v>198.56</v>
      </c>
      <c r="AN1337" s="4">
        <f t="shared" si="128"/>
        <v>0.292</v>
      </c>
      <c r="AO1337" t="s">
        <v>64</v>
      </c>
      <c r="AQ1337" t="s">
        <v>217</v>
      </c>
      <c r="AT1337" t="s">
        <v>64</v>
      </c>
    </row>
    <row r="1338" ht="15.75" customHeight="1" spans="1:46">
      <c r="A1338" t="s">
        <v>2122</v>
      </c>
      <c r="B1338" t="s">
        <v>46</v>
      </c>
      <c r="C1338" t="s">
        <v>1499</v>
      </c>
      <c r="D1338" t="s">
        <v>2111</v>
      </c>
      <c r="E1338" t="s">
        <v>2032</v>
      </c>
      <c r="F1338" t="s">
        <v>2123</v>
      </c>
      <c r="H1338" t="s">
        <v>2034</v>
      </c>
      <c r="I1338" t="s">
        <v>2115</v>
      </c>
      <c r="J1338" t="s">
        <v>2036</v>
      </c>
      <c r="K1338" t="s">
        <v>2116</v>
      </c>
      <c r="L1338" t="s">
        <v>124</v>
      </c>
      <c r="M1338" t="s">
        <v>2038</v>
      </c>
      <c r="Q1338" t="s">
        <v>57</v>
      </c>
      <c r="Y1338" t="s">
        <v>2124</v>
      </c>
      <c r="Z1338">
        <v>9405</v>
      </c>
      <c r="AE1338">
        <v>290</v>
      </c>
      <c r="AF1338" s="4">
        <v>0.37</v>
      </c>
      <c r="AG1338">
        <f t="shared" si="129"/>
        <v>182.7</v>
      </c>
      <c r="AH1338" s="4">
        <v>0.18</v>
      </c>
      <c r="AI1338">
        <f t="shared" si="124"/>
        <v>215.59</v>
      </c>
      <c r="AJ1338" s="4">
        <v>0.2</v>
      </c>
      <c r="AK1338">
        <f t="shared" si="125"/>
        <v>43.12</v>
      </c>
      <c r="AL1338">
        <f t="shared" si="126"/>
        <v>258.71</v>
      </c>
      <c r="AM1338">
        <f t="shared" si="127"/>
        <v>31.29</v>
      </c>
      <c r="AN1338" s="4">
        <f t="shared" si="128"/>
        <v>0.107896551724138</v>
      </c>
      <c r="AO1338" t="s">
        <v>64</v>
      </c>
      <c r="AQ1338" t="s">
        <v>217</v>
      </c>
      <c r="AT1338" t="s">
        <v>64</v>
      </c>
    </row>
    <row r="1339" ht="15.75" customHeight="1" spans="1:46">
      <c r="A1339" t="s">
        <v>2122</v>
      </c>
      <c r="B1339" t="s">
        <v>67</v>
      </c>
      <c r="C1339" t="s">
        <v>1499</v>
      </c>
      <c r="D1339" t="s">
        <v>2111</v>
      </c>
      <c r="E1339" t="s">
        <v>2032</v>
      </c>
      <c r="F1339" t="s">
        <v>2123</v>
      </c>
      <c r="H1339" t="s">
        <v>2034</v>
      </c>
      <c r="I1339" t="s">
        <v>2115</v>
      </c>
      <c r="J1339" t="s">
        <v>2036</v>
      </c>
      <c r="K1339" t="s">
        <v>2116</v>
      </c>
      <c r="L1339" t="s">
        <v>124</v>
      </c>
      <c r="M1339" t="s">
        <v>2043</v>
      </c>
      <c r="Q1339" t="s">
        <v>57</v>
      </c>
      <c r="Y1339" t="s">
        <v>2124</v>
      </c>
      <c r="Z1339">
        <v>9405</v>
      </c>
      <c r="AE1339">
        <v>290</v>
      </c>
      <c r="AF1339" s="4">
        <v>0.37</v>
      </c>
      <c r="AG1339">
        <f t="shared" si="129"/>
        <v>182.7</v>
      </c>
      <c r="AH1339" s="4">
        <v>0.18</v>
      </c>
      <c r="AI1339">
        <f t="shared" si="124"/>
        <v>215.59</v>
      </c>
      <c r="AJ1339" s="4">
        <v>0.2</v>
      </c>
      <c r="AK1339">
        <f t="shared" si="125"/>
        <v>43.12</v>
      </c>
      <c r="AL1339">
        <f t="shared" si="126"/>
        <v>258.71</v>
      </c>
      <c r="AM1339">
        <f t="shared" si="127"/>
        <v>31.29</v>
      </c>
      <c r="AN1339" s="4">
        <f t="shared" si="128"/>
        <v>0.107896551724138</v>
      </c>
      <c r="AO1339" t="s">
        <v>64</v>
      </c>
      <c r="AQ1339" t="s">
        <v>217</v>
      </c>
      <c r="AT1339" t="s">
        <v>64</v>
      </c>
    </row>
    <row r="1340" ht="15.75" customHeight="1" spans="1:46">
      <c r="A1340" t="s">
        <v>2125</v>
      </c>
      <c r="B1340" t="s">
        <v>46</v>
      </c>
      <c r="C1340" t="s">
        <v>1499</v>
      </c>
      <c r="D1340" t="s">
        <v>2126</v>
      </c>
      <c r="E1340" t="s">
        <v>2032</v>
      </c>
      <c r="F1340" t="s">
        <v>2127</v>
      </c>
      <c r="H1340" t="s">
        <v>2034</v>
      </c>
      <c r="I1340" t="s">
        <v>2128</v>
      </c>
      <c r="J1340" t="s">
        <v>2129</v>
      </c>
      <c r="K1340" t="s">
        <v>2130</v>
      </c>
      <c r="L1340" t="s">
        <v>124</v>
      </c>
      <c r="M1340" t="s">
        <v>2038</v>
      </c>
      <c r="N1340" t="s">
        <v>2131</v>
      </c>
      <c r="O1340">
        <v>60</v>
      </c>
      <c r="Q1340" t="s">
        <v>57</v>
      </c>
      <c r="Y1340" t="s">
        <v>2132</v>
      </c>
      <c r="Z1340">
        <v>9405</v>
      </c>
      <c r="AE1340">
        <v>2980</v>
      </c>
      <c r="AF1340" s="4">
        <v>0.65</v>
      </c>
      <c r="AG1340">
        <f t="shared" si="129"/>
        <v>1043</v>
      </c>
      <c r="AH1340" s="4">
        <v>0.18</v>
      </c>
      <c r="AI1340">
        <f t="shared" si="124"/>
        <v>1230.74</v>
      </c>
      <c r="AJ1340" s="4">
        <v>0.2</v>
      </c>
      <c r="AK1340">
        <f t="shared" si="125"/>
        <v>246.15</v>
      </c>
      <c r="AL1340">
        <f t="shared" si="126"/>
        <v>1476.89</v>
      </c>
      <c r="AM1340">
        <f t="shared" si="127"/>
        <v>1503.11</v>
      </c>
      <c r="AN1340" s="4">
        <f t="shared" si="128"/>
        <v>0.50439932885906</v>
      </c>
      <c r="AO1340" t="s">
        <v>64</v>
      </c>
      <c r="AQ1340" t="s">
        <v>217</v>
      </c>
      <c r="AT1340" t="s">
        <v>64</v>
      </c>
    </row>
    <row r="1341" ht="15.75" customHeight="1" spans="1:46">
      <c r="A1341" t="s">
        <v>2125</v>
      </c>
      <c r="B1341" t="s">
        <v>67</v>
      </c>
      <c r="C1341" t="s">
        <v>1499</v>
      </c>
      <c r="D1341" t="s">
        <v>2126</v>
      </c>
      <c r="E1341" t="s">
        <v>2032</v>
      </c>
      <c r="F1341" t="s">
        <v>2127</v>
      </c>
      <c r="H1341" t="s">
        <v>2034</v>
      </c>
      <c r="I1341" t="s">
        <v>2128</v>
      </c>
      <c r="J1341" t="s">
        <v>2129</v>
      </c>
      <c r="K1341" t="s">
        <v>2130</v>
      </c>
      <c r="L1341" t="s">
        <v>124</v>
      </c>
      <c r="M1341" t="s">
        <v>2042</v>
      </c>
      <c r="N1341" t="s">
        <v>2131</v>
      </c>
      <c r="O1341">
        <v>60</v>
      </c>
      <c r="Q1341" t="s">
        <v>57</v>
      </c>
      <c r="Y1341" t="s">
        <v>2132</v>
      </c>
      <c r="Z1341">
        <v>9405</v>
      </c>
      <c r="AE1341">
        <v>2980</v>
      </c>
      <c r="AF1341" s="4">
        <v>0.65</v>
      </c>
      <c r="AG1341">
        <f t="shared" si="129"/>
        <v>1043</v>
      </c>
      <c r="AH1341" s="4">
        <v>0.18</v>
      </c>
      <c r="AI1341">
        <f t="shared" si="124"/>
        <v>1230.74</v>
      </c>
      <c r="AJ1341" s="4">
        <v>0.2</v>
      </c>
      <c r="AK1341">
        <f t="shared" si="125"/>
        <v>246.15</v>
      </c>
      <c r="AL1341">
        <f t="shared" si="126"/>
        <v>1476.89</v>
      </c>
      <c r="AM1341">
        <f t="shared" si="127"/>
        <v>1503.11</v>
      </c>
      <c r="AN1341" s="4">
        <f t="shared" si="128"/>
        <v>0.50439932885906</v>
      </c>
      <c r="AO1341" t="s">
        <v>64</v>
      </c>
      <c r="AQ1341" t="s">
        <v>217</v>
      </c>
      <c r="AT1341" t="s">
        <v>64</v>
      </c>
    </row>
    <row r="1342" ht="15.75" customHeight="1" spans="1:46">
      <c r="A1342" t="s">
        <v>2125</v>
      </c>
      <c r="B1342" t="s">
        <v>71</v>
      </c>
      <c r="C1342" t="s">
        <v>1499</v>
      </c>
      <c r="D1342" t="s">
        <v>2126</v>
      </c>
      <c r="E1342" t="s">
        <v>2032</v>
      </c>
      <c r="F1342" t="s">
        <v>2127</v>
      </c>
      <c r="H1342" t="s">
        <v>2034</v>
      </c>
      <c r="I1342" t="s">
        <v>2128</v>
      </c>
      <c r="J1342" t="s">
        <v>2129</v>
      </c>
      <c r="K1342" t="s">
        <v>2130</v>
      </c>
      <c r="L1342" t="s">
        <v>124</v>
      </c>
      <c r="M1342" t="s">
        <v>2043</v>
      </c>
      <c r="N1342" t="s">
        <v>2131</v>
      </c>
      <c r="O1342">
        <v>60</v>
      </c>
      <c r="Q1342" t="s">
        <v>57</v>
      </c>
      <c r="Y1342" t="s">
        <v>2132</v>
      </c>
      <c r="Z1342">
        <v>9405</v>
      </c>
      <c r="AE1342">
        <v>2980</v>
      </c>
      <c r="AF1342" s="4">
        <v>0.65</v>
      </c>
      <c r="AG1342">
        <f t="shared" si="129"/>
        <v>1043</v>
      </c>
      <c r="AH1342" s="4">
        <v>0.18</v>
      </c>
      <c r="AI1342">
        <f t="shared" si="124"/>
        <v>1230.74</v>
      </c>
      <c r="AJ1342" s="4">
        <v>0.2</v>
      </c>
      <c r="AK1342">
        <f t="shared" si="125"/>
        <v>246.15</v>
      </c>
      <c r="AL1342">
        <f t="shared" si="126"/>
        <v>1476.89</v>
      </c>
      <c r="AM1342">
        <f t="shared" si="127"/>
        <v>1503.11</v>
      </c>
      <c r="AN1342" s="4">
        <f t="shared" si="128"/>
        <v>0.50439932885906</v>
      </c>
      <c r="AO1342" t="s">
        <v>64</v>
      </c>
      <c r="AQ1342" t="s">
        <v>217</v>
      </c>
      <c r="AT1342" t="s">
        <v>64</v>
      </c>
    </row>
    <row r="1343" ht="15.75" customHeight="1" spans="1:46">
      <c r="A1343" t="s">
        <v>2133</v>
      </c>
      <c r="B1343" t="s">
        <v>46</v>
      </c>
      <c r="C1343" t="s">
        <v>1499</v>
      </c>
      <c r="D1343" t="s">
        <v>2126</v>
      </c>
      <c r="E1343" t="s">
        <v>2032</v>
      </c>
      <c r="F1343" t="s">
        <v>2134</v>
      </c>
      <c r="H1343" t="s">
        <v>2034</v>
      </c>
      <c r="I1343" t="s">
        <v>2104</v>
      </c>
      <c r="J1343" t="s">
        <v>2129</v>
      </c>
      <c r="K1343" t="s">
        <v>2135</v>
      </c>
      <c r="L1343" t="s">
        <v>124</v>
      </c>
      <c r="M1343" t="s">
        <v>2038</v>
      </c>
      <c r="N1343" t="s">
        <v>2131</v>
      </c>
      <c r="O1343">
        <v>48</v>
      </c>
      <c r="Q1343" t="s">
        <v>57</v>
      </c>
      <c r="Y1343" t="s">
        <v>2136</v>
      </c>
      <c r="Z1343">
        <v>9405</v>
      </c>
      <c r="AE1343">
        <v>800</v>
      </c>
      <c r="AF1343" s="4">
        <v>0.55</v>
      </c>
      <c r="AG1343">
        <f t="shared" si="129"/>
        <v>360</v>
      </c>
      <c r="AH1343" s="4">
        <v>0.18</v>
      </c>
      <c r="AI1343">
        <f t="shared" si="124"/>
        <v>424.8</v>
      </c>
      <c r="AJ1343" s="4">
        <v>0.2</v>
      </c>
      <c r="AK1343">
        <f t="shared" si="125"/>
        <v>84.96</v>
      </c>
      <c r="AL1343">
        <f t="shared" si="126"/>
        <v>509.76</v>
      </c>
      <c r="AM1343">
        <f t="shared" si="127"/>
        <v>290.24</v>
      </c>
      <c r="AN1343" s="4">
        <f t="shared" si="128"/>
        <v>0.3628</v>
      </c>
      <c r="AO1343" t="s">
        <v>64</v>
      </c>
      <c r="AQ1343" t="s">
        <v>217</v>
      </c>
      <c r="AT1343" t="s">
        <v>64</v>
      </c>
    </row>
    <row r="1344" ht="15.75" customHeight="1" spans="1:46">
      <c r="A1344" t="s">
        <v>2133</v>
      </c>
      <c r="B1344" t="s">
        <v>67</v>
      </c>
      <c r="C1344" t="s">
        <v>1499</v>
      </c>
      <c r="D1344" t="s">
        <v>2126</v>
      </c>
      <c r="E1344" t="s">
        <v>2032</v>
      </c>
      <c r="F1344" t="s">
        <v>2134</v>
      </c>
      <c r="H1344" t="s">
        <v>2034</v>
      </c>
      <c r="I1344" t="s">
        <v>2104</v>
      </c>
      <c r="J1344" t="s">
        <v>2129</v>
      </c>
      <c r="K1344" t="s">
        <v>2135</v>
      </c>
      <c r="L1344" t="s">
        <v>124</v>
      </c>
      <c r="M1344" t="s">
        <v>2042</v>
      </c>
      <c r="N1344" t="s">
        <v>2131</v>
      </c>
      <c r="O1344">
        <v>48</v>
      </c>
      <c r="Q1344" t="s">
        <v>57</v>
      </c>
      <c r="Y1344" t="s">
        <v>2137</v>
      </c>
      <c r="Z1344">
        <v>9405</v>
      </c>
      <c r="AE1344">
        <v>800</v>
      </c>
      <c r="AF1344" s="4">
        <v>0.55</v>
      </c>
      <c r="AG1344">
        <f t="shared" si="129"/>
        <v>360</v>
      </c>
      <c r="AH1344" s="4">
        <v>0.18</v>
      </c>
      <c r="AI1344">
        <f t="shared" si="124"/>
        <v>424.8</v>
      </c>
      <c r="AJ1344" s="4">
        <v>0.2</v>
      </c>
      <c r="AK1344">
        <f t="shared" si="125"/>
        <v>84.96</v>
      </c>
      <c r="AL1344">
        <f t="shared" si="126"/>
        <v>509.76</v>
      </c>
      <c r="AM1344">
        <f t="shared" si="127"/>
        <v>290.24</v>
      </c>
      <c r="AN1344" s="4">
        <f t="shared" si="128"/>
        <v>0.3628</v>
      </c>
      <c r="AO1344" t="s">
        <v>64</v>
      </c>
      <c r="AQ1344" t="s">
        <v>217</v>
      </c>
      <c r="AT1344" t="s">
        <v>64</v>
      </c>
    </row>
    <row r="1345" ht="15.75" customHeight="1" spans="1:46">
      <c r="A1345" t="s">
        <v>2133</v>
      </c>
      <c r="B1345" t="s">
        <v>71</v>
      </c>
      <c r="C1345" t="s">
        <v>1499</v>
      </c>
      <c r="D1345" t="s">
        <v>2126</v>
      </c>
      <c r="E1345" t="s">
        <v>2032</v>
      </c>
      <c r="F1345" t="s">
        <v>2134</v>
      </c>
      <c r="H1345" t="s">
        <v>2034</v>
      </c>
      <c r="I1345" t="s">
        <v>2104</v>
      </c>
      <c r="J1345" t="s">
        <v>2129</v>
      </c>
      <c r="K1345" t="s">
        <v>2135</v>
      </c>
      <c r="L1345" t="s">
        <v>124</v>
      </c>
      <c r="M1345" t="s">
        <v>2043</v>
      </c>
      <c r="N1345" t="s">
        <v>2131</v>
      </c>
      <c r="O1345">
        <v>48</v>
      </c>
      <c r="Q1345" t="s">
        <v>57</v>
      </c>
      <c r="Y1345" t="s">
        <v>2138</v>
      </c>
      <c r="Z1345">
        <v>9405</v>
      </c>
      <c r="AE1345">
        <v>800</v>
      </c>
      <c r="AF1345" s="4">
        <v>0.55</v>
      </c>
      <c r="AG1345">
        <f t="shared" si="129"/>
        <v>360</v>
      </c>
      <c r="AH1345" s="4">
        <v>0.18</v>
      </c>
      <c r="AI1345">
        <f t="shared" si="124"/>
        <v>424.8</v>
      </c>
      <c r="AJ1345" s="4">
        <v>0.2</v>
      </c>
      <c r="AK1345">
        <f t="shared" si="125"/>
        <v>84.96</v>
      </c>
      <c r="AL1345">
        <f t="shared" si="126"/>
        <v>509.76</v>
      </c>
      <c r="AM1345">
        <f t="shared" si="127"/>
        <v>290.24</v>
      </c>
      <c r="AN1345" s="4">
        <f t="shared" si="128"/>
        <v>0.3628</v>
      </c>
      <c r="AO1345" t="s">
        <v>64</v>
      </c>
      <c r="AQ1345" t="s">
        <v>217</v>
      </c>
      <c r="AT1345" t="s">
        <v>64</v>
      </c>
    </row>
    <row r="1346" ht="15.75" customHeight="1" spans="1:46">
      <c r="A1346" t="s">
        <v>2139</v>
      </c>
      <c r="B1346" t="s">
        <v>46</v>
      </c>
      <c r="C1346" t="s">
        <v>1499</v>
      </c>
      <c r="D1346" t="s">
        <v>2126</v>
      </c>
      <c r="E1346" t="s">
        <v>2032</v>
      </c>
      <c r="F1346" t="s">
        <v>2140</v>
      </c>
      <c r="H1346" t="s">
        <v>2034</v>
      </c>
      <c r="I1346" t="s">
        <v>2141</v>
      </c>
      <c r="J1346" t="s">
        <v>2129</v>
      </c>
      <c r="K1346" t="s">
        <v>2142</v>
      </c>
      <c r="L1346" t="s">
        <v>124</v>
      </c>
      <c r="M1346" t="s">
        <v>2038</v>
      </c>
      <c r="N1346" t="s">
        <v>2131</v>
      </c>
      <c r="O1346">
        <v>120</v>
      </c>
      <c r="Q1346" t="s">
        <v>57</v>
      </c>
      <c r="R1346">
        <v>929003605401</v>
      </c>
      <c r="V1346" t="s">
        <v>2143</v>
      </c>
      <c r="Y1346" t="s">
        <v>2144</v>
      </c>
      <c r="Z1346">
        <v>9405</v>
      </c>
      <c r="AE1346">
        <v>1600</v>
      </c>
      <c r="AF1346" s="4">
        <v>0.68</v>
      </c>
      <c r="AG1346">
        <f t="shared" si="129"/>
        <v>512</v>
      </c>
      <c r="AH1346" s="4">
        <v>0.18</v>
      </c>
      <c r="AI1346">
        <f t="shared" ref="AI1346:AI1409" si="130">ROUND(AG1346+(AG1346*AH1346),2)</f>
        <v>604.16</v>
      </c>
      <c r="AJ1346" s="4">
        <v>0.2</v>
      </c>
      <c r="AK1346">
        <f t="shared" ref="AK1346:AK1409" si="131">ROUND(AI1346*AJ1346,2)</f>
        <v>120.83</v>
      </c>
      <c r="AL1346">
        <f t="shared" ref="AL1346:AL1409" si="132">AI1346+AK1346</f>
        <v>724.99</v>
      </c>
      <c r="AM1346">
        <f t="shared" ref="AM1346:AM1409" si="133">AE1346-AL1346</f>
        <v>875.01</v>
      </c>
      <c r="AN1346" s="4">
        <f t="shared" ref="AN1346:AN1409" si="134">AM1346/AE1346</f>
        <v>0.54688125</v>
      </c>
      <c r="AO1346" t="s">
        <v>64</v>
      </c>
      <c r="AQ1346" t="s">
        <v>217</v>
      </c>
      <c r="AT1346" t="s">
        <v>64</v>
      </c>
    </row>
    <row r="1347" ht="15.75" customHeight="1" spans="1:46">
      <c r="A1347" t="s">
        <v>2139</v>
      </c>
      <c r="B1347" t="s">
        <v>67</v>
      </c>
      <c r="C1347" t="s">
        <v>1499</v>
      </c>
      <c r="D1347" t="s">
        <v>2126</v>
      </c>
      <c r="E1347" t="s">
        <v>2032</v>
      </c>
      <c r="F1347" t="s">
        <v>2140</v>
      </c>
      <c r="H1347" t="s">
        <v>2034</v>
      </c>
      <c r="I1347" t="s">
        <v>2141</v>
      </c>
      <c r="J1347" t="s">
        <v>2129</v>
      </c>
      <c r="K1347" t="s">
        <v>2142</v>
      </c>
      <c r="L1347" t="s">
        <v>124</v>
      </c>
      <c r="M1347" t="s">
        <v>2042</v>
      </c>
      <c r="N1347" t="s">
        <v>2131</v>
      </c>
      <c r="O1347">
        <v>120</v>
      </c>
      <c r="Q1347" t="s">
        <v>57</v>
      </c>
      <c r="R1347">
        <v>929003605501</v>
      </c>
      <c r="Y1347" t="s">
        <v>2144</v>
      </c>
      <c r="Z1347">
        <v>9405</v>
      </c>
      <c r="AE1347">
        <v>1600</v>
      </c>
      <c r="AF1347" s="4">
        <v>0.68</v>
      </c>
      <c r="AG1347">
        <f t="shared" si="129"/>
        <v>512</v>
      </c>
      <c r="AH1347" s="4">
        <v>0.18</v>
      </c>
      <c r="AI1347">
        <f t="shared" si="130"/>
        <v>604.16</v>
      </c>
      <c r="AJ1347" s="4">
        <v>0.2</v>
      </c>
      <c r="AK1347">
        <f t="shared" si="131"/>
        <v>120.83</v>
      </c>
      <c r="AL1347">
        <f t="shared" si="132"/>
        <v>724.99</v>
      </c>
      <c r="AM1347">
        <f t="shared" si="133"/>
        <v>875.01</v>
      </c>
      <c r="AN1347" s="4">
        <f t="shared" si="134"/>
        <v>0.54688125</v>
      </c>
      <c r="AO1347" t="s">
        <v>64</v>
      </c>
      <c r="AQ1347" t="s">
        <v>217</v>
      </c>
      <c r="AT1347" t="s">
        <v>64</v>
      </c>
    </row>
    <row r="1348" ht="15.75" customHeight="1" spans="1:46">
      <c r="A1348" t="s">
        <v>2139</v>
      </c>
      <c r="B1348" t="s">
        <v>71</v>
      </c>
      <c r="C1348" t="s">
        <v>1499</v>
      </c>
      <c r="D1348" t="s">
        <v>2126</v>
      </c>
      <c r="E1348" t="s">
        <v>2032</v>
      </c>
      <c r="F1348" t="s">
        <v>2140</v>
      </c>
      <c r="H1348" t="s">
        <v>2034</v>
      </c>
      <c r="I1348" t="s">
        <v>2141</v>
      </c>
      <c r="J1348" t="s">
        <v>2129</v>
      </c>
      <c r="K1348" t="s">
        <v>2142</v>
      </c>
      <c r="L1348" t="s">
        <v>124</v>
      </c>
      <c r="M1348" t="s">
        <v>2145</v>
      </c>
      <c r="N1348" t="s">
        <v>2131</v>
      </c>
      <c r="O1348">
        <v>120</v>
      </c>
      <c r="Q1348" t="s">
        <v>57</v>
      </c>
      <c r="R1348">
        <v>929003605601</v>
      </c>
      <c r="Y1348" t="s">
        <v>2144</v>
      </c>
      <c r="Z1348">
        <v>9405</v>
      </c>
      <c r="AE1348">
        <v>1600</v>
      </c>
      <c r="AF1348" s="4">
        <v>0.68</v>
      </c>
      <c r="AG1348">
        <f t="shared" ref="AG1348:AG1411" si="135">ROUND(AE1348-(AE1348*AF1348),2)</f>
        <v>512</v>
      </c>
      <c r="AH1348" s="4">
        <v>0.18</v>
      </c>
      <c r="AI1348">
        <f t="shared" si="130"/>
        <v>604.16</v>
      </c>
      <c r="AJ1348" s="4">
        <v>0.2</v>
      </c>
      <c r="AK1348">
        <f t="shared" si="131"/>
        <v>120.83</v>
      </c>
      <c r="AL1348">
        <f t="shared" si="132"/>
        <v>724.99</v>
      </c>
      <c r="AM1348">
        <f t="shared" si="133"/>
        <v>875.01</v>
      </c>
      <c r="AN1348" s="4">
        <f t="shared" si="134"/>
        <v>0.54688125</v>
      </c>
      <c r="AO1348" t="s">
        <v>64</v>
      </c>
      <c r="AQ1348" t="s">
        <v>217</v>
      </c>
      <c r="AT1348" t="s">
        <v>64</v>
      </c>
    </row>
    <row r="1349" ht="15.75" customHeight="1" spans="1:46">
      <c r="A1349" t="s">
        <v>2146</v>
      </c>
      <c r="B1349" t="s">
        <v>46</v>
      </c>
      <c r="C1349" t="s">
        <v>1499</v>
      </c>
      <c r="D1349" t="s">
        <v>2126</v>
      </c>
      <c r="E1349" t="s">
        <v>1501</v>
      </c>
      <c r="F1349" t="s">
        <v>2147</v>
      </c>
      <c r="H1349" t="s">
        <v>2034</v>
      </c>
      <c r="I1349" t="s">
        <v>2148</v>
      </c>
      <c r="J1349" t="s">
        <v>2149</v>
      </c>
      <c r="K1349" t="s">
        <v>2150</v>
      </c>
      <c r="L1349" t="s">
        <v>124</v>
      </c>
      <c r="M1349" t="s">
        <v>2038</v>
      </c>
      <c r="N1349" t="s">
        <v>2131</v>
      </c>
      <c r="O1349">
        <v>64</v>
      </c>
      <c r="Q1349" t="s">
        <v>57</v>
      </c>
      <c r="R1349" t="s">
        <v>2151</v>
      </c>
      <c r="V1349" t="s">
        <v>2143</v>
      </c>
      <c r="Y1349" t="s">
        <v>2152</v>
      </c>
      <c r="Z1349">
        <v>9405</v>
      </c>
      <c r="AE1349">
        <v>1995</v>
      </c>
      <c r="AF1349" s="4">
        <v>0.7</v>
      </c>
      <c r="AG1349">
        <f t="shared" si="135"/>
        <v>598.5</v>
      </c>
      <c r="AH1349" s="4">
        <v>0.18</v>
      </c>
      <c r="AI1349">
        <f t="shared" si="130"/>
        <v>706.23</v>
      </c>
      <c r="AJ1349" s="4">
        <v>0.2</v>
      </c>
      <c r="AK1349">
        <f t="shared" si="131"/>
        <v>141.25</v>
      </c>
      <c r="AL1349">
        <f t="shared" si="132"/>
        <v>847.48</v>
      </c>
      <c r="AM1349">
        <f t="shared" si="133"/>
        <v>1147.52</v>
      </c>
      <c r="AN1349" s="4">
        <f t="shared" si="134"/>
        <v>0.575197994987469</v>
      </c>
      <c r="AO1349" t="s">
        <v>221</v>
      </c>
      <c r="AQ1349" t="s">
        <v>217</v>
      </c>
      <c r="AT1349" t="s">
        <v>64</v>
      </c>
    </row>
    <row r="1350" ht="15.75" customHeight="1" spans="1:46">
      <c r="A1350" t="s">
        <v>2146</v>
      </c>
      <c r="B1350" t="s">
        <v>67</v>
      </c>
      <c r="C1350" t="s">
        <v>1499</v>
      </c>
      <c r="D1350" t="s">
        <v>2126</v>
      </c>
      <c r="E1350" t="s">
        <v>1501</v>
      </c>
      <c r="F1350" t="s">
        <v>2147</v>
      </c>
      <c r="H1350" t="s">
        <v>2034</v>
      </c>
      <c r="I1350" t="s">
        <v>2148</v>
      </c>
      <c r="J1350" t="s">
        <v>2149</v>
      </c>
      <c r="K1350" t="s">
        <v>2150</v>
      </c>
      <c r="L1350" t="s">
        <v>124</v>
      </c>
      <c r="M1350" t="s">
        <v>2042</v>
      </c>
      <c r="N1350" t="s">
        <v>2131</v>
      </c>
      <c r="O1350">
        <v>64</v>
      </c>
      <c r="Q1350" t="s">
        <v>57</v>
      </c>
      <c r="R1350" t="s">
        <v>2153</v>
      </c>
      <c r="Y1350" t="s">
        <v>2152</v>
      </c>
      <c r="Z1350">
        <v>9405</v>
      </c>
      <c r="AE1350">
        <v>1995</v>
      </c>
      <c r="AF1350" s="4">
        <v>0.7</v>
      </c>
      <c r="AG1350">
        <f t="shared" si="135"/>
        <v>598.5</v>
      </c>
      <c r="AH1350" s="4">
        <v>0.18</v>
      </c>
      <c r="AI1350">
        <f t="shared" si="130"/>
        <v>706.23</v>
      </c>
      <c r="AJ1350" s="4">
        <v>0.2</v>
      </c>
      <c r="AK1350">
        <f t="shared" si="131"/>
        <v>141.25</v>
      </c>
      <c r="AL1350">
        <f t="shared" si="132"/>
        <v>847.48</v>
      </c>
      <c r="AM1350">
        <f t="shared" si="133"/>
        <v>1147.52</v>
      </c>
      <c r="AN1350" s="4">
        <f t="shared" si="134"/>
        <v>0.575197994987469</v>
      </c>
      <c r="AO1350" t="s">
        <v>221</v>
      </c>
      <c r="AQ1350" t="s">
        <v>217</v>
      </c>
      <c r="AT1350" t="s">
        <v>64</v>
      </c>
    </row>
    <row r="1351" ht="15.75" customHeight="1" spans="1:46">
      <c r="A1351" t="s">
        <v>2146</v>
      </c>
      <c r="B1351" t="s">
        <v>71</v>
      </c>
      <c r="C1351" t="s">
        <v>1499</v>
      </c>
      <c r="D1351" t="s">
        <v>2126</v>
      </c>
      <c r="E1351" t="s">
        <v>1501</v>
      </c>
      <c r="F1351" t="s">
        <v>2147</v>
      </c>
      <c r="H1351" t="s">
        <v>2034</v>
      </c>
      <c r="I1351" t="s">
        <v>2148</v>
      </c>
      <c r="J1351" t="s">
        <v>2149</v>
      </c>
      <c r="K1351" t="s">
        <v>2150</v>
      </c>
      <c r="L1351" t="s">
        <v>124</v>
      </c>
      <c r="M1351" t="s">
        <v>2145</v>
      </c>
      <c r="N1351" t="s">
        <v>2131</v>
      </c>
      <c r="O1351">
        <v>64</v>
      </c>
      <c r="Q1351" t="s">
        <v>57</v>
      </c>
      <c r="R1351" t="s">
        <v>2154</v>
      </c>
      <c r="Y1351" t="s">
        <v>2152</v>
      </c>
      <c r="Z1351">
        <v>9405</v>
      </c>
      <c r="AE1351">
        <v>1995</v>
      </c>
      <c r="AF1351" s="4">
        <v>0.7</v>
      </c>
      <c r="AG1351">
        <f t="shared" si="135"/>
        <v>598.5</v>
      </c>
      <c r="AH1351" s="4">
        <v>0.18</v>
      </c>
      <c r="AI1351">
        <f t="shared" si="130"/>
        <v>706.23</v>
      </c>
      <c r="AJ1351" s="4">
        <v>0.2</v>
      </c>
      <c r="AK1351">
        <f t="shared" si="131"/>
        <v>141.25</v>
      </c>
      <c r="AL1351">
        <f t="shared" si="132"/>
        <v>847.48</v>
      </c>
      <c r="AM1351">
        <f t="shared" si="133"/>
        <v>1147.52</v>
      </c>
      <c r="AN1351" s="4">
        <f t="shared" si="134"/>
        <v>0.575197994987469</v>
      </c>
      <c r="AO1351" t="s">
        <v>221</v>
      </c>
      <c r="AQ1351" t="s">
        <v>217</v>
      </c>
      <c r="AT1351" t="s">
        <v>64</v>
      </c>
    </row>
    <row r="1352" ht="15.75" customHeight="1" spans="1:46">
      <c r="A1352" t="s">
        <v>2155</v>
      </c>
      <c r="B1352" t="s">
        <v>46</v>
      </c>
      <c r="C1352" t="s">
        <v>1499</v>
      </c>
      <c r="D1352" t="s">
        <v>2126</v>
      </c>
      <c r="E1352" t="s">
        <v>1501</v>
      </c>
      <c r="F1352" t="s">
        <v>2156</v>
      </c>
      <c r="H1352" t="s">
        <v>2034</v>
      </c>
      <c r="I1352" t="s">
        <v>2157</v>
      </c>
      <c r="J1352" t="s">
        <v>2149</v>
      </c>
      <c r="K1352" t="s">
        <v>2158</v>
      </c>
      <c r="L1352" t="s">
        <v>124</v>
      </c>
      <c r="M1352" t="s">
        <v>2038</v>
      </c>
      <c r="N1352" t="s">
        <v>2131</v>
      </c>
      <c r="O1352">
        <v>48</v>
      </c>
      <c r="Q1352" t="s">
        <v>57</v>
      </c>
      <c r="R1352" t="s">
        <v>2159</v>
      </c>
      <c r="Y1352" t="s">
        <v>2160</v>
      </c>
      <c r="Z1352">
        <v>9405</v>
      </c>
      <c r="AE1352">
        <v>1900</v>
      </c>
      <c r="AF1352" s="4">
        <v>0.7</v>
      </c>
      <c r="AG1352">
        <f t="shared" si="135"/>
        <v>570</v>
      </c>
      <c r="AH1352" s="4">
        <v>0.18</v>
      </c>
      <c r="AI1352">
        <f t="shared" si="130"/>
        <v>672.6</v>
      </c>
      <c r="AJ1352" s="4">
        <v>0.2</v>
      </c>
      <c r="AK1352">
        <f t="shared" si="131"/>
        <v>134.52</v>
      </c>
      <c r="AL1352">
        <f t="shared" si="132"/>
        <v>807.12</v>
      </c>
      <c r="AM1352">
        <f t="shared" si="133"/>
        <v>1092.88</v>
      </c>
      <c r="AN1352" s="4">
        <f t="shared" si="134"/>
        <v>0.5752</v>
      </c>
      <c r="AO1352" t="s">
        <v>221</v>
      </c>
      <c r="AQ1352" t="s">
        <v>217</v>
      </c>
      <c r="AT1352" t="s">
        <v>64</v>
      </c>
    </row>
    <row r="1353" ht="15.75" customHeight="1" spans="1:46">
      <c r="A1353" t="s">
        <v>2155</v>
      </c>
      <c r="B1353" t="s">
        <v>67</v>
      </c>
      <c r="C1353" t="s">
        <v>1499</v>
      </c>
      <c r="D1353" t="s">
        <v>2126</v>
      </c>
      <c r="E1353" t="s">
        <v>1501</v>
      </c>
      <c r="F1353" t="s">
        <v>2156</v>
      </c>
      <c r="H1353" t="s">
        <v>2034</v>
      </c>
      <c r="I1353" t="s">
        <v>2157</v>
      </c>
      <c r="J1353" t="s">
        <v>2149</v>
      </c>
      <c r="K1353" t="s">
        <v>2158</v>
      </c>
      <c r="L1353" t="s">
        <v>124</v>
      </c>
      <c r="M1353" t="s">
        <v>2042</v>
      </c>
      <c r="N1353" t="s">
        <v>2131</v>
      </c>
      <c r="O1353">
        <v>48</v>
      </c>
      <c r="Q1353" t="s">
        <v>57</v>
      </c>
      <c r="R1353" t="s">
        <v>2161</v>
      </c>
      <c r="Y1353" t="s">
        <v>2160</v>
      </c>
      <c r="Z1353">
        <v>9405</v>
      </c>
      <c r="AE1353">
        <v>1900</v>
      </c>
      <c r="AF1353" s="4">
        <v>0.7</v>
      </c>
      <c r="AG1353">
        <f t="shared" si="135"/>
        <v>570</v>
      </c>
      <c r="AH1353" s="4">
        <v>0.18</v>
      </c>
      <c r="AI1353">
        <f t="shared" si="130"/>
        <v>672.6</v>
      </c>
      <c r="AJ1353" s="4">
        <v>0.2</v>
      </c>
      <c r="AK1353">
        <f t="shared" si="131"/>
        <v>134.52</v>
      </c>
      <c r="AL1353">
        <f t="shared" si="132"/>
        <v>807.12</v>
      </c>
      <c r="AM1353">
        <f t="shared" si="133"/>
        <v>1092.88</v>
      </c>
      <c r="AN1353" s="4">
        <f t="shared" si="134"/>
        <v>0.5752</v>
      </c>
      <c r="AO1353" t="s">
        <v>221</v>
      </c>
      <c r="AQ1353" t="s">
        <v>217</v>
      </c>
      <c r="AT1353" t="s">
        <v>64</v>
      </c>
    </row>
    <row r="1354" ht="15.75" customHeight="1" spans="1:46">
      <c r="A1354" t="s">
        <v>2155</v>
      </c>
      <c r="B1354" t="s">
        <v>71</v>
      </c>
      <c r="C1354" t="s">
        <v>1499</v>
      </c>
      <c r="D1354" t="s">
        <v>2126</v>
      </c>
      <c r="E1354" t="s">
        <v>1501</v>
      </c>
      <c r="F1354" t="s">
        <v>2156</v>
      </c>
      <c r="H1354" t="s">
        <v>2034</v>
      </c>
      <c r="I1354" t="s">
        <v>2157</v>
      </c>
      <c r="J1354" t="s">
        <v>2149</v>
      </c>
      <c r="K1354" t="s">
        <v>2158</v>
      </c>
      <c r="L1354" t="s">
        <v>124</v>
      </c>
      <c r="M1354" t="s">
        <v>2145</v>
      </c>
      <c r="N1354" t="s">
        <v>2131</v>
      </c>
      <c r="O1354">
        <v>48</v>
      </c>
      <c r="Q1354" t="s">
        <v>57</v>
      </c>
      <c r="R1354" t="s">
        <v>2161</v>
      </c>
      <c r="Y1354" t="s">
        <v>2160</v>
      </c>
      <c r="Z1354">
        <v>9405</v>
      </c>
      <c r="AE1354">
        <v>1900</v>
      </c>
      <c r="AF1354" s="4">
        <v>0.7</v>
      </c>
      <c r="AG1354">
        <f t="shared" si="135"/>
        <v>570</v>
      </c>
      <c r="AH1354" s="4">
        <v>0.18</v>
      </c>
      <c r="AI1354">
        <f t="shared" si="130"/>
        <v>672.6</v>
      </c>
      <c r="AJ1354" s="4">
        <v>0.2</v>
      </c>
      <c r="AK1354">
        <f t="shared" si="131"/>
        <v>134.52</v>
      </c>
      <c r="AL1354">
        <f t="shared" si="132"/>
        <v>807.12</v>
      </c>
      <c r="AM1354">
        <f t="shared" si="133"/>
        <v>1092.88</v>
      </c>
      <c r="AN1354" s="4">
        <f t="shared" si="134"/>
        <v>0.5752</v>
      </c>
      <c r="AO1354" t="s">
        <v>221</v>
      </c>
      <c r="AQ1354" t="s">
        <v>217</v>
      </c>
      <c r="AT1354" t="s">
        <v>64</v>
      </c>
    </row>
    <row r="1355" ht="15.75" customHeight="1" spans="1:46">
      <c r="A1355" t="s">
        <v>2162</v>
      </c>
      <c r="B1355" t="s">
        <v>46</v>
      </c>
      <c r="C1355" t="s">
        <v>1499</v>
      </c>
      <c r="D1355" t="s">
        <v>2126</v>
      </c>
      <c r="E1355" t="s">
        <v>1501</v>
      </c>
      <c r="F1355" t="s">
        <v>2163</v>
      </c>
      <c r="H1355" t="s">
        <v>2034</v>
      </c>
      <c r="I1355" t="s">
        <v>2157</v>
      </c>
      <c r="J1355" t="s">
        <v>2149</v>
      </c>
      <c r="K1355" t="s">
        <v>2158</v>
      </c>
      <c r="L1355" t="s">
        <v>124</v>
      </c>
      <c r="M1355" t="s">
        <v>2038</v>
      </c>
      <c r="N1355" t="s">
        <v>2131</v>
      </c>
      <c r="O1355">
        <v>48</v>
      </c>
      <c r="Q1355" t="s">
        <v>57</v>
      </c>
      <c r="R1355" t="s">
        <v>2164</v>
      </c>
      <c r="Y1355" t="s">
        <v>2165</v>
      </c>
      <c r="Z1355">
        <v>9405</v>
      </c>
      <c r="AE1355">
        <v>1680</v>
      </c>
      <c r="AF1355" s="4">
        <v>0.7</v>
      </c>
      <c r="AG1355">
        <f t="shared" si="135"/>
        <v>504</v>
      </c>
      <c r="AH1355" s="4">
        <v>0.18</v>
      </c>
      <c r="AI1355">
        <f t="shared" si="130"/>
        <v>594.72</v>
      </c>
      <c r="AJ1355" s="4">
        <v>0.2</v>
      </c>
      <c r="AK1355">
        <f t="shared" si="131"/>
        <v>118.94</v>
      </c>
      <c r="AL1355">
        <f t="shared" si="132"/>
        <v>713.66</v>
      </c>
      <c r="AM1355">
        <f t="shared" si="133"/>
        <v>966.34</v>
      </c>
      <c r="AN1355" s="4">
        <f t="shared" si="134"/>
        <v>0.575202380952381</v>
      </c>
      <c r="AO1355" t="s">
        <v>221</v>
      </c>
      <c r="AQ1355" t="s">
        <v>217</v>
      </c>
      <c r="AT1355" t="s">
        <v>64</v>
      </c>
    </row>
    <row r="1356" ht="15.75" customHeight="1" spans="1:46">
      <c r="A1356" t="s">
        <v>2162</v>
      </c>
      <c r="B1356" t="s">
        <v>67</v>
      </c>
      <c r="C1356" t="s">
        <v>1499</v>
      </c>
      <c r="D1356" t="s">
        <v>2126</v>
      </c>
      <c r="E1356" t="s">
        <v>1501</v>
      </c>
      <c r="F1356" t="s">
        <v>2163</v>
      </c>
      <c r="H1356" t="s">
        <v>2034</v>
      </c>
      <c r="I1356" t="s">
        <v>2157</v>
      </c>
      <c r="J1356" t="s">
        <v>2149</v>
      </c>
      <c r="K1356" t="s">
        <v>2158</v>
      </c>
      <c r="L1356" t="s">
        <v>124</v>
      </c>
      <c r="M1356" t="s">
        <v>2042</v>
      </c>
      <c r="N1356" t="s">
        <v>2131</v>
      </c>
      <c r="O1356">
        <v>48</v>
      </c>
      <c r="Q1356" t="s">
        <v>57</v>
      </c>
      <c r="R1356" t="s">
        <v>2166</v>
      </c>
      <c r="Y1356" t="s">
        <v>2165</v>
      </c>
      <c r="Z1356">
        <v>9405</v>
      </c>
      <c r="AE1356">
        <v>1680</v>
      </c>
      <c r="AF1356" s="4">
        <v>0.7</v>
      </c>
      <c r="AG1356">
        <f t="shared" si="135"/>
        <v>504</v>
      </c>
      <c r="AH1356" s="4">
        <v>0.18</v>
      </c>
      <c r="AI1356">
        <f t="shared" si="130"/>
        <v>594.72</v>
      </c>
      <c r="AJ1356" s="4">
        <v>0.2</v>
      </c>
      <c r="AK1356">
        <f t="shared" si="131"/>
        <v>118.94</v>
      </c>
      <c r="AL1356">
        <f t="shared" si="132"/>
        <v>713.66</v>
      </c>
      <c r="AM1356">
        <f t="shared" si="133"/>
        <v>966.34</v>
      </c>
      <c r="AN1356" s="4">
        <f t="shared" si="134"/>
        <v>0.575202380952381</v>
      </c>
      <c r="AO1356" t="s">
        <v>221</v>
      </c>
      <c r="AQ1356" t="s">
        <v>217</v>
      </c>
      <c r="AT1356" t="s">
        <v>64</v>
      </c>
    </row>
    <row r="1357" ht="15.75" customHeight="1" spans="1:46">
      <c r="A1357" t="s">
        <v>2162</v>
      </c>
      <c r="B1357" t="s">
        <v>71</v>
      </c>
      <c r="C1357" t="s">
        <v>1499</v>
      </c>
      <c r="D1357" t="s">
        <v>2126</v>
      </c>
      <c r="E1357" t="s">
        <v>1501</v>
      </c>
      <c r="F1357" t="s">
        <v>2163</v>
      </c>
      <c r="H1357" t="s">
        <v>2034</v>
      </c>
      <c r="I1357" t="s">
        <v>2157</v>
      </c>
      <c r="J1357" t="s">
        <v>2149</v>
      </c>
      <c r="K1357" t="s">
        <v>2158</v>
      </c>
      <c r="L1357" t="s">
        <v>124</v>
      </c>
      <c r="M1357" t="s">
        <v>2145</v>
      </c>
      <c r="N1357" t="s">
        <v>2131</v>
      </c>
      <c r="O1357">
        <v>48</v>
      </c>
      <c r="Q1357" t="s">
        <v>57</v>
      </c>
      <c r="R1357" t="s">
        <v>2166</v>
      </c>
      <c r="Y1357" t="s">
        <v>2165</v>
      </c>
      <c r="Z1357">
        <v>9405</v>
      </c>
      <c r="AE1357">
        <v>1680</v>
      </c>
      <c r="AF1357" s="4">
        <v>0.7</v>
      </c>
      <c r="AG1357">
        <f t="shared" si="135"/>
        <v>504</v>
      </c>
      <c r="AH1357" s="4">
        <v>0.18</v>
      </c>
      <c r="AI1357">
        <f t="shared" si="130"/>
        <v>594.72</v>
      </c>
      <c r="AJ1357" s="4">
        <v>0.2</v>
      </c>
      <c r="AK1357">
        <f t="shared" si="131"/>
        <v>118.94</v>
      </c>
      <c r="AL1357">
        <f t="shared" si="132"/>
        <v>713.66</v>
      </c>
      <c r="AM1357">
        <f t="shared" si="133"/>
        <v>966.34</v>
      </c>
      <c r="AN1357" s="4">
        <f t="shared" si="134"/>
        <v>0.575202380952381</v>
      </c>
      <c r="AO1357" t="s">
        <v>221</v>
      </c>
      <c r="AQ1357" t="s">
        <v>217</v>
      </c>
      <c r="AT1357" t="s">
        <v>64</v>
      </c>
    </row>
    <row r="1358" ht="15.75" customHeight="1" spans="1:46">
      <c r="A1358" t="s">
        <v>2167</v>
      </c>
      <c r="B1358" t="s">
        <v>46</v>
      </c>
      <c r="C1358" t="s">
        <v>1499</v>
      </c>
      <c r="D1358" t="s">
        <v>2168</v>
      </c>
      <c r="E1358" t="s">
        <v>2032</v>
      </c>
      <c r="F1358" t="s">
        <v>2169</v>
      </c>
      <c r="H1358" t="s">
        <v>2034</v>
      </c>
      <c r="I1358" t="s">
        <v>2170</v>
      </c>
      <c r="J1358" t="s">
        <v>2149</v>
      </c>
      <c r="K1358" t="s">
        <v>2171</v>
      </c>
      <c r="L1358" t="s">
        <v>124</v>
      </c>
      <c r="M1358" t="s">
        <v>2038</v>
      </c>
      <c r="O1358" t="s">
        <v>2172</v>
      </c>
      <c r="Q1358" t="s">
        <v>57</v>
      </c>
      <c r="R1358">
        <v>48027</v>
      </c>
      <c r="U1358">
        <v>400</v>
      </c>
      <c r="Y1358" t="s">
        <v>2173</v>
      </c>
      <c r="Z1358">
        <v>9405</v>
      </c>
      <c r="AE1358">
        <v>1910</v>
      </c>
      <c r="AF1358" s="4">
        <v>0.55</v>
      </c>
      <c r="AG1358">
        <f t="shared" si="135"/>
        <v>859.5</v>
      </c>
      <c r="AH1358" s="4">
        <v>0.18</v>
      </c>
      <c r="AI1358">
        <f t="shared" si="130"/>
        <v>1014.21</v>
      </c>
      <c r="AJ1358" s="4">
        <v>0.2</v>
      </c>
      <c r="AK1358">
        <f t="shared" si="131"/>
        <v>202.84</v>
      </c>
      <c r="AL1358">
        <f t="shared" si="132"/>
        <v>1217.05</v>
      </c>
      <c r="AM1358">
        <f t="shared" si="133"/>
        <v>692.95</v>
      </c>
      <c r="AN1358" s="4">
        <f t="shared" si="134"/>
        <v>0.362801047120419</v>
      </c>
      <c r="AO1358" t="s">
        <v>64</v>
      </c>
      <c r="AQ1358" t="s">
        <v>217</v>
      </c>
      <c r="AT1358" t="s">
        <v>64</v>
      </c>
    </row>
    <row r="1359" ht="15.75" customHeight="1" spans="1:46">
      <c r="A1359" t="s">
        <v>2167</v>
      </c>
      <c r="B1359" t="s">
        <v>67</v>
      </c>
      <c r="C1359" t="s">
        <v>1499</v>
      </c>
      <c r="D1359" t="s">
        <v>2168</v>
      </c>
      <c r="E1359" t="s">
        <v>2032</v>
      </c>
      <c r="F1359" t="s">
        <v>2169</v>
      </c>
      <c r="H1359" t="s">
        <v>2034</v>
      </c>
      <c r="I1359" t="s">
        <v>2174</v>
      </c>
      <c r="J1359" t="s">
        <v>2149</v>
      </c>
      <c r="K1359" t="s">
        <v>2171</v>
      </c>
      <c r="L1359" t="s">
        <v>124</v>
      </c>
      <c r="M1359" t="s">
        <v>2145</v>
      </c>
      <c r="O1359" t="s">
        <v>2172</v>
      </c>
      <c r="Q1359" t="s">
        <v>57</v>
      </c>
      <c r="R1359">
        <v>48027</v>
      </c>
      <c r="Y1359" t="s">
        <v>2173</v>
      </c>
      <c r="Z1359">
        <v>9405</v>
      </c>
      <c r="AE1359">
        <v>1910</v>
      </c>
      <c r="AF1359" s="4">
        <v>0.55</v>
      </c>
      <c r="AG1359">
        <f t="shared" si="135"/>
        <v>859.5</v>
      </c>
      <c r="AH1359" s="4">
        <v>0.18</v>
      </c>
      <c r="AI1359">
        <f t="shared" si="130"/>
        <v>1014.21</v>
      </c>
      <c r="AJ1359" s="4">
        <v>0.2</v>
      </c>
      <c r="AK1359">
        <f t="shared" si="131"/>
        <v>202.84</v>
      </c>
      <c r="AL1359">
        <f t="shared" si="132"/>
        <v>1217.05</v>
      </c>
      <c r="AM1359">
        <f t="shared" si="133"/>
        <v>692.95</v>
      </c>
      <c r="AN1359" s="4">
        <f t="shared" si="134"/>
        <v>0.362801047120419</v>
      </c>
      <c r="AO1359" t="s">
        <v>64</v>
      </c>
      <c r="AQ1359" t="s">
        <v>217</v>
      </c>
      <c r="AT1359" t="s">
        <v>64</v>
      </c>
    </row>
    <row r="1360" ht="15.75" customHeight="1" spans="1:46">
      <c r="A1360" t="s">
        <v>2175</v>
      </c>
      <c r="B1360" t="s">
        <v>46</v>
      </c>
      <c r="C1360" t="s">
        <v>1499</v>
      </c>
      <c r="D1360" t="s">
        <v>2168</v>
      </c>
      <c r="E1360" t="s">
        <v>2032</v>
      </c>
      <c r="F1360" t="s">
        <v>2176</v>
      </c>
      <c r="H1360" t="s">
        <v>2034</v>
      </c>
      <c r="I1360" t="s">
        <v>2177</v>
      </c>
      <c r="J1360" t="s">
        <v>2149</v>
      </c>
      <c r="K1360" t="s">
        <v>2178</v>
      </c>
      <c r="L1360" t="s">
        <v>124</v>
      </c>
      <c r="M1360" t="s">
        <v>2038</v>
      </c>
      <c r="O1360" t="s">
        <v>2179</v>
      </c>
      <c r="Q1360" t="s">
        <v>57</v>
      </c>
      <c r="Y1360" t="s">
        <v>2180</v>
      </c>
      <c r="Z1360">
        <v>9405</v>
      </c>
      <c r="AE1360">
        <v>720</v>
      </c>
      <c r="AF1360" s="4">
        <v>0.3</v>
      </c>
      <c r="AG1360">
        <f t="shared" si="135"/>
        <v>504</v>
      </c>
      <c r="AH1360" s="4">
        <v>0.18</v>
      </c>
      <c r="AI1360">
        <f t="shared" si="130"/>
        <v>594.72</v>
      </c>
      <c r="AJ1360" s="4">
        <v>0.2</v>
      </c>
      <c r="AK1360">
        <f t="shared" si="131"/>
        <v>118.94</v>
      </c>
      <c r="AL1360">
        <f t="shared" si="132"/>
        <v>713.66</v>
      </c>
      <c r="AM1360">
        <f t="shared" si="133"/>
        <v>6.33999999999992</v>
      </c>
      <c r="AN1360" s="4">
        <f t="shared" si="134"/>
        <v>0.00880555555555544</v>
      </c>
      <c r="AO1360" t="s">
        <v>64</v>
      </c>
      <c r="AQ1360" t="s">
        <v>217</v>
      </c>
      <c r="AT1360" t="s">
        <v>64</v>
      </c>
    </row>
    <row r="1361" ht="15.75" customHeight="1" spans="1:46">
      <c r="A1361" t="s">
        <v>2175</v>
      </c>
      <c r="B1361" t="s">
        <v>67</v>
      </c>
      <c r="C1361" t="s">
        <v>1499</v>
      </c>
      <c r="D1361" t="s">
        <v>2168</v>
      </c>
      <c r="E1361" t="s">
        <v>2032</v>
      </c>
      <c r="F1361" t="s">
        <v>2176</v>
      </c>
      <c r="H1361" t="s">
        <v>2034</v>
      </c>
      <c r="I1361" t="s">
        <v>2177</v>
      </c>
      <c r="J1361" t="s">
        <v>2149</v>
      </c>
      <c r="K1361" t="s">
        <v>2178</v>
      </c>
      <c r="L1361" t="s">
        <v>124</v>
      </c>
      <c r="M1361" t="s">
        <v>2145</v>
      </c>
      <c r="O1361" t="s">
        <v>2179</v>
      </c>
      <c r="Q1361" t="s">
        <v>57</v>
      </c>
      <c r="Y1361" t="s">
        <v>2180</v>
      </c>
      <c r="Z1361">
        <v>9405</v>
      </c>
      <c r="AE1361">
        <v>720</v>
      </c>
      <c r="AF1361" s="4">
        <v>0.3</v>
      </c>
      <c r="AG1361">
        <f t="shared" si="135"/>
        <v>504</v>
      </c>
      <c r="AH1361" s="4">
        <v>0.18</v>
      </c>
      <c r="AI1361">
        <f t="shared" si="130"/>
        <v>594.72</v>
      </c>
      <c r="AJ1361" s="4">
        <v>0.2</v>
      </c>
      <c r="AK1361">
        <f t="shared" si="131"/>
        <v>118.94</v>
      </c>
      <c r="AL1361">
        <f t="shared" si="132"/>
        <v>713.66</v>
      </c>
      <c r="AM1361">
        <f t="shared" si="133"/>
        <v>6.33999999999992</v>
      </c>
      <c r="AN1361" s="4">
        <f t="shared" si="134"/>
        <v>0.00880555555555544</v>
      </c>
      <c r="AO1361" t="s">
        <v>64</v>
      </c>
      <c r="AQ1361" t="s">
        <v>217</v>
      </c>
      <c r="AT1361" t="s">
        <v>64</v>
      </c>
    </row>
    <row r="1362" ht="15.75" customHeight="1" spans="1:46">
      <c r="A1362" t="s">
        <v>2181</v>
      </c>
      <c r="B1362" t="s">
        <v>46</v>
      </c>
      <c r="C1362" t="s">
        <v>1499</v>
      </c>
      <c r="D1362" t="s">
        <v>2168</v>
      </c>
      <c r="E1362" t="s">
        <v>2032</v>
      </c>
      <c r="F1362" t="s">
        <v>2182</v>
      </c>
      <c r="H1362" t="s">
        <v>2034</v>
      </c>
      <c r="I1362" t="s">
        <v>2177</v>
      </c>
      <c r="J1362" t="s">
        <v>2149</v>
      </c>
      <c r="K1362" t="s">
        <v>2178</v>
      </c>
      <c r="L1362" t="s">
        <v>124</v>
      </c>
      <c r="M1362" t="s">
        <v>2038</v>
      </c>
      <c r="O1362" t="s">
        <v>1334</v>
      </c>
      <c r="Q1362" t="s">
        <v>57</v>
      </c>
      <c r="R1362">
        <v>919415920162</v>
      </c>
      <c r="Y1362" t="s">
        <v>2183</v>
      </c>
      <c r="Z1362">
        <v>9405</v>
      </c>
      <c r="AE1362">
        <v>550</v>
      </c>
      <c r="AF1362" s="4">
        <v>0.6</v>
      </c>
      <c r="AG1362">
        <f t="shared" si="135"/>
        <v>220</v>
      </c>
      <c r="AH1362" s="4">
        <v>0.18</v>
      </c>
      <c r="AI1362">
        <f t="shared" si="130"/>
        <v>259.6</v>
      </c>
      <c r="AJ1362" s="4">
        <v>0.2</v>
      </c>
      <c r="AK1362">
        <f t="shared" si="131"/>
        <v>51.92</v>
      </c>
      <c r="AL1362">
        <f t="shared" si="132"/>
        <v>311.52</v>
      </c>
      <c r="AM1362">
        <f t="shared" si="133"/>
        <v>238.48</v>
      </c>
      <c r="AN1362" s="4">
        <f t="shared" si="134"/>
        <v>0.4336</v>
      </c>
      <c r="AO1362" t="s">
        <v>64</v>
      </c>
      <c r="AQ1362" t="s">
        <v>217</v>
      </c>
      <c r="AT1362" t="s">
        <v>64</v>
      </c>
    </row>
    <row r="1363" ht="15.75" customHeight="1" spans="1:46">
      <c r="A1363" t="s">
        <v>2181</v>
      </c>
      <c r="B1363" t="s">
        <v>67</v>
      </c>
      <c r="C1363" t="s">
        <v>1499</v>
      </c>
      <c r="D1363" t="s">
        <v>2168</v>
      </c>
      <c r="E1363" t="s">
        <v>2032</v>
      </c>
      <c r="F1363" t="s">
        <v>2182</v>
      </c>
      <c r="H1363" t="s">
        <v>2034</v>
      </c>
      <c r="I1363" t="s">
        <v>2177</v>
      </c>
      <c r="J1363" t="s">
        <v>2149</v>
      </c>
      <c r="K1363" t="s">
        <v>2178</v>
      </c>
      <c r="L1363" t="s">
        <v>124</v>
      </c>
      <c r="M1363" t="s">
        <v>2145</v>
      </c>
      <c r="O1363" t="s">
        <v>1334</v>
      </c>
      <c r="Q1363" t="s">
        <v>57</v>
      </c>
      <c r="R1363">
        <v>919415920162</v>
      </c>
      <c r="Y1363" t="s">
        <v>2183</v>
      </c>
      <c r="Z1363">
        <v>9405</v>
      </c>
      <c r="AE1363">
        <v>550</v>
      </c>
      <c r="AF1363" s="4">
        <v>0.6</v>
      </c>
      <c r="AG1363">
        <f t="shared" si="135"/>
        <v>220</v>
      </c>
      <c r="AH1363" s="4">
        <v>0.18</v>
      </c>
      <c r="AI1363">
        <f t="shared" si="130"/>
        <v>259.6</v>
      </c>
      <c r="AJ1363" s="4">
        <v>0.2</v>
      </c>
      <c r="AK1363">
        <f t="shared" si="131"/>
        <v>51.92</v>
      </c>
      <c r="AL1363">
        <f t="shared" si="132"/>
        <v>311.52</v>
      </c>
      <c r="AM1363">
        <f t="shared" si="133"/>
        <v>238.48</v>
      </c>
      <c r="AN1363" s="4">
        <f t="shared" si="134"/>
        <v>0.4336</v>
      </c>
      <c r="AO1363" t="s">
        <v>64</v>
      </c>
      <c r="AQ1363" t="s">
        <v>217</v>
      </c>
      <c r="AT1363" t="s">
        <v>64</v>
      </c>
    </row>
    <row r="1364" ht="15.75" customHeight="1" spans="1:46">
      <c r="A1364" t="s">
        <v>2181</v>
      </c>
      <c r="B1364" t="s">
        <v>71</v>
      </c>
      <c r="C1364" t="s">
        <v>1499</v>
      </c>
      <c r="D1364" t="s">
        <v>2168</v>
      </c>
      <c r="E1364" t="s">
        <v>2032</v>
      </c>
      <c r="F1364" t="s">
        <v>2182</v>
      </c>
      <c r="H1364" t="s">
        <v>2034</v>
      </c>
      <c r="I1364" t="s">
        <v>2184</v>
      </c>
      <c r="J1364" t="s">
        <v>2149</v>
      </c>
      <c r="K1364" t="s">
        <v>2178</v>
      </c>
      <c r="L1364" t="s">
        <v>124</v>
      </c>
      <c r="M1364" t="s">
        <v>2038</v>
      </c>
      <c r="O1364" t="s">
        <v>1334</v>
      </c>
      <c r="Q1364" t="s">
        <v>57</v>
      </c>
      <c r="R1364">
        <v>919415920162</v>
      </c>
      <c r="Y1364" t="s">
        <v>2183</v>
      </c>
      <c r="Z1364">
        <v>9405</v>
      </c>
      <c r="AE1364">
        <v>600</v>
      </c>
      <c r="AF1364" s="4">
        <v>0.5</v>
      </c>
      <c r="AG1364">
        <f t="shared" si="135"/>
        <v>300</v>
      </c>
      <c r="AH1364" s="4">
        <v>0.18</v>
      </c>
      <c r="AI1364">
        <f t="shared" si="130"/>
        <v>354</v>
      </c>
      <c r="AJ1364" s="4">
        <v>0.2</v>
      </c>
      <c r="AK1364">
        <f t="shared" si="131"/>
        <v>70.8</v>
      </c>
      <c r="AL1364">
        <f t="shared" si="132"/>
        <v>424.8</v>
      </c>
      <c r="AM1364">
        <f t="shared" si="133"/>
        <v>175.2</v>
      </c>
      <c r="AN1364" s="4">
        <f t="shared" si="134"/>
        <v>0.292</v>
      </c>
      <c r="AO1364" t="s">
        <v>64</v>
      </c>
      <c r="AQ1364" t="s">
        <v>217</v>
      </c>
      <c r="AT1364" t="s">
        <v>64</v>
      </c>
    </row>
    <row r="1365" ht="15.75" customHeight="1" spans="1:46">
      <c r="A1365" t="s">
        <v>2181</v>
      </c>
      <c r="B1365" t="s">
        <v>75</v>
      </c>
      <c r="C1365" t="s">
        <v>1499</v>
      </c>
      <c r="D1365" t="s">
        <v>2168</v>
      </c>
      <c r="E1365" t="s">
        <v>2032</v>
      </c>
      <c r="F1365" t="s">
        <v>2182</v>
      </c>
      <c r="H1365" t="s">
        <v>2034</v>
      </c>
      <c r="I1365" t="s">
        <v>2184</v>
      </c>
      <c r="J1365" t="s">
        <v>2149</v>
      </c>
      <c r="K1365" t="s">
        <v>2178</v>
      </c>
      <c r="L1365" t="s">
        <v>124</v>
      </c>
      <c r="M1365" t="s">
        <v>2145</v>
      </c>
      <c r="O1365" t="s">
        <v>1334</v>
      </c>
      <c r="Q1365" t="s">
        <v>57</v>
      </c>
      <c r="R1365">
        <v>919415920162</v>
      </c>
      <c r="Y1365" t="s">
        <v>2183</v>
      </c>
      <c r="Z1365">
        <v>9405</v>
      </c>
      <c r="AE1365">
        <v>600</v>
      </c>
      <c r="AF1365" s="4">
        <v>0.5</v>
      </c>
      <c r="AG1365">
        <f t="shared" si="135"/>
        <v>300</v>
      </c>
      <c r="AH1365" s="4">
        <v>0.18</v>
      </c>
      <c r="AI1365">
        <f t="shared" si="130"/>
        <v>354</v>
      </c>
      <c r="AJ1365" s="4">
        <v>0.2</v>
      </c>
      <c r="AK1365">
        <f t="shared" si="131"/>
        <v>70.8</v>
      </c>
      <c r="AL1365">
        <f t="shared" si="132"/>
        <v>424.8</v>
      </c>
      <c r="AM1365">
        <f t="shared" si="133"/>
        <v>175.2</v>
      </c>
      <c r="AN1365" s="4">
        <f t="shared" si="134"/>
        <v>0.292</v>
      </c>
      <c r="AO1365" t="s">
        <v>64</v>
      </c>
      <c r="AQ1365" t="s">
        <v>217</v>
      </c>
      <c r="AT1365" t="s">
        <v>64</v>
      </c>
    </row>
    <row r="1366" ht="15.75" customHeight="1" spans="1:46">
      <c r="A1366" t="s">
        <v>2181</v>
      </c>
      <c r="B1366" t="s">
        <v>79</v>
      </c>
      <c r="C1366" t="s">
        <v>1499</v>
      </c>
      <c r="D1366" t="s">
        <v>2168</v>
      </c>
      <c r="E1366" t="s">
        <v>2032</v>
      </c>
      <c r="F1366" t="s">
        <v>2182</v>
      </c>
      <c r="H1366" t="s">
        <v>2034</v>
      </c>
      <c r="I1366" t="s">
        <v>2185</v>
      </c>
      <c r="J1366" t="s">
        <v>2149</v>
      </c>
      <c r="K1366" t="s">
        <v>2178</v>
      </c>
      <c r="L1366" t="s">
        <v>124</v>
      </c>
      <c r="M1366" t="s">
        <v>2038</v>
      </c>
      <c r="O1366" t="s">
        <v>1334</v>
      </c>
      <c r="Q1366" t="s">
        <v>57</v>
      </c>
      <c r="R1366">
        <v>919415920162</v>
      </c>
      <c r="Y1366" t="s">
        <v>2183</v>
      </c>
      <c r="Z1366">
        <v>9405</v>
      </c>
      <c r="AE1366">
        <v>750</v>
      </c>
      <c r="AF1366" s="4">
        <v>0.52</v>
      </c>
      <c r="AG1366">
        <f t="shared" si="135"/>
        <v>360</v>
      </c>
      <c r="AH1366" s="4">
        <v>0.18</v>
      </c>
      <c r="AI1366">
        <f t="shared" si="130"/>
        <v>424.8</v>
      </c>
      <c r="AJ1366" s="4">
        <v>0.2</v>
      </c>
      <c r="AK1366">
        <f t="shared" si="131"/>
        <v>84.96</v>
      </c>
      <c r="AL1366">
        <f t="shared" si="132"/>
        <v>509.76</v>
      </c>
      <c r="AM1366">
        <f t="shared" si="133"/>
        <v>240.24</v>
      </c>
      <c r="AN1366" s="4">
        <f t="shared" si="134"/>
        <v>0.32032</v>
      </c>
      <c r="AO1366" t="s">
        <v>64</v>
      </c>
      <c r="AQ1366" t="s">
        <v>217</v>
      </c>
      <c r="AT1366" t="s">
        <v>64</v>
      </c>
    </row>
    <row r="1367" ht="15.75" customHeight="1" spans="1:46">
      <c r="A1367" t="s">
        <v>2181</v>
      </c>
      <c r="B1367" t="s">
        <v>83</v>
      </c>
      <c r="C1367" t="s">
        <v>1499</v>
      </c>
      <c r="D1367" t="s">
        <v>2168</v>
      </c>
      <c r="E1367" t="s">
        <v>2032</v>
      </c>
      <c r="F1367" t="s">
        <v>2182</v>
      </c>
      <c r="H1367" t="s">
        <v>2034</v>
      </c>
      <c r="I1367" t="s">
        <v>2185</v>
      </c>
      <c r="J1367" t="s">
        <v>2149</v>
      </c>
      <c r="K1367" t="s">
        <v>2178</v>
      </c>
      <c r="L1367" t="s">
        <v>124</v>
      </c>
      <c r="M1367" t="s">
        <v>2145</v>
      </c>
      <c r="O1367" t="s">
        <v>1334</v>
      </c>
      <c r="Q1367" t="s">
        <v>57</v>
      </c>
      <c r="R1367">
        <v>919415920162</v>
      </c>
      <c r="Y1367" t="s">
        <v>2183</v>
      </c>
      <c r="Z1367">
        <v>9405</v>
      </c>
      <c r="AE1367">
        <v>750</v>
      </c>
      <c r="AF1367" s="4">
        <v>0.52</v>
      </c>
      <c r="AG1367">
        <f t="shared" si="135"/>
        <v>360</v>
      </c>
      <c r="AH1367" s="4">
        <v>0.18</v>
      </c>
      <c r="AI1367">
        <f t="shared" si="130"/>
        <v>424.8</v>
      </c>
      <c r="AJ1367" s="4">
        <v>0.2</v>
      </c>
      <c r="AK1367">
        <f t="shared" si="131"/>
        <v>84.96</v>
      </c>
      <c r="AL1367">
        <f t="shared" si="132"/>
        <v>509.76</v>
      </c>
      <c r="AM1367">
        <f t="shared" si="133"/>
        <v>240.24</v>
      </c>
      <c r="AN1367" s="4">
        <f t="shared" si="134"/>
        <v>0.32032</v>
      </c>
      <c r="AO1367" t="s">
        <v>64</v>
      </c>
      <c r="AQ1367" t="s">
        <v>217</v>
      </c>
      <c r="AT1367" t="s">
        <v>64</v>
      </c>
    </row>
    <row r="1368" ht="15.75" customHeight="1" spans="1:46">
      <c r="A1368" t="s">
        <v>2186</v>
      </c>
      <c r="B1368" t="s">
        <v>46</v>
      </c>
      <c r="C1368" t="s">
        <v>1499</v>
      </c>
      <c r="D1368" t="s">
        <v>2168</v>
      </c>
      <c r="E1368" t="s">
        <v>1501</v>
      </c>
      <c r="F1368" t="s">
        <v>2187</v>
      </c>
      <c r="H1368" t="s">
        <v>2034</v>
      </c>
      <c r="I1368" t="s">
        <v>2104</v>
      </c>
      <c r="J1368" t="s">
        <v>2149</v>
      </c>
      <c r="K1368" t="s">
        <v>2178</v>
      </c>
      <c r="L1368" t="s">
        <v>124</v>
      </c>
      <c r="M1368" t="s">
        <v>2038</v>
      </c>
      <c r="O1368" t="s">
        <v>2188</v>
      </c>
      <c r="Q1368" t="s">
        <v>57</v>
      </c>
      <c r="R1368" t="s">
        <v>2189</v>
      </c>
      <c r="Y1368" t="s">
        <v>2190</v>
      </c>
      <c r="Z1368">
        <v>9405</v>
      </c>
      <c r="AE1368">
        <v>750</v>
      </c>
      <c r="AF1368" s="4">
        <v>0.5</v>
      </c>
      <c r="AG1368">
        <f t="shared" si="135"/>
        <v>375</v>
      </c>
      <c r="AH1368" s="4">
        <v>0.18</v>
      </c>
      <c r="AI1368">
        <f t="shared" si="130"/>
        <v>442.5</v>
      </c>
      <c r="AJ1368" s="4">
        <v>0.2</v>
      </c>
      <c r="AK1368">
        <f t="shared" si="131"/>
        <v>88.5</v>
      </c>
      <c r="AL1368">
        <f t="shared" si="132"/>
        <v>531</v>
      </c>
      <c r="AM1368">
        <f t="shared" si="133"/>
        <v>219</v>
      </c>
      <c r="AN1368" s="4">
        <f t="shared" si="134"/>
        <v>0.292</v>
      </c>
      <c r="AO1368" t="s">
        <v>221</v>
      </c>
      <c r="AQ1368" t="s">
        <v>217</v>
      </c>
      <c r="AT1368" t="s">
        <v>221</v>
      </c>
    </row>
    <row r="1369" ht="15.75" customHeight="1" spans="1:46">
      <c r="A1369" t="s">
        <v>2186</v>
      </c>
      <c r="B1369" t="s">
        <v>67</v>
      </c>
      <c r="C1369" t="s">
        <v>1499</v>
      </c>
      <c r="D1369" t="s">
        <v>2168</v>
      </c>
      <c r="E1369" t="s">
        <v>1501</v>
      </c>
      <c r="F1369" t="s">
        <v>2187</v>
      </c>
      <c r="H1369" t="s">
        <v>2034</v>
      </c>
      <c r="I1369" t="s">
        <v>2184</v>
      </c>
      <c r="J1369" t="s">
        <v>2149</v>
      </c>
      <c r="K1369" t="s">
        <v>2178</v>
      </c>
      <c r="L1369" t="s">
        <v>124</v>
      </c>
      <c r="M1369" t="s">
        <v>2145</v>
      </c>
      <c r="O1369" t="s">
        <v>2188</v>
      </c>
      <c r="Q1369" t="s">
        <v>57</v>
      </c>
      <c r="R1369" t="s">
        <v>2191</v>
      </c>
      <c r="Y1369" t="s">
        <v>2190</v>
      </c>
      <c r="Z1369">
        <v>9405</v>
      </c>
      <c r="AE1369">
        <v>1000</v>
      </c>
      <c r="AF1369" s="4">
        <v>0.5</v>
      </c>
      <c r="AG1369">
        <f t="shared" si="135"/>
        <v>500</v>
      </c>
      <c r="AH1369" s="4">
        <v>0.18</v>
      </c>
      <c r="AI1369">
        <f t="shared" si="130"/>
        <v>590</v>
      </c>
      <c r="AJ1369" s="4">
        <v>0.2</v>
      </c>
      <c r="AK1369">
        <f t="shared" si="131"/>
        <v>118</v>
      </c>
      <c r="AL1369">
        <f t="shared" si="132"/>
        <v>708</v>
      </c>
      <c r="AM1369">
        <f t="shared" si="133"/>
        <v>292</v>
      </c>
      <c r="AN1369" s="4">
        <f t="shared" si="134"/>
        <v>0.292</v>
      </c>
      <c r="AO1369" t="s">
        <v>221</v>
      </c>
      <c r="AQ1369" t="s">
        <v>217</v>
      </c>
      <c r="AT1369" t="s">
        <v>221</v>
      </c>
    </row>
    <row r="1370" ht="15.75" customHeight="1" spans="1:46">
      <c r="A1370" t="s">
        <v>2186</v>
      </c>
      <c r="B1370" t="s">
        <v>71</v>
      </c>
      <c r="C1370" t="s">
        <v>1499</v>
      </c>
      <c r="D1370" t="s">
        <v>2168</v>
      </c>
      <c r="E1370" t="s">
        <v>1501</v>
      </c>
      <c r="F1370" t="s">
        <v>2187</v>
      </c>
      <c r="H1370" t="s">
        <v>2034</v>
      </c>
      <c r="I1370" t="s">
        <v>2192</v>
      </c>
      <c r="J1370" t="s">
        <v>2149</v>
      </c>
      <c r="K1370" t="s">
        <v>2178</v>
      </c>
      <c r="L1370" t="s">
        <v>124</v>
      </c>
      <c r="O1370" t="s">
        <v>2188</v>
      </c>
      <c r="Q1370" t="s">
        <v>57</v>
      </c>
      <c r="R1370" t="s">
        <v>2193</v>
      </c>
      <c r="Y1370" t="s">
        <v>2190</v>
      </c>
      <c r="Z1370">
        <v>9405</v>
      </c>
      <c r="AE1370">
        <v>1500</v>
      </c>
      <c r="AF1370" s="4">
        <v>0.5</v>
      </c>
      <c r="AG1370">
        <f t="shared" si="135"/>
        <v>750</v>
      </c>
      <c r="AH1370" s="4">
        <v>0.18</v>
      </c>
      <c r="AI1370">
        <f t="shared" si="130"/>
        <v>885</v>
      </c>
      <c r="AJ1370" s="4">
        <v>0.2</v>
      </c>
      <c r="AK1370">
        <f t="shared" si="131"/>
        <v>177</v>
      </c>
      <c r="AL1370">
        <f t="shared" si="132"/>
        <v>1062</v>
      </c>
      <c r="AM1370">
        <f t="shared" si="133"/>
        <v>438</v>
      </c>
      <c r="AN1370" s="4">
        <f t="shared" si="134"/>
        <v>0.292</v>
      </c>
      <c r="AO1370" t="s">
        <v>221</v>
      </c>
      <c r="AQ1370" t="s">
        <v>217</v>
      </c>
      <c r="AT1370" t="s">
        <v>221</v>
      </c>
    </row>
    <row r="1371" ht="15.75" customHeight="1" spans="1:46">
      <c r="A1371" t="s">
        <v>2194</v>
      </c>
      <c r="B1371" t="s">
        <v>46</v>
      </c>
      <c r="C1371" t="s">
        <v>1499</v>
      </c>
      <c r="D1371" t="s">
        <v>2195</v>
      </c>
      <c r="E1371" t="s">
        <v>2032</v>
      </c>
      <c r="F1371" t="s">
        <v>2196</v>
      </c>
      <c r="H1371" t="s">
        <v>2034</v>
      </c>
      <c r="I1371" t="s">
        <v>2197</v>
      </c>
      <c r="J1371" t="s">
        <v>2149</v>
      </c>
      <c r="K1371" t="s">
        <v>2198</v>
      </c>
      <c r="L1371" t="s">
        <v>124</v>
      </c>
      <c r="M1371" t="s">
        <v>2038</v>
      </c>
      <c r="O1371" t="s">
        <v>2199</v>
      </c>
      <c r="Q1371" t="s">
        <v>57</v>
      </c>
      <c r="R1371" t="s">
        <v>2200</v>
      </c>
      <c r="Y1371" t="s">
        <v>2201</v>
      </c>
      <c r="Z1371">
        <v>9405</v>
      </c>
      <c r="AE1371">
        <v>9990</v>
      </c>
      <c r="AF1371" s="4">
        <v>0.57</v>
      </c>
      <c r="AG1371">
        <f t="shared" si="135"/>
        <v>4295.7</v>
      </c>
      <c r="AH1371" s="4">
        <v>0.18</v>
      </c>
      <c r="AI1371">
        <f t="shared" si="130"/>
        <v>5068.93</v>
      </c>
      <c r="AJ1371" s="4">
        <v>0.2</v>
      </c>
      <c r="AK1371">
        <f t="shared" si="131"/>
        <v>1013.79</v>
      </c>
      <c r="AL1371">
        <f t="shared" si="132"/>
        <v>6082.72</v>
      </c>
      <c r="AM1371">
        <f t="shared" si="133"/>
        <v>3907.28</v>
      </c>
      <c r="AN1371" s="4">
        <f t="shared" si="134"/>
        <v>0.391119119119119</v>
      </c>
      <c r="AO1371" t="s">
        <v>64</v>
      </c>
      <c r="AQ1371" t="s">
        <v>217</v>
      </c>
      <c r="AT1371" t="s">
        <v>221</v>
      </c>
    </row>
    <row r="1372" ht="15.75" customHeight="1" spans="1:46">
      <c r="A1372" t="s">
        <v>2194</v>
      </c>
      <c r="B1372" t="s">
        <v>67</v>
      </c>
      <c r="C1372" t="s">
        <v>1499</v>
      </c>
      <c r="D1372" t="s">
        <v>2195</v>
      </c>
      <c r="E1372" t="s">
        <v>2032</v>
      </c>
      <c r="F1372" t="s">
        <v>2196</v>
      </c>
      <c r="H1372" t="s">
        <v>2034</v>
      </c>
      <c r="I1372" t="s">
        <v>2197</v>
      </c>
      <c r="J1372" t="s">
        <v>2149</v>
      </c>
      <c r="K1372" t="s">
        <v>2198</v>
      </c>
      <c r="L1372" t="s">
        <v>124</v>
      </c>
      <c r="M1372" t="s">
        <v>2145</v>
      </c>
      <c r="O1372" t="s">
        <v>2199</v>
      </c>
      <c r="Q1372" t="s">
        <v>57</v>
      </c>
      <c r="R1372" t="s">
        <v>2200</v>
      </c>
      <c r="Y1372" t="s">
        <v>2201</v>
      </c>
      <c r="Z1372">
        <v>9405</v>
      </c>
      <c r="AE1372">
        <v>9990</v>
      </c>
      <c r="AF1372" s="4">
        <v>0.57</v>
      </c>
      <c r="AG1372">
        <f t="shared" si="135"/>
        <v>4295.7</v>
      </c>
      <c r="AH1372" s="4">
        <v>0.18</v>
      </c>
      <c r="AI1372">
        <f t="shared" si="130"/>
        <v>5068.93</v>
      </c>
      <c r="AJ1372" s="4">
        <v>0.2</v>
      </c>
      <c r="AK1372">
        <f t="shared" si="131"/>
        <v>1013.79</v>
      </c>
      <c r="AL1372">
        <f t="shared" si="132"/>
        <v>6082.72</v>
      </c>
      <c r="AM1372">
        <f t="shared" si="133"/>
        <v>3907.28</v>
      </c>
      <c r="AN1372" s="4">
        <f t="shared" si="134"/>
        <v>0.391119119119119</v>
      </c>
      <c r="AO1372" t="s">
        <v>64</v>
      </c>
      <c r="AQ1372" t="s">
        <v>217</v>
      </c>
      <c r="AT1372" t="s">
        <v>221</v>
      </c>
    </row>
    <row r="1373" ht="15.75" customHeight="1" spans="1:46">
      <c r="A1373" t="s">
        <v>2202</v>
      </c>
      <c r="B1373" t="s">
        <v>46</v>
      </c>
      <c r="C1373" t="s">
        <v>1499</v>
      </c>
      <c r="D1373" t="s">
        <v>2195</v>
      </c>
      <c r="E1373" t="s">
        <v>1501</v>
      </c>
      <c r="F1373" t="s">
        <v>2203</v>
      </c>
      <c r="H1373" t="s">
        <v>2034</v>
      </c>
      <c r="I1373" t="s">
        <v>2204</v>
      </c>
      <c r="J1373" t="s">
        <v>2149</v>
      </c>
      <c r="K1373" t="s">
        <v>2205</v>
      </c>
      <c r="L1373" t="s">
        <v>124</v>
      </c>
      <c r="M1373" t="s">
        <v>2038</v>
      </c>
      <c r="O1373" t="s">
        <v>2206</v>
      </c>
      <c r="Q1373" t="s">
        <v>57</v>
      </c>
      <c r="R1373" t="s">
        <v>2207</v>
      </c>
      <c r="Y1373" t="s">
        <v>2208</v>
      </c>
      <c r="Z1373">
        <v>9405</v>
      </c>
      <c r="AE1373">
        <v>9995</v>
      </c>
      <c r="AF1373" s="4">
        <v>0.7</v>
      </c>
      <c r="AG1373">
        <f t="shared" si="135"/>
        <v>2998.5</v>
      </c>
      <c r="AH1373" s="4">
        <v>0.18</v>
      </c>
      <c r="AI1373">
        <f t="shared" si="130"/>
        <v>3538.23</v>
      </c>
      <c r="AJ1373" s="4">
        <v>0.2</v>
      </c>
      <c r="AK1373">
        <f t="shared" si="131"/>
        <v>707.65</v>
      </c>
      <c r="AL1373">
        <f t="shared" si="132"/>
        <v>4245.88</v>
      </c>
      <c r="AM1373">
        <f t="shared" si="133"/>
        <v>5749.12</v>
      </c>
      <c r="AN1373" s="4">
        <f t="shared" si="134"/>
        <v>0.5751995997999</v>
      </c>
      <c r="AO1373" t="s">
        <v>221</v>
      </c>
      <c r="AQ1373" t="s">
        <v>217</v>
      </c>
      <c r="AT1373" t="s">
        <v>221</v>
      </c>
    </row>
    <row r="1374" ht="15.75" customHeight="1" spans="1:46">
      <c r="A1374" t="s">
        <v>2202</v>
      </c>
      <c r="B1374" t="s">
        <v>67</v>
      </c>
      <c r="C1374" t="s">
        <v>1499</v>
      </c>
      <c r="D1374" t="s">
        <v>2195</v>
      </c>
      <c r="E1374" t="s">
        <v>1501</v>
      </c>
      <c r="F1374" t="s">
        <v>2203</v>
      </c>
      <c r="H1374" t="s">
        <v>2034</v>
      </c>
      <c r="I1374" t="s">
        <v>2204</v>
      </c>
      <c r="J1374" t="s">
        <v>2149</v>
      </c>
      <c r="K1374" t="s">
        <v>2205</v>
      </c>
      <c r="L1374" t="s">
        <v>124</v>
      </c>
      <c r="M1374" t="s">
        <v>2145</v>
      </c>
      <c r="O1374" t="s">
        <v>2206</v>
      </c>
      <c r="Q1374" t="s">
        <v>57</v>
      </c>
      <c r="R1374" t="s">
        <v>2207</v>
      </c>
      <c r="Y1374" t="s">
        <v>2208</v>
      </c>
      <c r="Z1374">
        <v>9405</v>
      </c>
      <c r="AE1374">
        <v>9995</v>
      </c>
      <c r="AF1374" s="4">
        <v>0.7</v>
      </c>
      <c r="AG1374">
        <f t="shared" si="135"/>
        <v>2998.5</v>
      </c>
      <c r="AH1374" s="4">
        <v>0.18</v>
      </c>
      <c r="AI1374">
        <f t="shared" si="130"/>
        <v>3538.23</v>
      </c>
      <c r="AJ1374" s="4">
        <v>0.2</v>
      </c>
      <c r="AK1374">
        <f t="shared" si="131"/>
        <v>707.65</v>
      </c>
      <c r="AL1374">
        <f t="shared" si="132"/>
        <v>4245.88</v>
      </c>
      <c r="AM1374">
        <f t="shared" si="133"/>
        <v>5749.12</v>
      </c>
      <c r="AN1374" s="4">
        <f t="shared" si="134"/>
        <v>0.5751995997999</v>
      </c>
      <c r="AO1374" t="s">
        <v>221</v>
      </c>
      <c r="AQ1374" t="s">
        <v>217</v>
      </c>
      <c r="AT1374" t="s">
        <v>221</v>
      </c>
    </row>
    <row r="1375" ht="15.75" customHeight="1" spans="1:46">
      <c r="A1375" t="s">
        <v>2209</v>
      </c>
      <c r="B1375" t="s">
        <v>46</v>
      </c>
      <c r="C1375" t="s">
        <v>2210</v>
      </c>
      <c r="D1375" t="s">
        <v>2211</v>
      </c>
      <c r="E1375" t="s">
        <v>2212</v>
      </c>
      <c r="F1375" t="s">
        <v>2213</v>
      </c>
      <c r="H1375" t="s">
        <v>319</v>
      </c>
      <c r="I1375" t="s">
        <v>327</v>
      </c>
      <c r="J1375" t="s">
        <v>124</v>
      </c>
      <c r="K1375" t="s">
        <v>143</v>
      </c>
      <c r="Q1375" t="s">
        <v>57</v>
      </c>
      <c r="Y1375" t="s">
        <v>2214</v>
      </c>
      <c r="Z1375">
        <v>3209</v>
      </c>
      <c r="AE1375">
        <v>201</v>
      </c>
      <c r="AF1375" s="4">
        <v>0.41</v>
      </c>
      <c r="AG1375">
        <f t="shared" si="135"/>
        <v>118.59</v>
      </c>
      <c r="AH1375" s="4">
        <v>0.18</v>
      </c>
      <c r="AI1375">
        <f t="shared" si="130"/>
        <v>139.94</v>
      </c>
      <c r="AJ1375" s="4">
        <v>0.15</v>
      </c>
      <c r="AK1375">
        <f t="shared" si="131"/>
        <v>20.99</v>
      </c>
      <c r="AL1375">
        <f t="shared" si="132"/>
        <v>160.93</v>
      </c>
      <c r="AM1375">
        <f t="shared" si="133"/>
        <v>40.07</v>
      </c>
      <c r="AN1375" s="4">
        <f t="shared" si="134"/>
        <v>0.199353233830846</v>
      </c>
      <c r="AO1375" t="s">
        <v>221</v>
      </c>
      <c r="AQ1375" t="s">
        <v>217</v>
      </c>
    </row>
    <row r="1376" ht="15.75" customHeight="1" spans="1:46">
      <c r="A1376" t="s">
        <v>2209</v>
      </c>
      <c r="B1376" t="s">
        <v>67</v>
      </c>
      <c r="C1376" t="s">
        <v>2210</v>
      </c>
      <c r="D1376" t="s">
        <v>2211</v>
      </c>
      <c r="E1376" t="s">
        <v>2212</v>
      </c>
      <c r="F1376" t="s">
        <v>2213</v>
      </c>
      <c r="H1376" t="s">
        <v>319</v>
      </c>
      <c r="I1376" t="s">
        <v>2215</v>
      </c>
      <c r="J1376" t="s">
        <v>124</v>
      </c>
      <c r="K1376" t="s">
        <v>143</v>
      </c>
      <c r="Q1376" t="s">
        <v>57</v>
      </c>
      <c r="Y1376" t="s">
        <v>2214</v>
      </c>
      <c r="Z1376">
        <v>3209</v>
      </c>
      <c r="AE1376">
        <v>480</v>
      </c>
      <c r="AF1376" s="4">
        <v>0.37</v>
      </c>
      <c r="AG1376">
        <f t="shared" si="135"/>
        <v>302.4</v>
      </c>
      <c r="AH1376" s="4">
        <v>0.18</v>
      </c>
      <c r="AI1376">
        <f t="shared" si="130"/>
        <v>356.83</v>
      </c>
      <c r="AJ1376" s="4">
        <v>0.15</v>
      </c>
      <c r="AK1376">
        <f t="shared" si="131"/>
        <v>53.52</v>
      </c>
      <c r="AL1376">
        <f t="shared" si="132"/>
        <v>410.35</v>
      </c>
      <c r="AM1376">
        <f t="shared" si="133"/>
        <v>69.65</v>
      </c>
      <c r="AN1376" s="4">
        <f t="shared" si="134"/>
        <v>0.145104166666667</v>
      </c>
      <c r="AO1376" t="s">
        <v>221</v>
      </c>
      <c r="AQ1376" t="s">
        <v>217</v>
      </c>
    </row>
    <row r="1377" ht="15.75" customHeight="1" spans="1:43">
      <c r="A1377" t="s">
        <v>2209</v>
      </c>
      <c r="B1377" t="s">
        <v>71</v>
      </c>
      <c r="C1377" t="s">
        <v>2210</v>
      </c>
      <c r="D1377" t="s">
        <v>2211</v>
      </c>
      <c r="E1377" t="s">
        <v>2212</v>
      </c>
      <c r="F1377" t="s">
        <v>2213</v>
      </c>
      <c r="H1377" t="s">
        <v>319</v>
      </c>
      <c r="I1377" t="s">
        <v>2216</v>
      </c>
      <c r="J1377" t="s">
        <v>124</v>
      </c>
      <c r="K1377" t="s">
        <v>143</v>
      </c>
      <c r="Q1377" t="s">
        <v>57</v>
      </c>
      <c r="Y1377" t="s">
        <v>2214</v>
      </c>
      <c r="Z1377">
        <v>3209</v>
      </c>
      <c r="AE1377">
        <v>870</v>
      </c>
      <c r="AF1377" s="4">
        <v>0.35</v>
      </c>
      <c r="AG1377">
        <f t="shared" si="135"/>
        <v>565.5</v>
      </c>
      <c r="AH1377" s="4">
        <v>0.18</v>
      </c>
      <c r="AI1377">
        <f t="shared" si="130"/>
        <v>667.29</v>
      </c>
      <c r="AJ1377" s="4">
        <v>0.15</v>
      </c>
      <c r="AK1377">
        <f t="shared" si="131"/>
        <v>100.09</v>
      </c>
      <c r="AL1377">
        <f t="shared" si="132"/>
        <v>767.38</v>
      </c>
      <c r="AM1377">
        <f t="shared" si="133"/>
        <v>102.62</v>
      </c>
      <c r="AN1377" s="4">
        <f t="shared" si="134"/>
        <v>0.117954022988506</v>
      </c>
      <c r="AO1377" t="s">
        <v>221</v>
      </c>
      <c r="AQ1377" t="s">
        <v>217</v>
      </c>
    </row>
    <row r="1378" ht="15.75" customHeight="1" spans="1:43">
      <c r="A1378" t="s">
        <v>2209</v>
      </c>
      <c r="B1378" t="s">
        <v>75</v>
      </c>
      <c r="C1378" t="s">
        <v>2210</v>
      </c>
      <c r="D1378" t="s">
        <v>2211</v>
      </c>
      <c r="E1378" t="s">
        <v>2212</v>
      </c>
      <c r="F1378" t="s">
        <v>2213</v>
      </c>
      <c r="H1378" t="s">
        <v>319</v>
      </c>
      <c r="I1378" t="s">
        <v>2217</v>
      </c>
      <c r="J1378" t="s">
        <v>124</v>
      </c>
      <c r="K1378" t="s">
        <v>143</v>
      </c>
      <c r="Q1378" t="s">
        <v>57</v>
      </c>
      <c r="Y1378" t="s">
        <v>2214</v>
      </c>
      <c r="Z1378">
        <v>3209</v>
      </c>
      <c r="AE1378">
        <v>1580</v>
      </c>
      <c r="AF1378" s="4">
        <v>0.33</v>
      </c>
      <c r="AG1378">
        <f t="shared" si="135"/>
        <v>1058.6</v>
      </c>
      <c r="AH1378" s="4">
        <v>0.18</v>
      </c>
      <c r="AI1378">
        <f t="shared" si="130"/>
        <v>1249.15</v>
      </c>
      <c r="AJ1378" s="4">
        <v>0.15</v>
      </c>
      <c r="AK1378">
        <f t="shared" si="131"/>
        <v>187.37</v>
      </c>
      <c r="AL1378">
        <f t="shared" si="132"/>
        <v>1436.52</v>
      </c>
      <c r="AM1378">
        <f t="shared" si="133"/>
        <v>143.48</v>
      </c>
      <c r="AN1378" s="4">
        <f t="shared" si="134"/>
        <v>0.0908101265822785</v>
      </c>
      <c r="AO1378" t="s">
        <v>221</v>
      </c>
      <c r="AQ1378" t="s">
        <v>217</v>
      </c>
    </row>
    <row r="1379" ht="15.75" customHeight="1" spans="1:43">
      <c r="A1379" t="s">
        <v>2218</v>
      </c>
      <c r="B1379" t="s">
        <v>46</v>
      </c>
      <c r="C1379" t="s">
        <v>2210</v>
      </c>
      <c r="D1379" t="s">
        <v>2211</v>
      </c>
      <c r="E1379" t="s">
        <v>2212</v>
      </c>
      <c r="F1379" t="s">
        <v>2219</v>
      </c>
      <c r="H1379" t="s">
        <v>319</v>
      </c>
      <c r="I1379" t="s">
        <v>327</v>
      </c>
      <c r="J1379" t="s">
        <v>124</v>
      </c>
      <c r="K1379" t="s">
        <v>143</v>
      </c>
      <c r="Q1379" t="s">
        <v>57</v>
      </c>
      <c r="Y1379" t="s">
        <v>2220</v>
      </c>
      <c r="Z1379">
        <v>3209</v>
      </c>
      <c r="AE1379">
        <v>201</v>
      </c>
      <c r="AF1379" s="4">
        <v>0.41</v>
      </c>
      <c r="AG1379">
        <f t="shared" si="135"/>
        <v>118.59</v>
      </c>
      <c r="AH1379" s="4">
        <v>0.18</v>
      </c>
      <c r="AI1379">
        <f t="shared" si="130"/>
        <v>139.94</v>
      </c>
      <c r="AJ1379" s="4">
        <v>0.15</v>
      </c>
      <c r="AK1379">
        <f t="shared" si="131"/>
        <v>20.99</v>
      </c>
      <c r="AL1379">
        <f t="shared" si="132"/>
        <v>160.93</v>
      </c>
      <c r="AM1379">
        <f t="shared" si="133"/>
        <v>40.07</v>
      </c>
      <c r="AN1379" s="4">
        <f t="shared" si="134"/>
        <v>0.199353233830846</v>
      </c>
      <c r="AO1379" t="s">
        <v>221</v>
      </c>
      <c r="AQ1379" t="s">
        <v>217</v>
      </c>
    </row>
    <row r="1380" ht="15.75" customHeight="1" spans="1:43">
      <c r="A1380" t="s">
        <v>2218</v>
      </c>
      <c r="B1380" t="s">
        <v>67</v>
      </c>
      <c r="C1380" t="s">
        <v>2210</v>
      </c>
      <c r="D1380" t="s">
        <v>2211</v>
      </c>
      <c r="E1380" t="s">
        <v>2212</v>
      </c>
      <c r="F1380" t="s">
        <v>2219</v>
      </c>
      <c r="H1380" t="s">
        <v>319</v>
      </c>
      <c r="I1380" t="s">
        <v>2215</v>
      </c>
      <c r="J1380" t="s">
        <v>124</v>
      </c>
      <c r="K1380" t="s">
        <v>143</v>
      </c>
      <c r="Q1380" t="s">
        <v>57</v>
      </c>
      <c r="Y1380" t="s">
        <v>2220</v>
      </c>
      <c r="Z1380">
        <v>3209</v>
      </c>
      <c r="AE1380">
        <v>480</v>
      </c>
      <c r="AF1380" s="4">
        <v>0.41</v>
      </c>
      <c r="AG1380">
        <f t="shared" si="135"/>
        <v>283.2</v>
      </c>
      <c r="AH1380" s="4">
        <v>0.18</v>
      </c>
      <c r="AI1380">
        <f t="shared" si="130"/>
        <v>334.18</v>
      </c>
      <c r="AJ1380" s="4">
        <v>0.15</v>
      </c>
      <c r="AK1380">
        <f t="shared" si="131"/>
        <v>50.13</v>
      </c>
      <c r="AL1380">
        <f t="shared" si="132"/>
        <v>384.31</v>
      </c>
      <c r="AM1380">
        <f t="shared" si="133"/>
        <v>95.69</v>
      </c>
      <c r="AN1380" s="4">
        <f t="shared" si="134"/>
        <v>0.199354166666667</v>
      </c>
      <c r="AO1380" t="s">
        <v>221</v>
      </c>
      <c r="AQ1380" t="s">
        <v>217</v>
      </c>
    </row>
    <row r="1381" ht="15.75" customHeight="1" spans="1:43">
      <c r="A1381" t="s">
        <v>2218</v>
      </c>
      <c r="B1381" t="s">
        <v>71</v>
      </c>
      <c r="C1381" t="s">
        <v>2210</v>
      </c>
      <c r="D1381" t="s">
        <v>2211</v>
      </c>
      <c r="E1381" t="s">
        <v>2212</v>
      </c>
      <c r="F1381" t="s">
        <v>2219</v>
      </c>
      <c r="H1381" t="s">
        <v>319</v>
      </c>
      <c r="I1381" t="s">
        <v>2216</v>
      </c>
      <c r="J1381" t="s">
        <v>124</v>
      </c>
      <c r="K1381" t="s">
        <v>143</v>
      </c>
      <c r="Q1381" t="s">
        <v>57</v>
      </c>
      <c r="Y1381" t="s">
        <v>2220</v>
      </c>
      <c r="Z1381">
        <v>3209</v>
      </c>
      <c r="AE1381">
        <v>870</v>
      </c>
      <c r="AF1381" s="4">
        <v>0.41</v>
      </c>
      <c r="AG1381">
        <f t="shared" si="135"/>
        <v>513.3</v>
      </c>
      <c r="AH1381" s="4">
        <v>0.18</v>
      </c>
      <c r="AI1381">
        <f t="shared" si="130"/>
        <v>605.69</v>
      </c>
      <c r="AJ1381" s="4">
        <v>0.15</v>
      </c>
      <c r="AK1381">
        <f t="shared" si="131"/>
        <v>90.85</v>
      </c>
      <c r="AL1381">
        <f t="shared" si="132"/>
        <v>696.54</v>
      </c>
      <c r="AM1381">
        <f t="shared" si="133"/>
        <v>173.46</v>
      </c>
      <c r="AN1381" s="4">
        <f t="shared" si="134"/>
        <v>0.199379310344828</v>
      </c>
      <c r="AO1381" t="s">
        <v>221</v>
      </c>
      <c r="AQ1381" t="s">
        <v>217</v>
      </c>
    </row>
    <row r="1382" ht="15.75" customHeight="1" spans="1:43">
      <c r="A1382" t="s">
        <v>2218</v>
      </c>
      <c r="B1382" t="s">
        <v>75</v>
      </c>
      <c r="C1382" t="s">
        <v>2210</v>
      </c>
      <c r="D1382" t="s">
        <v>2211</v>
      </c>
      <c r="E1382" t="s">
        <v>2212</v>
      </c>
      <c r="F1382" t="s">
        <v>2219</v>
      </c>
      <c r="H1382" t="s">
        <v>319</v>
      </c>
      <c r="I1382" t="s">
        <v>2217</v>
      </c>
      <c r="J1382" t="s">
        <v>124</v>
      </c>
      <c r="K1382" t="s">
        <v>143</v>
      </c>
      <c r="Q1382" t="s">
        <v>57</v>
      </c>
      <c r="Y1382" t="s">
        <v>2220</v>
      </c>
      <c r="Z1382">
        <v>3209</v>
      </c>
      <c r="AE1382">
        <v>1580</v>
      </c>
      <c r="AF1382" s="4">
        <v>0.41</v>
      </c>
      <c r="AG1382">
        <f t="shared" si="135"/>
        <v>932.2</v>
      </c>
      <c r="AH1382" s="4">
        <v>0.18</v>
      </c>
      <c r="AI1382">
        <f t="shared" si="130"/>
        <v>1100</v>
      </c>
      <c r="AJ1382" s="4">
        <v>0.15</v>
      </c>
      <c r="AK1382">
        <f t="shared" si="131"/>
        <v>165</v>
      </c>
      <c r="AL1382">
        <f t="shared" si="132"/>
        <v>1265</v>
      </c>
      <c r="AM1382">
        <f t="shared" si="133"/>
        <v>315</v>
      </c>
      <c r="AN1382" s="4">
        <f t="shared" si="134"/>
        <v>0.199367088607595</v>
      </c>
      <c r="AO1382" t="s">
        <v>221</v>
      </c>
      <c r="AQ1382" t="s">
        <v>217</v>
      </c>
    </row>
    <row r="1383" ht="15.75" customHeight="1" spans="1:43">
      <c r="A1383" t="s">
        <v>2221</v>
      </c>
      <c r="B1383" t="s">
        <v>46</v>
      </c>
      <c r="C1383" t="s">
        <v>2210</v>
      </c>
      <c r="D1383" t="s">
        <v>2211</v>
      </c>
      <c r="E1383" t="s">
        <v>2212</v>
      </c>
      <c r="F1383" t="s">
        <v>2222</v>
      </c>
      <c r="H1383" t="s">
        <v>319</v>
      </c>
      <c r="I1383" t="s">
        <v>327</v>
      </c>
      <c r="J1383" t="s">
        <v>124</v>
      </c>
      <c r="K1383" t="s">
        <v>143</v>
      </c>
      <c r="Q1383" t="s">
        <v>57</v>
      </c>
      <c r="Y1383" t="s">
        <v>2223</v>
      </c>
      <c r="Z1383">
        <v>3209</v>
      </c>
      <c r="AE1383">
        <v>557</v>
      </c>
      <c r="AF1383" s="4">
        <v>0.4</v>
      </c>
      <c r="AG1383">
        <f t="shared" si="135"/>
        <v>334.2</v>
      </c>
      <c r="AH1383" s="4">
        <v>0.18</v>
      </c>
      <c r="AI1383">
        <f t="shared" si="130"/>
        <v>394.36</v>
      </c>
      <c r="AJ1383" s="4">
        <v>0.15</v>
      </c>
      <c r="AK1383">
        <f t="shared" si="131"/>
        <v>59.15</v>
      </c>
      <c r="AL1383">
        <f t="shared" si="132"/>
        <v>453.51</v>
      </c>
      <c r="AM1383">
        <f t="shared" si="133"/>
        <v>103.49</v>
      </c>
      <c r="AN1383" s="4">
        <f t="shared" si="134"/>
        <v>0.185798922800718</v>
      </c>
      <c r="AO1383" t="s">
        <v>221</v>
      </c>
      <c r="AQ1383" t="s">
        <v>217</v>
      </c>
    </row>
    <row r="1384" ht="15.75" customHeight="1" spans="1:43">
      <c r="A1384" t="s">
        <v>2221</v>
      </c>
      <c r="B1384" t="s">
        <v>67</v>
      </c>
      <c r="C1384" t="s">
        <v>2210</v>
      </c>
      <c r="D1384" t="s">
        <v>2211</v>
      </c>
      <c r="E1384" t="s">
        <v>2212</v>
      </c>
      <c r="F1384" t="s">
        <v>2222</v>
      </c>
      <c r="H1384" t="s">
        <v>319</v>
      </c>
      <c r="I1384" t="s">
        <v>2215</v>
      </c>
      <c r="J1384" t="s">
        <v>124</v>
      </c>
      <c r="K1384" t="s">
        <v>143</v>
      </c>
      <c r="Q1384" t="s">
        <v>57</v>
      </c>
      <c r="Y1384" t="s">
        <v>2223</v>
      </c>
      <c r="Z1384">
        <v>3209</v>
      </c>
      <c r="AE1384">
        <v>2162</v>
      </c>
      <c r="AF1384" s="4">
        <v>0.4</v>
      </c>
      <c r="AG1384">
        <f t="shared" si="135"/>
        <v>1297.2</v>
      </c>
      <c r="AH1384" s="4">
        <v>0.18</v>
      </c>
      <c r="AI1384">
        <f t="shared" si="130"/>
        <v>1530.7</v>
      </c>
      <c r="AJ1384" s="4">
        <v>0.15</v>
      </c>
      <c r="AK1384">
        <f t="shared" si="131"/>
        <v>229.61</v>
      </c>
      <c r="AL1384">
        <f t="shared" si="132"/>
        <v>1760.31</v>
      </c>
      <c r="AM1384">
        <f t="shared" si="133"/>
        <v>401.69</v>
      </c>
      <c r="AN1384" s="4">
        <f t="shared" si="134"/>
        <v>0.185795559666975</v>
      </c>
      <c r="AO1384" t="s">
        <v>221</v>
      </c>
      <c r="AQ1384" t="s">
        <v>217</v>
      </c>
    </row>
    <row r="1385" ht="15.75" customHeight="1" spans="1:43">
      <c r="A1385" t="s">
        <v>2221</v>
      </c>
      <c r="B1385" t="s">
        <v>71</v>
      </c>
      <c r="C1385" t="s">
        <v>2210</v>
      </c>
      <c r="D1385" t="s">
        <v>2211</v>
      </c>
      <c r="E1385" t="s">
        <v>2212</v>
      </c>
      <c r="F1385" t="s">
        <v>2222</v>
      </c>
      <c r="H1385" t="s">
        <v>319</v>
      </c>
      <c r="I1385" t="s">
        <v>2216</v>
      </c>
      <c r="J1385" t="s">
        <v>124</v>
      </c>
      <c r="K1385" t="s">
        <v>143</v>
      </c>
      <c r="Q1385" t="s">
        <v>57</v>
      </c>
      <c r="Y1385" t="s">
        <v>2223</v>
      </c>
      <c r="Z1385">
        <v>3209</v>
      </c>
      <c r="AE1385">
        <v>5219</v>
      </c>
      <c r="AF1385" s="4">
        <v>0.43</v>
      </c>
      <c r="AG1385">
        <f t="shared" si="135"/>
        <v>2974.83</v>
      </c>
      <c r="AH1385" s="4">
        <v>0.18</v>
      </c>
      <c r="AI1385">
        <f t="shared" si="130"/>
        <v>3510.3</v>
      </c>
      <c r="AJ1385" s="4">
        <v>0.15</v>
      </c>
      <c r="AK1385">
        <f t="shared" si="131"/>
        <v>526.55</v>
      </c>
      <c r="AL1385">
        <f t="shared" si="132"/>
        <v>4036.85</v>
      </c>
      <c r="AM1385">
        <f t="shared" si="133"/>
        <v>1182.15</v>
      </c>
      <c r="AN1385" s="4">
        <f t="shared" si="134"/>
        <v>0.226508909752826</v>
      </c>
      <c r="AO1385" t="s">
        <v>221</v>
      </c>
      <c r="AQ1385" t="s">
        <v>217</v>
      </c>
    </row>
    <row r="1386" ht="15.75" customHeight="1" spans="1:43">
      <c r="A1386" t="s">
        <v>2221</v>
      </c>
      <c r="B1386" t="s">
        <v>75</v>
      </c>
      <c r="C1386" t="s">
        <v>2210</v>
      </c>
      <c r="D1386" t="s">
        <v>2211</v>
      </c>
      <c r="E1386" t="s">
        <v>2212</v>
      </c>
      <c r="F1386" t="s">
        <v>2222</v>
      </c>
      <c r="H1386" t="s">
        <v>319</v>
      </c>
      <c r="I1386" t="s">
        <v>2217</v>
      </c>
      <c r="J1386" t="s">
        <v>124</v>
      </c>
      <c r="K1386" t="s">
        <v>143</v>
      </c>
      <c r="Q1386" t="s">
        <v>57</v>
      </c>
      <c r="Y1386" t="s">
        <v>2223</v>
      </c>
      <c r="Z1386">
        <v>3209</v>
      </c>
      <c r="AE1386">
        <v>10002</v>
      </c>
      <c r="AF1386" s="4">
        <v>0.47</v>
      </c>
      <c r="AG1386">
        <f t="shared" si="135"/>
        <v>5301.06</v>
      </c>
      <c r="AH1386" s="4">
        <v>0.18</v>
      </c>
      <c r="AI1386">
        <f t="shared" si="130"/>
        <v>6255.25</v>
      </c>
      <c r="AJ1386" s="4">
        <v>0.15</v>
      </c>
      <c r="AK1386">
        <f t="shared" si="131"/>
        <v>938.29</v>
      </c>
      <c r="AL1386">
        <f t="shared" si="132"/>
        <v>7193.54</v>
      </c>
      <c r="AM1386">
        <f t="shared" si="133"/>
        <v>2808.46</v>
      </c>
      <c r="AN1386" s="4">
        <f t="shared" si="134"/>
        <v>0.280789842031594</v>
      </c>
      <c r="AO1386" t="s">
        <v>221</v>
      </c>
      <c r="AQ1386" t="s">
        <v>217</v>
      </c>
    </row>
    <row r="1387" ht="15.75" customHeight="1" spans="1:43">
      <c r="A1387" t="s">
        <v>2224</v>
      </c>
      <c r="B1387" t="s">
        <v>46</v>
      </c>
      <c r="C1387" t="s">
        <v>2210</v>
      </c>
      <c r="D1387" t="s">
        <v>2211</v>
      </c>
      <c r="E1387" t="s">
        <v>2212</v>
      </c>
      <c r="F1387" t="s">
        <v>2225</v>
      </c>
      <c r="H1387" t="s">
        <v>319</v>
      </c>
      <c r="I1387" t="s">
        <v>327</v>
      </c>
      <c r="J1387" t="s">
        <v>124</v>
      </c>
      <c r="K1387" t="s">
        <v>143</v>
      </c>
      <c r="Q1387" t="s">
        <v>57</v>
      </c>
      <c r="Y1387" t="s">
        <v>2226</v>
      </c>
      <c r="Z1387">
        <v>3209</v>
      </c>
      <c r="AE1387">
        <v>489</v>
      </c>
      <c r="AF1387" s="4">
        <v>0.4</v>
      </c>
      <c r="AG1387">
        <f t="shared" si="135"/>
        <v>293.4</v>
      </c>
      <c r="AH1387" s="4">
        <v>0.18</v>
      </c>
      <c r="AI1387">
        <f t="shared" si="130"/>
        <v>346.21</v>
      </c>
      <c r="AJ1387" s="4">
        <v>0.15</v>
      </c>
      <c r="AK1387">
        <f t="shared" si="131"/>
        <v>51.93</v>
      </c>
      <c r="AL1387">
        <f t="shared" si="132"/>
        <v>398.14</v>
      </c>
      <c r="AM1387">
        <f t="shared" si="133"/>
        <v>90.86</v>
      </c>
      <c r="AN1387" s="4">
        <f t="shared" si="134"/>
        <v>0.185807770961145</v>
      </c>
      <c r="AO1387" t="s">
        <v>221</v>
      </c>
      <c r="AQ1387" t="s">
        <v>217</v>
      </c>
    </row>
    <row r="1388" ht="15.75" customHeight="1" spans="1:43">
      <c r="A1388" t="s">
        <v>2224</v>
      </c>
      <c r="B1388" t="s">
        <v>67</v>
      </c>
      <c r="C1388" t="s">
        <v>2210</v>
      </c>
      <c r="D1388" t="s">
        <v>2211</v>
      </c>
      <c r="E1388" t="s">
        <v>2212</v>
      </c>
      <c r="F1388" t="s">
        <v>2225</v>
      </c>
      <c r="H1388" t="s">
        <v>319</v>
      </c>
      <c r="I1388" t="s">
        <v>2215</v>
      </c>
      <c r="J1388" t="s">
        <v>124</v>
      </c>
      <c r="K1388" t="s">
        <v>143</v>
      </c>
      <c r="Q1388" t="s">
        <v>57</v>
      </c>
      <c r="Y1388" t="s">
        <v>2226</v>
      </c>
      <c r="Z1388">
        <v>3209</v>
      </c>
      <c r="AE1388">
        <v>1885</v>
      </c>
      <c r="AF1388" s="4">
        <v>0.4</v>
      </c>
      <c r="AG1388">
        <f t="shared" si="135"/>
        <v>1131</v>
      </c>
      <c r="AH1388" s="4">
        <v>0.18</v>
      </c>
      <c r="AI1388">
        <f t="shared" si="130"/>
        <v>1334.58</v>
      </c>
      <c r="AJ1388" s="4">
        <v>0.15</v>
      </c>
      <c r="AK1388">
        <f t="shared" si="131"/>
        <v>200.19</v>
      </c>
      <c r="AL1388">
        <f t="shared" si="132"/>
        <v>1534.77</v>
      </c>
      <c r="AM1388">
        <f t="shared" si="133"/>
        <v>350.23</v>
      </c>
      <c r="AN1388" s="4">
        <f t="shared" si="134"/>
        <v>0.185798408488064</v>
      </c>
      <c r="AO1388" t="s">
        <v>221</v>
      </c>
      <c r="AQ1388" t="s">
        <v>217</v>
      </c>
    </row>
    <row r="1389" ht="15.75" customHeight="1" spans="1:43">
      <c r="A1389" t="s">
        <v>2224</v>
      </c>
      <c r="B1389" t="s">
        <v>71</v>
      </c>
      <c r="C1389" t="s">
        <v>2210</v>
      </c>
      <c r="D1389" t="s">
        <v>2211</v>
      </c>
      <c r="E1389" t="s">
        <v>2212</v>
      </c>
      <c r="F1389" t="s">
        <v>2225</v>
      </c>
      <c r="H1389" t="s">
        <v>319</v>
      </c>
      <c r="I1389" t="s">
        <v>2216</v>
      </c>
      <c r="J1389" t="s">
        <v>124</v>
      </c>
      <c r="K1389" t="s">
        <v>143</v>
      </c>
      <c r="Q1389" t="s">
        <v>57</v>
      </c>
      <c r="Y1389" t="s">
        <v>2226</v>
      </c>
      <c r="Z1389">
        <v>3209</v>
      </c>
      <c r="AE1389">
        <v>4550</v>
      </c>
      <c r="AF1389" s="4">
        <v>0.4</v>
      </c>
      <c r="AG1389">
        <f t="shared" si="135"/>
        <v>2730</v>
      </c>
      <c r="AH1389" s="4">
        <v>0.18</v>
      </c>
      <c r="AI1389">
        <f t="shared" si="130"/>
        <v>3221.4</v>
      </c>
      <c r="AJ1389" s="4">
        <v>0.15</v>
      </c>
      <c r="AK1389">
        <f t="shared" si="131"/>
        <v>483.21</v>
      </c>
      <c r="AL1389">
        <f t="shared" si="132"/>
        <v>3704.61</v>
      </c>
      <c r="AM1389">
        <f t="shared" si="133"/>
        <v>845.39</v>
      </c>
      <c r="AN1389" s="4">
        <f t="shared" si="134"/>
        <v>0.1858</v>
      </c>
      <c r="AO1389" t="s">
        <v>221</v>
      </c>
      <c r="AQ1389" t="s">
        <v>217</v>
      </c>
    </row>
    <row r="1390" ht="15.75" customHeight="1" spans="1:43">
      <c r="A1390" t="s">
        <v>2224</v>
      </c>
      <c r="B1390" t="s">
        <v>75</v>
      </c>
      <c r="C1390" t="s">
        <v>2210</v>
      </c>
      <c r="D1390" t="s">
        <v>2211</v>
      </c>
      <c r="E1390" t="s">
        <v>2212</v>
      </c>
      <c r="F1390" t="s">
        <v>2225</v>
      </c>
      <c r="H1390" t="s">
        <v>319</v>
      </c>
      <c r="I1390" t="s">
        <v>2217</v>
      </c>
      <c r="J1390" t="s">
        <v>124</v>
      </c>
      <c r="K1390" t="s">
        <v>143</v>
      </c>
      <c r="Q1390" t="s">
        <v>57</v>
      </c>
      <c r="Y1390" t="s">
        <v>2226</v>
      </c>
      <c r="Z1390">
        <v>3209</v>
      </c>
      <c r="AE1390">
        <v>8750</v>
      </c>
      <c r="AF1390" s="4">
        <v>0.4</v>
      </c>
      <c r="AG1390">
        <f t="shared" si="135"/>
        <v>5250</v>
      </c>
      <c r="AH1390" s="4">
        <v>0.18</v>
      </c>
      <c r="AI1390">
        <f t="shared" si="130"/>
        <v>6195</v>
      </c>
      <c r="AJ1390" s="4">
        <v>0.15</v>
      </c>
      <c r="AK1390">
        <f t="shared" si="131"/>
        <v>929.25</v>
      </c>
      <c r="AL1390">
        <f t="shared" si="132"/>
        <v>7124.25</v>
      </c>
      <c r="AM1390">
        <f t="shared" si="133"/>
        <v>1625.75</v>
      </c>
      <c r="AN1390" s="4">
        <f t="shared" si="134"/>
        <v>0.1858</v>
      </c>
      <c r="AO1390" t="s">
        <v>221</v>
      </c>
      <c r="AQ1390" t="s">
        <v>217</v>
      </c>
    </row>
    <row r="1391" ht="15.75" customHeight="1" spans="1:43">
      <c r="A1391" t="s">
        <v>2227</v>
      </c>
      <c r="B1391" t="s">
        <v>46</v>
      </c>
      <c r="C1391" t="s">
        <v>2210</v>
      </c>
      <c r="D1391" t="s">
        <v>2211</v>
      </c>
      <c r="E1391" t="s">
        <v>2212</v>
      </c>
      <c r="F1391" t="s">
        <v>2228</v>
      </c>
      <c r="H1391" t="s">
        <v>319</v>
      </c>
      <c r="I1391" t="s">
        <v>327</v>
      </c>
      <c r="J1391" t="s">
        <v>124</v>
      </c>
      <c r="K1391" t="s">
        <v>143</v>
      </c>
      <c r="Q1391" t="s">
        <v>57</v>
      </c>
      <c r="Y1391" t="s">
        <v>2229</v>
      </c>
      <c r="Z1391">
        <v>3209</v>
      </c>
      <c r="AE1391">
        <v>564</v>
      </c>
      <c r="AF1391" s="4">
        <v>0.35</v>
      </c>
      <c r="AG1391">
        <f t="shared" si="135"/>
        <v>366.6</v>
      </c>
      <c r="AH1391" s="4">
        <v>0.18</v>
      </c>
      <c r="AI1391">
        <f t="shared" si="130"/>
        <v>432.59</v>
      </c>
      <c r="AJ1391" s="4">
        <v>0.15</v>
      </c>
      <c r="AK1391">
        <f t="shared" si="131"/>
        <v>64.89</v>
      </c>
      <c r="AL1391">
        <f t="shared" si="132"/>
        <v>497.48</v>
      </c>
      <c r="AM1391">
        <f t="shared" si="133"/>
        <v>66.52</v>
      </c>
      <c r="AN1391" s="4">
        <f t="shared" si="134"/>
        <v>0.117943262411348</v>
      </c>
      <c r="AO1391" t="s">
        <v>221</v>
      </c>
      <c r="AQ1391" t="s">
        <v>217</v>
      </c>
    </row>
    <row r="1392" ht="15.75" customHeight="1" spans="1:43">
      <c r="A1392" t="s">
        <v>2227</v>
      </c>
      <c r="B1392" t="s">
        <v>67</v>
      </c>
      <c r="C1392" t="s">
        <v>2210</v>
      </c>
      <c r="D1392" t="s">
        <v>2211</v>
      </c>
      <c r="E1392" t="s">
        <v>2212</v>
      </c>
      <c r="F1392" t="s">
        <v>2228</v>
      </c>
      <c r="H1392" t="s">
        <v>319</v>
      </c>
      <c r="I1392" t="s">
        <v>2215</v>
      </c>
      <c r="J1392" t="s">
        <v>124</v>
      </c>
      <c r="K1392" t="s">
        <v>143</v>
      </c>
      <c r="Q1392" t="s">
        <v>57</v>
      </c>
      <c r="Y1392" t="s">
        <v>2229</v>
      </c>
      <c r="Z1392">
        <v>3209</v>
      </c>
      <c r="AE1392">
        <v>2180</v>
      </c>
      <c r="AF1392" s="4">
        <v>0.35</v>
      </c>
      <c r="AG1392">
        <f t="shared" si="135"/>
        <v>1417</v>
      </c>
      <c r="AH1392" s="4">
        <v>0.18</v>
      </c>
      <c r="AI1392">
        <f t="shared" si="130"/>
        <v>1672.06</v>
      </c>
      <c r="AJ1392" s="4">
        <v>0.15</v>
      </c>
      <c r="AK1392">
        <f t="shared" si="131"/>
        <v>250.81</v>
      </c>
      <c r="AL1392">
        <f t="shared" si="132"/>
        <v>1922.87</v>
      </c>
      <c r="AM1392">
        <f t="shared" si="133"/>
        <v>257.13</v>
      </c>
      <c r="AN1392" s="4">
        <f t="shared" si="134"/>
        <v>0.117949541284404</v>
      </c>
      <c r="AO1392" t="s">
        <v>221</v>
      </c>
      <c r="AQ1392" t="s">
        <v>217</v>
      </c>
    </row>
    <row r="1393" ht="15.75" customHeight="1" spans="1:43">
      <c r="A1393" t="s">
        <v>2227</v>
      </c>
      <c r="B1393" t="s">
        <v>71</v>
      </c>
      <c r="C1393" t="s">
        <v>2210</v>
      </c>
      <c r="D1393" t="s">
        <v>2211</v>
      </c>
      <c r="E1393" t="s">
        <v>2212</v>
      </c>
      <c r="F1393" t="s">
        <v>2228</v>
      </c>
      <c r="H1393" t="s">
        <v>319</v>
      </c>
      <c r="I1393" t="s">
        <v>2217</v>
      </c>
      <c r="J1393" t="s">
        <v>124</v>
      </c>
      <c r="K1393" t="s">
        <v>143</v>
      </c>
      <c r="Q1393" t="s">
        <v>57</v>
      </c>
      <c r="Y1393" t="s">
        <v>2229</v>
      </c>
      <c r="Z1393">
        <v>3209</v>
      </c>
      <c r="AE1393">
        <v>10060</v>
      </c>
      <c r="AF1393" s="4">
        <v>0.33</v>
      </c>
      <c r="AG1393">
        <f t="shared" si="135"/>
        <v>6740.2</v>
      </c>
      <c r="AH1393" s="4">
        <v>0.18</v>
      </c>
      <c r="AI1393">
        <f t="shared" si="130"/>
        <v>7953.44</v>
      </c>
      <c r="AJ1393" s="4">
        <v>0.15</v>
      </c>
      <c r="AK1393">
        <f t="shared" si="131"/>
        <v>1193.02</v>
      </c>
      <c r="AL1393">
        <f t="shared" si="132"/>
        <v>9146.46</v>
      </c>
      <c r="AM1393">
        <f t="shared" si="133"/>
        <v>913.540000000001</v>
      </c>
      <c r="AN1393" s="4">
        <f t="shared" si="134"/>
        <v>0.0908091451292247</v>
      </c>
      <c r="AO1393" t="s">
        <v>221</v>
      </c>
      <c r="AQ1393" t="s">
        <v>217</v>
      </c>
    </row>
    <row r="1394" ht="15.75" customHeight="1" spans="1:43">
      <c r="A1394" t="s">
        <v>2230</v>
      </c>
      <c r="B1394" t="s">
        <v>46</v>
      </c>
      <c r="C1394" t="s">
        <v>2210</v>
      </c>
      <c r="D1394" t="s">
        <v>2211</v>
      </c>
      <c r="E1394" t="s">
        <v>2212</v>
      </c>
      <c r="F1394" t="s">
        <v>2231</v>
      </c>
      <c r="H1394" t="s">
        <v>319</v>
      </c>
      <c r="I1394" t="s">
        <v>2232</v>
      </c>
      <c r="J1394" t="s">
        <v>124</v>
      </c>
      <c r="K1394" t="s">
        <v>143</v>
      </c>
      <c r="Q1394" t="s">
        <v>57</v>
      </c>
      <c r="Y1394" t="s">
        <v>2233</v>
      </c>
      <c r="Z1394">
        <v>3209</v>
      </c>
      <c r="AE1394">
        <v>300</v>
      </c>
      <c r="AF1394" s="4">
        <v>0.37</v>
      </c>
      <c r="AG1394">
        <f t="shared" si="135"/>
        <v>189</v>
      </c>
      <c r="AH1394" s="4">
        <v>0.18</v>
      </c>
      <c r="AI1394">
        <f t="shared" si="130"/>
        <v>223.02</v>
      </c>
      <c r="AJ1394" s="4">
        <v>0.15</v>
      </c>
      <c r="AK1394">
        <f t="shared" si="131"/>
        <v>33.45</v>
      </c>
      <c r="AL1394">
        <f t="shared" si="132"/>
        <v>256.47</v>
      </c>
      <c r="AM1394">
        <f t="shared" si="133"/>
        <v>43.53</v>
      </c>
      <c r="AN1394" s="4">
        <f t="shared" si="134"/>
        <v>0.1451</v>
      </c>
      <c r="AO1394" t="s">
        <v>221</v>
      </c>
      <c r="AQ1394" t="s">
        <v>217</v>
      </c>
    </row>
    <row r="1395" ht="15.75" customHeight="1" spans="1:43">
      <c r="A1395" t="s">
        <v>2230</v>
      </c>
      <c r="B1395" t="s">
        <v>67</v>
      </c>
      <c r="C1395" t="s">
        <v>2210</v>
      </c>
      <c r="D1395" t="s">
        <v>2211</v>
      </c>
      <c r="E1395" t="s">
        <v>2212</v>
      </c>
      <c r="F1395" t="s">
        <v>2231</v>
      </c>
      <c r="H1395" t="s">
        <v>319</v>
      </c>
      <c r="I1395" t="s">
        <v>327</v>
      </c>
      <c r="J1395" t="s">
        <v>124</v>
      </c>
      <c r="K1395" t="s">
        <v>143</v>
      </c>
      <c r="Q1395" t="s">
        <v>57</v>
      </c>
      <c r="Y1395" t="s">
        <v>2233</v>
      </c>
      <c r="Z1395">
        <v>3209</v>
      </c>
      <c r="AE1395">
        <v>850</v>
      </c>
      <c r="AF1395" s="4">
        <v>0.41</v>
      </c>
      <c r="AG1395">
        <f t="shared" si="135"/>
        <v>501.5</v>
      </c>
      <c r="AH1395" s="4">
        <v>0.18</v>
      </c>
      <c r="AI1395">
        <f t="shared" si="130"/>
        <v>591.77</v>
      </c>
      <c r="AJ1395" s="4">
        <v>0.15</v>
      </c>
      <c r="AK1395">
        <f t="shared" si="131"/>
        <v>88.77</v>
      </c>
      <c r="AL1395">
        <f t="shared" si="132"/>
        <v>680.54</v>
      </c>
      <c r="AM1395">
        <f t="shared" si="133"/>
        <v>169.46</v>
      </c>
      <c r="AN1395" s="4">
        <f t="shared" si="134"/>
        <v>0.199364705882353</v>
      </c>
      <c r="AO1395" t="s">
        <v>221</v>
      </c>
      <c r="AQ1395" t="s">
        <v>217</v>
      </c>
    </row>
    <row r="1396" ht="15.75" customHeight="1" spans="1:43">
      <c r="A1396" t="s">
        <v>2230</v>
      </c>
      <c r="B1396" t="s">
        <v>71</v>
      </c>
      <c r="C1396" t="s">
        <v>2210</v>
      </c>
      <c r="D1396" t="s">
        <v>2211</v>
      </c>
      <c r="E1396" t="s">
        <v>2212</v>
      </c>
      <c r="F1396" t="s">
        <v>2231</v>
      </c>
      <c r="H1396" t="s">
        <v>319</v>
      </c>
      <c r="I1396" t="s">
        <v>2215</v>
      </c>
      <c r="J1396" t="s">
        <v>124</v>
      </c>
      <c r="K1396" t="s">
        <v>143</v>
      </c>
      <c r="Q1396" t="s">
        <v>57</v>
      </c>
      <c r="Y1396" t="s">
        <v>2233</v>
      </c>
      <c r="Z1396">
        <v>3209</v>
      </c>
      <c r="AE1396">
        <v>3170</v>
      </c>
      <c r="AF1396" s="4">
        <v>0.4</v>
      </c>
      <c r="AG1396">
        <f t="shared" si="135"/>
        <v>1902</v>
      </c>
      <c r="AH1396" s="4">
        <v>0.18</v>
      </c>
      <c r="AI1396">
        <f t="shared" si="130"/>
        <v>2244.36</v>
      </c>
      <c r="AJ1396" s="4">
        <v>0.15</v>
      </c>
      <c r="AK1396">
        <f t="shared" si="131"/>
        <v>336.65</v>
      </c>
      <c r="AL1396">
        <f t="shared" si="132"/>
        <v>2581.01</v>
      </c>
      <c r="AM1396">
        <f t="shared" si="133"/>
        <v>588.99</v>
      </c>
      <c r="AN1396" s="4">
        <f t="shared" si="134"/>
        <v>0.185801261829653</v>
      </c>
      <c r="AO1396" t="s">
        <v>221</v>
      </c>
      <c r="AQ1396" t="s">
        <v>217</v>
      </c>
    </row>
    <row r="1397" ht="15.75" customHeight="1" spans="1:43">
      <c r="A1397" t="s">
        <v>2230</v>
      </c>
      <c r="B1397" t="s">
        <v>75</v>
      </c>
      <c r="C1397" t="s">
        <v>2210</v>
      </c>
      <c r="D1397" t="s">
        <v>2211</v>
      </c>
      <c r="E1397" t="s">
        <v>2212</v>
      </c>
      <c r="F1397" t="s">
        <v>2231</v>
      </c>
      <c r="H1397" t="s">
        <v>319</v>
      </c>
      <c r="I1397" t="s">
        <v>2216</v>
      </c>
      <c r="J1397" t="s">
        <v>124</v>
      </c>
      <c r="K1397" t="s">
        <v>143</v>
      </c>
      <c r="Q1397" t="s">
        <v>57</v>
      </c>
      <c r="Y1397" t="s">
        <v>2233</v>
      </c>
      <c r="Z1397">
        <v>3209</v>
      </c>
      <c r="AE1397">
        <v>7750</v>
      </c>
      <c r="AF1397" s="4">
        <v>0.42</v>
      </c>
      <c r="AG1397">
        <f t="shared" si="135"/>
        <v>4495</v>
      </c>
      <c r="AH1397" s="4">
        <v>0.18</v>
      </c>
      <c r="AI1397">
        <f t="shared" si="130"/>
        <v>5304.1</v>
      </c>
      <c r="AJ1397" s="4">
        <v>0.15</v>
      </c>
      <c r="AK1397">
        <f t="shared" si="131"/>
        <v>795.62</v>
      </c>
      <c r="AL1397">
        <f t="shared" si="132"/>
        <v>6099.72</v>
      </c>
      <c r="AM1397">
        <f t="shared" si="133"/>
        <v>1650.28</v>
      </c>
      <c r="AN1397" s="4">
        <f t="shared" si="134"/>
        <v>0.21293935483871</v>
      </c>
      <c r="AO1397" t="s">
        <v>221</v>
      </c>
      <c r="AQ1397" t="s">
        <v>217</v>
      </c>
    </row>
    <row r="1398" ht="15.75" customHeight="1" spans="1:43">
      <c r="A1398" t="s">
        <v>2230</v>
      </c>
      <c r="B1398" t="s">
        <v>79</v>
      </c>
      <c r="C1398" t="s">
        <v>2210</v>
      </c>
      <c r="D1398" t="s">
        <v>2211</v>
      </c>
      <c r="E1398" t="s">
        <v>2212</v>
      </c>
      <c r="F1398" t="s">
        <v>2231</v>
      </c>
      <c r="H1398" t="s">
        <v>319</v>
      </c>
      <c r="I1398" t="s">
        <v>2217</v>
      </c>
      <c r="J1398" t="s">
        <v>124</v>
      </c>
      <c r="K1398" t="s">
        <v>143</v>
      </c>
      <c r="Q1398" t="s">
        <v>57</v>
      </c>
      <c r="Y1398" t="s">
        <v>2233</v>
      </c>
      <c r="Z1398">
        <v>3209</v>
      </c>
      <c r="AE1398">
        <v>15210</v>
      </c>
      <c r="AF1398" s="4">
        <v>0.42</v>
      </c>
      <c r="AG1398">
        <f t="shared" si="135"/>
        <v>8821.8</v>
      </c>
      <c r="AH1398" s="4">
        <v>0.18</v>
      </c>
      <c r="AI1398">
        <f t="shared" si="130"/>
        <v>10409.72</v>
      </c>
      <c r="AJ1398" s="4">
        <v>0.15</v>
      </c>
      <c r="AK1398">
        <f t="shared" si="131"/>
        <v>1561.46</v>
      </c>
      <c r="AL1398">
        <f t="shared" si="132"/>
        <v>11971.18</v>
      </c>
      <c r="AM1398">
        <f t="shared" si="133"/>
        <v>3238.82</v>
      </c>
      <c r="AN1398" s="4">
        <f t="shared" si="134"/>
        <v>0.212940170940171</v>
      </c>
      <c r="AO1398" t="s">
        <v>221</v>
      </c>
      <c r="AQ1398" t="s">
        <v>217</v>
      </c>
    </row>
    <row r="1399" ht="15.75" customHeight="1" spans="1:43">
      <c r="A1399" t="s">
        <v>2234</v>
      </c>
      <c r="B1399" t="s">
        <v>46</v>
      </c>
      <c r="C1399" t="s">
        <v>2210</v>
      </c>
      <c r="D1399" t="s">
        <v>2211</v>
      </c>
      <c r="E1399" t="s">
        <v>2212</v>
      </c>
      <c r="F1399" t="s">
        <v>2235</v>
      </c>
      <c r="H1399" t="s">
        <v>319</v>
      </c>
      <c r="I1399" t="s">
        <v>327</v>
      </c>
      <c r="J1399" t="s">
        <v>124</v>
      </c>
      <c r="K1399" t="s">
        <v>143</v>
      </c>
      <c r="Q1399" t="s">
        <v>57</v>
      </c>
      <c r="Y1399" t="s">
        <v>2236</v>
      </c>
      <c r="Z1399">
        <v>3209</v>
      </c>
      <c r="AE1399">
        <v>889</v>
      </c>
      <c r="AF1399" s="4">
        <v>0.3</v>
      </c>
      <c r="AG1399">
        <f t="shared" si="135"/>
        <v>622.3</v>
      </c>
      <c r="AH1399" s="4">
        <v>0.18</v>
      </c>
      <c r="AI1399">
        <f t="shared" si="130"/>
        <v>734.31</v>
      </c>
      <c r="AJ1399" s="4">
        <v>0.15</v>
      </c>
      <c r="AK1399">
        <f t="shared" si="131"/>
        <v>110.15</v>
      </c>
      <c r="AL1399">
        <f t="shared" si="132"/>
        <v>844.46</v>
      </c>
      <c r="AM1399">
        <f t="shared" si="133"/>
        <v>44.5400000000001</v>
      </c>
      <c r="AN1399" s="4">
        <f t="shared" si="134"/>
        <v>0.0501012373453319</v>
      </c>
      <c r="AO1399" t="s">
        <v>221</v>
      </c>
      <c r="AQ1399" t="s">
        <v>217</v>
      </c>
    </row>
    <row r="1400" ht="15.75" customHeight="1" spans="1:43">
      <c r="A1400" t="s">
        <v>2234</v>
      </c>
      <c r="B1400" t="s">
        <v>67</v>
      </c>
      <c r="C1400" t="s">
        <v>2210</v>
      </c>
      <c r="D1400" t="s">
        <v>2211</v>
      </c>
      <c r="E1400" t="s">
        <v>2212</v>
      </c>
      <c r="F1400" t="s">
        <v>2235</v>
      </c>
      <c r="H1400" t="s">
        <v>319</v>
      </c>
      <c r="I1400" t="s">
        <v>2215</v>
      </c>
      <c r="J1400" t="s">
        <v>124</v>
      </c>
      <c r="K1400" t="s">
        <v>143</v>
      </c>
      <c r="Q1400" t="s">
        <v>57</v>
      </c>
      <c r="Y1400" t="s">
        <v>2236</v>
      </c>
      <c r="Z1400">
        <v>3209</v>
      </c>
      <c r="AE1400">
        <v>3480</v>
      </c>
      <c r="AF1400" s="4">
        <v>0.28</v>
      </c>
      <c r="AG1400">
        <f t="shared" si="135"/>
        <v>2505.6</v>
      </c>
      <c r="AH1400" s="4">
        <v>0.18</v>
      </c>
      <c r="AI1400">
        <f t="shared" si="130"/>
        <v>2956.61</v>
      </c>
      <c r="AJ1400" s="4">
        <v>0.15</v>
      </c>
      <c r="AK1400">
        <f t="shared" si="131"/>
        <v>443.49</v>
      </c>
      <c r="AL1400">
        <f t="shared" si="132"/>
        <v>3400.1</v>
      </c>
      <c r="AM1400">
        <f t="shared" si="133"/>
        <v>79.8999999999996</v>
      </c>
      <c r="AN1400" s="4">
        <f t="shared" si="134"/>
        <v>0.0229597701149424</v>
      </c>
      <c r="AO1400" t="s">
        <v>221</v>
      </c>
      <c r="AQ1400" t="s">
        <v>217</v>
      </c>
    </row>
    <row r="1401" ht="15.75" customHeight="1" spans="1:43">
      <c r="A1401" t="s">
        <v>2234</v>
      </c>
      <c r="B1401" t="s">
        <v>71</v>
      </c>
      <c r="C1401" t="s">
        <v>2210</v>
      </c>
      <c r="D1401" t="s">
        <v>2211</v>
      </c>
      <c r="E1401" t="s">
        <v>2212</v>
      </c>
      <c r="F1401" t="s">
        <v>2235</v>
      </c>
      <c r="H1401" t="s">
        <v>319</v>
      </c>
      <c r="I1401" t="s">
        <v>2216</v>
      </c>
      <c r="J1401" t="s">
        <v>124</v>
      </c>
      <c r="K1401" t="s">
        <v>143</v>
      </c>
      <c r="Q1401" t="s">
        <v>57</v>
      </c>
      <c r="Y1401" t="s">
        <v>2236</v>
      </c>
      <c r="Z1401">
        <v>3209</v>
      </c>
      <c r="AE1401">
        <v>8530</v>
      </c>
      <c r="AF1401" s="4">
        <v>0.28</v>
      </c>
      <c r="AG1401">
        <f t="shared" si="135"/>
        <v>6141.6</v>
      </c>
      <c r="AH1401" s="4">
        <v>0.18</v>
      </c>
      <c r="AI1401">
        <f t="shared" si="130"/>
        <v>7247.09</v>
      </c>
      <c r="AJ1401" s="4">
        <v>0.15</v>
      </c>
      <c r="AK1401">
        <f t="shared" si="131"/>
        <v>1087.06</v>
      </c>
      <c r="AL1401">
        <f t="shared" si="132"/>
        <v>8334.15</v>
      </c>
      <c r="AM1401">
        <f t="shared" si="133"/>
        <v>195.85</v>
      </c>
      <c r="AN1401" s="4">
        <f t="shared" si="134"/>
        <v>0.0229601406799531</v>
      </c>
      <c r="AO1401" t="s">
        <v>221</v>
      </c>
      <c r="AQ1401" t="s">
        <v>217</v>
      </c>
    </row>
    <row r="1402" ht="15.75" customHeight="1" spans="1:43">
      <c r="A1402" t="s">
        <v>2234</v>
      </c>
      <c r="B1402" t="s">
        <v>75</v>
      </c>
      <c r="C1402" t="s">
        <v>2210</v>
      </c>
      <c r="D1402" t="s">
        <v>2211</v>
      </c>
      <c r="E1402" t="s">
        <v>2212</v>
      </c>
      <c r="F1402" t="s">
        <v>2235</v>
      </c>
      <c r="H1402" t="s">
        <v>319</v>
      </c>
      <c r="I1402" t="s">
        <v>2217</v>
      </c>
      <c r="J1402" t="s">
        <v>124</v>
      </c>
      <c r="K1402" t="s">
        <v>143</v>
      </c>
      <c r="Q1402" t="s">
        <v>57</v>
      </c>
      <c r="Y1402" t="s">
        <v>2236</v>
      </c>
      <c r="Z1402">
        <v>3209</v>
      </c>
      <c r="AE1402">
        <v>16730</v>
      </c>
      <c r="AF1402" s="4">
        <v>0.28</v>
      </c>
      <c r="AG1402">
        <f t="shared" si="135"/>
        <v>12045.6</v>
      </c>
      <c r="AH1402" s="4">
        <v>0.18</v>
      </c>
      <c r="AI1402">
        <f t="shared" si="130"/>
        <v>14213.81</v>
      </c>
      <c r="AJ1402" s="4">
        <v>0.15</v>
      </c>
      <c r="AK1402">
        <f t="shared" si="131"/>
        <v>2132.07</v>
      </c>
      <c r="AL1402">
        <f t="shared" si="132"/>
        <v>16345.88</v>
      </c>
      <c r="AM1402">
        <f t="shared" si="133"/>
        <v>384.120000000001</v>
      </c>
      <c r="AN1402" s="4">
        <f t="shared" si="134"/>
        <v>0.0229599521817096</v>
      </c>
      <c r="AO1402" t="s">
        <v>221</v>
      </c>
      <c r="AQ1402" t="s">
        <v>217</v>
      </c>
    </row>
    <row r="1403" ht="15.75" customHeight="1" spans="1:43">
      <c r="A1403" t="s">
        <v>2237</v>
      </c>
      <c r="B1403" t="s">
        <v>46</v>
      </c>
      <c r="C1403" t="s">
        <v>2210</v>
      </c>
      <c r="D1403" t="s">
        <v>2211</v>
      </c>
      <c r="E1403" t="s">
        <v>2212</v>
      </c>
      <c r="F1403" t="s">
        <v>2238</v>
      </c>
      <c r="H1403" t="s">
        <v>319</v>
      </c>
      <c r="I1403" t="s">
        <v>327</v>
      </c>
      <c r="J1403" t="s">
        <v>124</v>
      </c>
      <c r="K1403" t="s">
        <v>143</v>
      </c>
      <c r="Q1403" t="s">
        <v>57</v>
      </c>
      <c r="Y1403" t="s">
        <v>2239</v>
      </c>
      <c r="Z1403">
        <v>3209</v>
      </c>
      <c r="AE1403">
        <v>879</v>
      </c>
      <c r="AF1403" s="4">
        <v>0.33</v>
      </c>
      <c r="AG1403">
        <f t="shared" si="135"/>
        <v>588.93</v>
      </c>
      <c r="AH1403" s="4">
        <v>0.18</v>
      </c>
      <c r="AI1403">
        <f t="shared" si="130"/>
        <v>694.94</v>
      </c>
      <c r="AJ1403" s="4">
        <v>0.15</v>
      </c>
      <c r="AK1403">
        <f t="shared" si="131"/>
        <v>104.24</v>
      </c>
      <c r="AL1403">
        <f t="shared" si="132"/>
        <v>799.18</v>
      </c>
      <c r="AM1403">
        <f t="shared" si="133"/>
        <v>79.8199999999999</v>
      </c>
      <c r="AN1403" s="4">
        <f t="shared" si="134"/>
        <v>0.0908077360637087</v>
      </c>
      <c r="AO1403" t="s">
        <v>221</v>
      </c>
      <c r="AQ1403" t="s">
        <v>217</v>
      </c>
    </row>
    <row r="1404" ht="15.75" customHeight="1" spans="1:43">
      <c r="A1404" t="s">
        <v>2237</v>
      </c>
      <c r="B1404" t="s">
        <v>67</v>
      </c>
      <c r="C1404" t="s">
        <v>2210</v>
      </c>
      <c r="D1404" t="s">
        <v>2211</v>
      </c>
      <c r="E1404" t="s">
        <v>2212</v>
      </c>
      <c r="F1404" t="s">
        <v>2238</v>
      </c>
      <c r="H1404" t="s">
        <v>319</v>
      </c>
      <c r="I1404" t="s">
        <v>2215</v>
      </c>
      <c r="J1404" t="s">
        <v>124</v>
      </c>
      <c r="K1404" t="s">
        <v>143</v>
      </c>
      <c r="Q1404" t="s">
        <v>57</v>
      </c>
      <c r="Y1404" t="s">
        <v>2239</v>
      </c>
      <c r="Z1404">
        <v>3209</v>
      </c>
      <c r="AE1404">
        <v>3455</v>
      </c>
      <c r="AF1404" s="4">
        <v>0.28</v>
      </c>
      <c r="AG1404">
        <f t="shared" si="135"/>
        <v>2487.6</v>
      </c>
      <c r="AH1404" s="4">
        <v>0.18</v>
      </c>
      <c r="AI1404">
        <f t="shared" si="130"/>
        <v>2935.37</v>
      </c>
      <c r="AJ1404" s="4">
        <v>0.15</v>
      </c>
      <c r="AK1404">
        <f t="shared" si="131"/>
        <v>440.31</v>
      </c>
      <c r="AL1404">
        <f t="shared" si="132"/>
        <v>3375.68</v>
      </c>
      <c r="AM1404">
        <f t="shared" si="133"/>
        <v>79.3200000000002</v>
      </c>
      <c r="AN1404" s="4">
        <f t="shared" si="134"/>
        <v>0.0229580318379161</v>
      </c>
      <c r="AO1404" t="s">
        <v>221</v>
      </c>
      <c r="AQ1404" t="s">
        <v>217</v>
      </c>
    </row>
    <row r="1405" ht="15.75" customHeight="1" spans="1:43">
      <c r="A1405" t="s">
        <v>2237</v>
      </c>
      <c r="B1405" t="s">
        <v>71</v>
      </c>
      <c r="C1405" t="s">
        <v>2210</v>
      </c>
      <c r="D1405" t="s">
        <v>2211</v>
      </c>
      <c r="E1405" t="s">
        <v>2212</v>
      </c>
      <c r="F1405" t="s">
        <v>2238</v>
      </c>
      <c r="H1405" t="s">
        <v>319</v>
      </c>
      <c r="I1405" t="s">
        <v>2216</v>
      </c>
      <c r="J1405" t="s">
        <v>124</v>
      </c>
      <c r="K1405" t="s">
        <v>143</v>
      </c>
      <c r="Q1405" t="s">
        <v>57</v>
      </c>
      <c r="Y1405" t="s">
        <v>2239</v>
      </c>
      <c r="Z1405">
        <v>3209</v>
      </c>
      <c r="AE1405">
        <v>8440</v>
      </c>
      <c r="AF1405" s="4">
        <v>0.28</v>
      </c>
      <c r="AG1405">
        <f t="shared" si="135"/>
        <v>6076.8</v>
      </c>
      <c r="AH1405" s="4">
        <v>0.18</v>
      </c>
      <c r="AI1405">
        <f t="shared" si="130"/>
        <v>7170.62</v>
      </c>
      <c r="AJ1405" s="4">
        <v>0.15</v>
      </c>
      <c r="AK1405">
        <f t="shared" si="131"/>
        <v>1075.59</v>
      </c>
      <c r="AL1405">
        <f t="shared" si="132"/>
        <v>8246.21</v>
      </c>
      <c r="AM1405">
        <f t="shared" si="133"/>
        <v>193.790000000001</v>
      </c>
      <c r="AN1405" s="4">
        <f t="shared" si="134"/>
        <v>0.0229609004739338</v>
      </c>
      <c r="AO1405" t="s">
        <v>221</v>
      </c>
      <c r="AQ1405" t="s">
        <v>217</v>
      </c>
    </row>
    <row r="1406" ht="15.75" customHeight="1" spans="1:43">
      <c r="A1406" t="s">
        <v>2237</v>
      </c>
      <c r="B1406" t="s">
        <v>75</v>
      </c>
      <c r="C1406" t="s">
        <v>2210</v>
      </c>
      <c r="D1406" t="s">
        <v>2211</v>
      </c>
      <c r="E1406" t="s">
        <v>2212</v>
      </c>
      <c r="F1406" t="s">
        <v>2238</v>
      </c>
      <c r="H1406" t="s">
        <v>319</v>
      </c>
      <c r="I1406" t="s">
        <v>2217</v>
      </c>
      <c r="J1406" t="s">
        <v>124</v>
      </c>
      <c r="K1406" t="s">
        <v>143</v>
      </c>
      <c r="Q1406" t="s">
        <v>57</v>
      </c>
      <c r="Y1406" t="s">
        <v>2239</v>
      </c>
      <c r="Z1406">
        <v>3209</v>
      </c>
      <c r="AE1406">
        <v>16570</v>
      </c>
      <c r="AF1406" s="4">
        <v>0.28</v>
      </c>
      <c r="AG1406">
        <f t="shared" si="135"/>
        <v>11930.4</v>
      </c>
      <c r="AH1406" s="4">
        <v>0.18</v>
      </c>
      <c r="AI1406">
        <f t="shared" si="130"/>
        <v>14077.87</v>
      </c>
      <c r="AJ1406" s="4">
        <v>0.15</v>
      </c>
      <c r="AK1406">
        <f t="shared" si="131"/>
        <v>2111.68</v>
      </c>
      <c r="AL1406">
        <f t="shared" si="132"/>
        <v>16189.55</v>
      </c>
      <c r="AM1406">
        <f t="shared" si="133"/>
        <v>380.449999999999</v>
      </c>
      <c r="AN1406" s="4">
        <f t="shared" si="134"/>
        <v>0.0229601689800844</v>
      </c>
      <c r="AO1406" t="s">
        <v>221</v>
      </c>
      <c r="AQ1406" t="s">
        <v>217</v>
      </c>
    </row>
    <row r="1407" ht="15.75" customHeight="1" spans="1:43">
      <c r="A1407" t="s">
        <v>2240</v>
      </c>
      <c r="B1407" t="s">
        <v>46</v>
      </c>
      <c r="C1407" t="s">
        <v>2210</v>
      </c>
      <c r="D1407" t="s">
        <v>2211</v>
      </c>
      <c r="E1407" t="s">
        <v>2241</v>
      </c>
      <c r="F1407" t="s">
        <v>2242</v>
      </c>
      <c r="H1407" t="s">
        <v>319</v>
      </c>
      <c r="I1407" t="s">
        <v>327</v>
      </c>
      <c r="J1407" t="s">
        <v>124</v>
      </c>
      <c r="K1407" t="s">
        <v>143</v>
      </c>
      <c r="Q1407" t="s">
        <v>57</v>
      </c>
      <c r="Y1407" t="s">
        <v>2243</v>
      </c>
      <c r="Z1407">
        <v>3209</v>
      </c>
      <c r="AE1407">
        <v>690</v>
      </c>
      <c r="AF1407" s="4">
        <v>0.32</v>
      </c>
      <c r="AG1407">
        <f t="shared" si="135"/>
        <v>469.2</v>
      </c>
      <c r="AH1407" s="4">
        <v>0.18</v>
      </c>
      <c r="AI1407">
        <f t="shared" si="130"/>
        <v>553.66</v>
      </c>
      <c r="AJ1407" s="4">
        <v>0.15</v>
      </c>
      <c r="AK1407">
        <f t="shared" si="131"/>
        <v>83.05</v>
      </c>
      <c r="AL1407">
        <f t="shared" si="132"/>
        <v>636.71</v>
      </c>
      <c r="AM1407">
        <f t="shared" si="133"/>
        <v>53.2900000000001</v>
      </c>
      <c r="AN1407" s="4">
        <f t="shared" si="134"/>
        <v>0.0772318840579711</v>
      </c>
      <c r="AO1407" t="s">
        <v>221</v>
      </c>
      <c r="AQ1407" t="s">
        <v>217</v>
      </c>
    </row>
    <row r="1408" ht="15.75" customHeight="1" spans="1:43">
      <c r="A1408" t="s">
        <v>2240</v>
      </c>
      <c r="B1408" t="s">
        <v>67</v>
      </c>
      <c r="C1408" t="s">
        <v>2210</v>
      </c>
      <c r="D1408" t="s">
        <v>2211</v>
      </c>
      <c r="E1408" t="s">
        <v>2241</v>
      </c>
      <c r="F1408" t="s">
        <v>2242</v>
      </c>
      <c r="H1408" t="s">
        <v>319</v>
      </c>
      <c r="I1408" t="s">
        <v>2215</v>
      </c>
      <c r="J1408" t="s">
        <v>124</v>
      </c>
      <c r="K1408" t="s">
        <v>143</v>
      </c>
      <c r="Q1408" t="s">
        <v>57</v>
      </c>
      <c r="Y1408" t="s">
        <v>2243</v>
      </c>
      <c r="Z1408">
        <v>3209</v>
      </c>
      <c r="AE1408">
        <v>690</v>
      </c>
      <c r="AF1408" s="4">
        <v>0.32</v>
      </c>
      <c r="AG1408">
        <f t="shared" si="135"/>
        <v>469.2</v>
      </c>
      <c r="AH1408" s="4">
        <v>0.18</v>
      </c>
      <c r="AI1408">
        <f t="shared" si="130"/>
        <v>553.66</v>
      </c>
      <c r="AJ1408" s="4">
        <v>0.15</v>
      </c>
      <c r="AK1408">
        <f t="shared" si="131"/>
        <v>83.05</v>
      </c>
      <c r="AL1408">
        <f t="shared" si="132"/>
        <v>636.71</v>
      </c>
      <c r="AM1408">
        <f t="shared" si="133"/>
        <v>53.2900000000001</v>
      </c>
      <c r="AN1408" s="4">
        <f t="shared" si="134"/>
        <v>0.0772318840579711</v>
      </c>
      <c r="AO1408" t="s">
        <v>221</v>
      </c>
      <c r="AQ1408" t="s">
        <v>217</v>
      </c>
    </row>
    <row r="1409" ht="15.75" customHeight="1" spans="1:43">
      <c r="A1409" t="s">
        <v>2240</v>
      </c>
      <c r="B1409" t="s">
        <v>71</v>
      </c>
      <c r="C1409" t="s">
        <v>2210</v>
      </c>
      <c r="D1409" t="s">
        <v>2211</v>
      </c>
      <c r="E1409" t="s">
        <v>2241</v>
      </c>
      <c r="F1409" t="s">
        <v>2242</v>
      </c>
      <c r="H1409" t="s">
        <v>319</v>
      </c>
      <c r="I1409" t="s">
        <v>2216</v>
      </c>
      <c r="J1409" t="s">
        <v>124</v>
      </c>
      <c r="K1409" t="s">
        <v>143</v>
      </c>
      <c r="Q1409" t="s">
        <v>57</v>
      </c>
      <c r="Y1409" t="s">
        <v>2243</v>
      </c>
      <c r="Z1409">
        <v>3209</v>
      </c>
      <c r="AF1409" s="4">
        <v>0.33</v>
      </c>
      <c r="AG1409">
        <f t="shared" si="135"/>
        <v>0</v>
      </c>
      <c r="AH1409" s="4">
        <v>0.18</v>
      </c>
      <c r="AI1409">
        <f t="shared" si="130"/>
        <v>0</v>
      </c>
      <c r="AJ1409" s="4">
        <v>0.15</v>
      </c>
      <c r="AK1409">
        <f t="shared" si="131"/>
        <v>0</v>
      </c>
      <c r="AL1409">
        <f t="shared" si="132"/>
        <v>0</v>
      </c>
      <c r="AM1409">
        <f t="shared" si="133"/>
        <v>0</v>
      </c>
      <c r="AN1409" s="4" t="e">
        <f t="shared" si="134"/>
        <v>#DIV/0!</v>
      </c>
      <c r="AO1409" t="s">
        <v>221</v>
      </c>
      <c r="AQ1409" t="s">
        <v>217</v>
      </c>
    </row>
    <row r="1410" ht="15.75" customHeight="1" spans="1:43">
      <c r="A1410" t="s">
        <v>2240</v>
      </c>
      <c r="B1410" t="s">
        <v>75</v>
      </c>
      <c r="C1410" t="s">
        <v>2210</v>
      </c>
      <c r="D1410" t="s">
        <v>2211</v>
      </c>
      <c r="E1410" t="s">
        <v>2241</v>
      </c>
      <c r="F1410" t="s">
        <v>2242</v>
      </c>
      <c r="H1410" t="s">
        <v>319</v>
      </c>
      <c r="I1410" t="s">
        <v>2217</v>
      </c>
      <c r="J1410" t="s">
        <v>124</v>
      </c>
      <c r="K1410" t="s">
        <v>143</v>
      </c>
      <c r="Q1410" t="s">
        <v>57</v>
      </c>
      <c r="Y1410" t="s">
        <v>2243</v>
      </c>
      <c r="Z1410">
        <v>3209</v>
      </c>
      <c r="AF1410" s="4">
        <v>0.39</v>
      </c>
      <c r="AG1410">
        <f t="shared" si="135"/>
        <v>0</v>
      </c>
      <c r="AH1410" s="4">
        <v>0.18</v>
      </c>
      <c r="AI1410">
        <f t="shared" ref="AI1410:AI1473" si="136">ROUND(AG1410+(AG1410*AH1410),2)</f>
        <v>0</v>
      </c>
      <c r="AJ1410" s="4">
        <v>0.15</v>
      </c>
      <c r="AK1410">
        <f t="shared" ref="AK1410:AK1473" si="137">ROUND(AI1410*AJ1410,2)</f>
        <v>0</v>
      </c>
      <c r="AL1410">
        <f t="shared" ref="AL1410:AL1473" si="138">AI1410+AK1410</f>
        <v>0</v>
      </c>
      <c r="AM1410">
        <f t="shared" ref="AM1410:AM1473" si="139">AE1410-AL1410</f>
        <v>0</v>
      </c>
      <c r="AN1410" s="4" t="e">
        <f t="shared" ref="AN1410:AN1473" si="140">AM1410/AE1410</f>
        <v>#DIV/0!</v>
      </c>
      <c r="AO1410" t="s">
        <v>221</v>
      </c>
      <c r="AQ1410" t="s">
        <v>217</v>
      </c>
    </row>
    <row r="1411" ht="15.75" customHeight="1" spans="1:43">
      <c r="A1411" t="s">
        <v>2244</v>
      </c>
      <c r="B1411" t="s">
        <v>46</v>
      </c>
      <c r="C1411" t="s">
        <v>2210</v>
      </c>
      <c r="D1411" t="s">
        <v>2211</v>
      </c>
      <c r="E1411" t="s">
        <v>2241</v>
      </c>
      <c r="F1411" t="s">
        <v>2245</v>
      </c>
      <c r="H1411" t="s">
        <v>319</v>
      </c>
      <c r="I1411" t="s">
        <v>327</v>
      </c>
      <c r="J1411" t="s">
        <v>124</v>
      </c>
      <c r="K1411" t="s">
        <v>143</v>
      </c>
      <c r="Q1411" t="s">
        <v>57</v>
      </c>
      <c r="Y1411" t="s">
        <v>2246</v>
      </c>
      <c r="Z1411">
        <v>3209</v>
      </c>
      <c r="AE1411">
        <v>312</v>
      </c>
      <c r="AF1411" s="4">
        <v>0.33</v>
      </c>
      <c r="AG1411">
        <f t="shared" si="135"/>
        <v>209.04</v>
      </c>
      <c r="AH1411" s="4">
        <v>0.18</v>
      </c>
      <c r="AI1411">
        <f t="shared" si="136"/>
        <v>246.67</v>
      </c>
      <c r="AJ1411" s="4">
        <v>0.15</v>
      </c>
      <c r="AK1411">
        <f t="shared" si="137"/>
        <v>37</v>
      </c>
      <c r="AL1411">
        <f t="shared" si="138"/>
        <v>283.67</v>
      </c>
      <c r="AM1411">
        <f t="shared" si="139"/>
        <v>28.33</v>
      </c>
      <c r="AN1411" s="4">
        <f t="shared" si="140"/>
        <v>0.0908012820512822</v>
      </c>
      <c r="AO1411" t="s">
        <v>221</v>
      </c>
      <c r="AQ1411" t="s">
        <v>217</v>
      </c>
    </row>
    <row r="1412" ht="15.75" customHeight="1" spans="1:43">
      <c r="A1412" t="s">
        <v>2244</v>
      </c>
      <c r="B1412" t="s">
        <v>67</v>
      </c>
      <c r="C1412" t="s">
        <v>2210</v>
      </c>
      <c r="D1412" t="s">
        <v>2211</v>
      </c>
      <c r="E1412" t="s">
        <v>2241</v>
      </c>
      <c r="F1412" t="s">
        <v>2245</v>
      </c>
      <c r="H1412" t="s">
        <v>319</v>
      </c>
      <c r="I1412" t="s">
        <v>329</v>
      </c>
      <c r="J1412" t="s">
        <v>124</v>
      </c>
      <c r="K1412" t="s">
        <v>143</v>
      </c>
      <c r="Q1412" t="s">
        <v>57</v>
      </c>
      <c r="Y1412" t="s">
        <v>2246</v>
      </c>
      <c r="Z1412">
        <v>3209</v>
      </c>
      <c r="AE1412">
        <v>706</v>
      </c>
      <c r="AF1412" s="4">
        <v>0.4</v>
      </c>
      <c r="AG1412">
        <f t="shared" ref="AG1412:AG1475" si="141">ROUND(AE1412-(AE1412*AF1412),2)</f>
        <v>423.6</v>
      </c>
      <c r="AH1412" s="4">
        <v>0.18</v>
      </c>
      <c r="AI1412">
        <f t="shared" si="136"/>
        <v>499.85</v>
      </c>
      <c r="AJ1412" s="4">
        <v>0.15</v>
      </c>
      <c r="AK1412">
        <f t="shared" si="137"/>
        <v>74.98</v>
      </c>
      <c r="AL1412">
        <f t="shared" si="138"/>
        <v>574.83</v>
      </c>
      <c r="AM1412">
        <f t="shared" si="139"/>
        <v>131.17</v>
      </c>
      <c r="AN1412" s="4">
        <f t="shared" si="140"/>
        <v>0.185793201133144</v>
      </c>
      <c r="AO1412" t="s">
        <v>221</v>
      </c>
      <c r="AQ1412" t="s">
        <v>217</v>
      </c>
    </row>
    <row r="1413" ht="15.75" customHeight="1" spans="1:43">
      <c r="A1413" t="s">
        <v>2244</v>
      </c>
      <c r="B1413" t="s">
        <v>71</v>
      </c>
      <c r="C1413" t="s">
        <v>2210</v>
      </c>
      <c r="D1413" t="s">
        <v>2211</v>
      </c>
      <c r="E1413" t="s">
        <v>2241</v>
      </c>
      <c r="F1413" t="s">
        <v>2245</v>
      </c>
      <c r="H1413" t="s">
        <v>319</v>
      </c>
      <c r="I1413" t="s">
        <v>2216</v>
      </c>
      <c r="J1413" t="s">
        <v>124</v>
      </c>
      <c r="K1413" t="s">
        <v>143</v>
      </c>
      <c r="Q1413" t="s">
        <v>57</v>
      </c>
      <c r="Y1413" t="s">
        <v>2246</v>
      </c>
      <c r="Z1413">
        <v>3209</v>
      </c>
      <c r="AE1413">
        <v>1369</v>
      </c>
      <c r="AF1413" s="4">
        <v>0.4</v>
      </c>
      <c r="AG1413">
        <f t="shared" si="141"/>
        <v>821.4</v>
      </c>
      <c r="AH1413" s="4">
        <v>0.18</v>
      </c>
      <c r="AI1413">
        <f t="shared" si="136"/>
        <v>969.25</v>
      </c>
      <c r="AJ1413" s="4">
        <v>0.15</v>
      </c>
      <c r="AK1413">
        <f t="shared" si="137"/>
        <v>145.39</v>
      </c>
      <c r="AL1413">
        <f t="shared" si="138"/>
        <v>1114.64</v>
      </c>
      <c r="AM1413">
        <f t="shared" si="139"/>
        <v>254.36</v>
      </c>
      <c r="AN1413" s="4">
        <f t="shared" si="140"/>
        <v>0.185799853907962</v>
      </c>
      <c r="AO1413" t="s">
        <v>221</v>
      </c>
      <c r="AQ1413" t="s">
        <v>217</v>
      </c>
    </row>
    <row r="1414" ht="15.75" customHeight="1" spans="1:43">
      <c r="A1414" t="s">
        <v>2244</v>
      </c>
      <c r="B1414" t="s">
        <v>75</v>
      </c>
      <c r="C1414" t="s">
        <v>2210</v>
      </c>
      <c r="D1414" t="s">
        <v>2211</v>
      </c>
      <c r="E1414" t="s">
        <v>2241</v>
      </c>
      <c r="F1414" t="s">
        <v>2245</v>
      </c>
      <c r="H1414" t="s">
        <v>319</v>
      </c>
      <c r="I1414" t="s">
        <v>2217</v>
      </c>
      <c r="J1414" t="s">
        <v>124</v>
      </c>
      <c r="K1414" t="s">
        <v>143</v>
      </c>
      <c r="Q1414" t="s">
        <v>57</v>
      </c>
      <c r="Y1414" t="s">
        <v>2246</v>
      </c>
      <c r="Z1414">
        <v>3209</v>
      </c>
      <c r="AE1414">
        <v>2528</v>
      </c>
      <c r="AF1414" s="4">
        <v>0.39</v>
      </c>
      <c r="AG1414">
        <f t="shared" si="141"/>
        <v>1542.08</v>
      </c>
      <c r="AH1414" s="4">
        <v>0.18</v>
      </c>
      <c r="AI1414">
        <f t="shared" si="136"/>
        <v>1819.65</v>
      </c>
      <c r="AJ1414" s="4">
        <v>0.15</v>
      </c>
      <c r="AK1414">
        <f t="shared" si="137"/>
        <v>272.95</v>
      </c>
      <c r="AL1414">
        <f t="shared" si="138"/>
        <v>2092.6</v>
      </c>
      <c r="AM1414">
        <f t="shared" si="139"/>
        <v>435.4</v>
      </c>
      <c r="AN1414" s="4">
        <f t="shared" si="140"/>
        <v>0.172231012658228</v>
      </c>
      <c r="AO1414" t="s">
        <v>221</v>
      </c>
      <c r="AQ1414" t="s">
        <v>217</v>
      </c>
    </row>
    <row r="1415" ht="15.75" customHeight="1" spans="1:43">
      <c r="A1415" t="s">
        <v>2247</v>
      </c>
      <c r="B1415" t="s">
        <v>46</v>
      </c>
      <c r="C1415" t="s">
        <v>2210</v>
      </c>
      <c r="D1415" t="s">
        <v>2211</v>
      </c>
      <c r="E1415" t="s">
        <v>2241</v>
      </c>
      <c r="F1415" t="s">
        <v>2248</v>
      </c>
      <c r="H1415" t="s">
        <v>319</v>
      </c>
      <c r="I1415" t="s">
        <v>327</v>
      </c>
      <c r="J1415" t="s">
        <v>124</v>
      </c>
      <c r="K1415" t="s">
        <v>143</v>
      </c>
      <c r="Q1415" t="s">
        <v>57</v>
      </c>
      <c r="Y1415" t="s">
        <v>2249</v>
      </c>
      <c r="Z1415">
        <v>3209</v>
      </c>
      <c r="AE1415">
        <v>252</v>
      </c>
      <c r="AF1415" s="4">
        <v>0.33</v>
      </c>
      <c r="AG1415">
        <f t="shared" si="141"/>
        <v>168.84</v>
      </c>
      <c r="AH1415" s="4">
        <v>0.18</v>
      </c>
      <c r="AI1415">
        <f t="shared" si="136"/>
        <v>199.23</v>
      </c>
      <c r="AJ1415" s="4">
        <v>0.15</v>
      </c>
      <c r="AK1415">
        <f t="shared" si="137"/>
        <v>29.88</v>
      </c>
      <c r="AL1415">
        <f t="shared" si="138"/>
        <v>229.11</v>
      </c>
      <c r="AM1415">
        <f t="shared" si="139"/>
        <v>22.89</v>
      </c>
      <c r="AN1415" s="4">
        <f t="shared" si="140"/>
        <v>0.0908333333333334</v>
      </c>
      <c r="AO1415" t="s">
        <v>221</v>
      </c>
      <c r="AQ1415" t="s">
        <v>217</v>
      </c>
    </row>
    <row r="1416" ht="15.75" customHeight="1" spans="1:43">
      <c r="A1416" t="s">
        <v>2247</v>
      </c>
      <c r="B1416" t="s">
        <v>67</v>
      </c>
      <c r="C1416" t="s">
        <v>2210</v>
      </c>
      <c r="D1416" t="s">
        <v>2211</v>
      </c>
      <c r="E1416" t="s">
        <v>2241</v>
      </c>
      <c r="F1416" t="s">
        <v>2248</v>
      </c>
      <c r="H1416" t="s">
        <v>319</v>
      </c>
      <c r="I1416" t="s">
        <v>329</v>
      </c>
      <c r="J1416" t="s">
        <v>124</v>
      </c>
      <c r="K1416" t="s">
        <v>143</v>
      </c>
      <c r="Q1416" t="s">
        <v>57</v>
      </c>
      <c r="Y1416" t="s">
        <v>2249</v>
      </c>
      <c r="Z1416">
        <v>3209</v>
      </c>
      <c r="AE1416">
        <v>543</v>
      </c>
      <c r="AF1416" s="4">
        <v>0.38</v>
      </c>
      <c r="AG1416">
        <f t="shared" si="141"/>
        <v>336.66</v>
      </c>
      <c r="AH1416" s="4">
        <v>0.18</v>
      </c>
      <c r="AI1416">
        <f t="shared" si="136"/>
        <v>397.26</v>
      </c>
      <c r="AJ1416" s="4">
        <v>0.15</v>
      </c>
      <c r="AK1416">
        <f t="shared" si="137"/>
        <v>59.59</v>
      </c>
      <c r="AL1416">
        <f t="shared" si="138"/>
        <v>456.85</v>
      </c>
      <c r="AM1416">
        <f t="shared" si="139"/>
        <v>86.15</v>
      </c>
      <c r="AN1416" s="4">
        <f t="shared" si="140"/>
        <v>0.15865561694291</v>
      </c>
      <c r="AO1416" t="s">
        <v>221</v>
      </c>
      <c r="AQ1416" t="s">
        <v>217</v>
      </c>
    </row>
    <row r="1417" ht="15.75" customHeight="1" spans="1:43">
      <c r="A1417" t="s">
        <v>2247</v>
      </c>
      <c r="B1417" t="s">
        <v>71</v>
      </c>
      <c r="C1417" t="s">
        <v>2210</v>
      </c>
      <c r="D1417" t="s">
        <v>2211</v>
      </c>
      <c r="E1417" t="s">
        <v>2241</v>
      </c>
      <c r="F1417" t="s">
        <v>2248</v>
      </c>
      <c r="H1417" t="s">
        <v>319</v>
      </c>
      <c r="I1417" t="s">
        <v>2216</v>
      </c>
      <c r="J1417" t="s">
        <v>124</v>
      </c>
      <c r="K1417" t="s">
        <v>143</v>
      </c>
      <c r="Q1417" t="s">
        <v>57</v>
      </c>
      <c r="Y1417" t="s">
        <v>2249</v>
      </c>
      <c r="Z1417">
        <v>3209</v>
      </c>
      <c r="AE1417">
        <v>1055</v>
      </c>
      <c r="AF1417" s="4">
        <v>0.38</v>
      </c>
      <c r="AG1417">
        <f t="shared" si="141"/>
        <v>654.1</v>
      </c>
      <c r="AH1417" s="4">
        <v>0.18</v>
      </c>
      <c r="AI1417">
        <f t="shared" si="136"/>
        <v>771.84</v>
      </c>
      <c r="AJ1417" s="4">
        <v>0.15</v>
      </c>
      <c r="AK1417">
        <f t="shared" si="137"/>
        <v>115.78</v>
      </c>
      <c r="AL1417">
        <f t="shared" si="138"/>
        <v>887.62</v>
      </c>
      <c r="AM1417">
        <f t="shared" si="139"/>
        <v>167.38</v>
      </c>
      <c r="AN1417" s="4">
        <f t="shared" si="140"/>
        <v>0.158654028436019</v>
      </c>
      <c r="AO1417" t="s">
        <v>221</v>
      </c>
      <c r="AQ1417" t="s">
        <v>217</v>
      </c>
    </row>
    <row r="1418" ht="15.75" customHeight="1" spans="1:43">
      <c r="A1418" t="s">
        <v>2247</v>
      </c>
      <c r="B1418" t="s">
        <v>75</v>
      </c>
      <c r="C1418" t="s">
        <v>2210</v>
      </c>
      <c r="D1418" t="s">
        <v>2211</v>
      </c>
      <c r="E1418" t="s">
        <v>2241</v>
      </c>
      <c r="F1418" t="s">
        <v>2248</v>
      </c>
      <c r="H1418" t="s">
        <v>319</v>
      </c>
      <c r="I1418" t="s">
        <v>2217</v>
      </c>
      <c r="J1418" t="s">
        <v>124</v>
      </c>
      <c r="K1418" t="s">
        <v>143</v>
      </c>
      <c r="Q1418" t="s">
        <v>57</v>
      </c>
      <c r="Y1418" t="s">
        <v>2249</v>
      </c>
      <c r="Z1418">
        <v>3209</v>
      </c>
      <c r="AE1418">
        <v>1907</v>
      </c>
      <c r="AF1418" s="4">
        <v>0.34</v>
      </c>
      <c r="AG1418">
        <f t="shared" si="141"/>
        <v>1258.62</v>
      </c>
      <c r="AH1418" s="4">
        <v>0.18</v>
      </c>
      <c r="AI1418">
        <f t="shared" si="136"/>
        <v>1485.17</v>
      </c>
      <c r="AJ1418" s="4">
        <v>0.15</v>
      </c>
      <c r="AK1418">
        <f t="shared" si="137"/>
        <v>222.78</v>
      </c>
      <c r="AL1418">
        <f t="shared" si="138"/>
        <v>1707.95</v>
      </c>
      <c r="AM1418">
        <f t="shared" si="139"/>
        <v>199.05</v>
      </c>
      <c r="AN1418" s="4">
        <f t="shared" si="140"/>
        <v>0.104378605138962</v>
      </c>
      <c r="AO1418" t="s">
        <v>221</v>
      </c>
      <c r="AQ1418" t="s">
        <v>217</v>
      </c>
    </row>
    <row r="1419" ht="15.75" customHeight="1" spans="1:43">
      <c r="A1419" t="s">
        <v>2250</v>
      </c>
      <c r="B1419" t="s">
        <v>46</v>
      </c>
      <c r="C1419" t="s">
        <v>2210</v>
      </c>
      <c r="D1419" t="s">
        <v>2211</v>
      </c>
      <c r="E1419" t="s">
        <v>2241</v>
      </c>
      <c r="F1419" t="s">
        <v>2251</v>
      </c>
      <c r="H1419" t="s">
        <v>319</v>
      </c>
      <c r="I1419" t="s">
        <v>327</v>
      </c>
      <c r="J1419" t="s">
        <v>124</v>
      </c>
      <c r="K1419" t="s">
        <v>143</v>
      </c>
      <c r="Q1419" t="s">
        <v>57</v>
      </c>
      <c r="Y1419" t="s">
        <v>2252</v>
      </c>
      <c r="Z1419">
        <v>3209</v>
      </c>
      <c r="AE1419">
        <v>2000</v>
      </c>
      <c r="AF1419" s="4">
        <v>0.37</v>
      </c>
      <c r="AG1419">
        <f t="shared" si="141"/>
        <v>1260</v>
      </c>
      <c r="AH1419" s="4">
        <v>0.18</v>
      </c>
      <c r="AI1419">
        <f t="shared" si="136"/>
        <v>1486.8</v>
      </c>
      <c r="AJ1419" s="4">
        <v>0.15</v>
      </c>
      <c r="AK1419">
        <f t="shared" si="137"/>
        <v>223.02</v>
      </c>
      <c r="AL1419">
        <f t="shared" si="138"/>
        <v>1709.82</v>
      </c>
      <c r="AM1419">
        <f t="shared" si="139"/>
        <v>290.18</v>
      </c>
      <c r="AN1419" s="4">
        <f t="shared" si="140"/>
        <v>0.14509</v>
      </c>
      <c r="AO1419" t="s">
        <v>221</v>
      </c>
      <c r="AQ1419" t="s">
        <v>217</v>
      </c>
    </row>
    <row r="1420" ht="15.75" customHeight="1" spans="1:43">
      <c r="A1420" t="s">
        <v>2250</v>
      </c>
      <c r="B1420" t="s">
        <v>67</v>
      </c>
      <c r="C1420" t="s">
        <v>2210</v>
      </c>
      <c r="D1420" t="s">
        <v>2211</v>
      </c>
      <c r="E1420" t="s">
        <v>2241</v>
      </c>
      <c r="F1420" t="s">
        <v>2251</v>
      </c>
      <c r="H1420" t="s">
        <v>319</v>
      </c>
      <c r="I1420" t="s">
        <v>2215</v>
      </c>
      <c r="J1420" t="s">
        <v>124</v>
      </c>
      <c r="K1420" t="s">
        <v>143</v>
      </c>
      <c r="Q1420" t="s">
        <v>57</v>
      </c>
      <c r="Y1420" t="s">
        <v>2252</v>
      </c>
      <c r="Z1420">
        <v>3209</v>
      </c>
      <c r="AE1420">
        <v>2000</v>
      </c>
      <c r="AF1420" s="4">
        <v>0.37</v>
      </c>
      <c r="AG1420">
        <f t="shared" si="141"/>
        <v>1260</v>
      </c>
      <c r="AH1420" s="4">
        <v>0.18</v>
      </c>
      <c r="AI1420">
        <f t="shared" si="136"/>
        <v>1486.8</v>
      </c>
      <c r="AJ1420" s="4">
        <v>0.15</v>
      </c>
      <c r="AK1420">
        <f t="shared" si="137"/>
        <v>223.02</v>
      </c>
      <c r="AL1420">
        <f t="shared" si="138"/>
        <v>1709.82</v>
      </c>
      <c r="AM1420">
        <f t="shared" si="139"/>
        <v>290.18</v>
      </c>
      <c r="AN1420" s="4">
        <f t="shared" si="140"/>
        <v>0.14509</v>
      </c>
      <c r="AO1420" t="s">
        <v>221</v>
      </c>
      <c r="AQ1420" t="s">
        <v>217</v>
      </c>
    </row>
    <row r="1421" ht="15.75" customHeight="1" spans="1:43">
      <c r="A1421" t="s">
        <v>2250</v>
      </c>
      <c r="B1421" t="s">
        <v>71</v>
      </c>
      <c r="C1421" t="s">
        <v>2210</v>
      </c>
      <c r="D1421" t="s">
        <v>2211</v>
      </c>
      <c r="E1421" t="s">
        <v>2241</v>
      </c>
      <c r="F1421" t="s">
        <v>2251</v>
      </c>
      <c r="H1421" t="s">
        <v>319</v>
      </c>
      <c r="I1421" t="s">
        <v>2216</v>
      </c>
      <c r="J1421" t="s">
        <v>124</v>
      </c>
      <c r="K1421" t="s">
        <v>143</v>
      </c>
      <c r="Q1421" t="s">
        <v>57</v>
      </c>
      <c r="Y1421" t="s">
        <v>2252</v>
      </c>
      <c r="Z1421">
        <v>3209</v>
      </c>
      <c r="AE1421">
        <v>2000</v>
      </c>
      <c r="AF1421" s="4">
        <v>0.37</v>
      </c>
      <c r="AG1421">
        <f t="shared" si="141"/>
        <v>1260</v>
      </c>
      <c r="AH1421" s="4">
        <v>0.18</v>
      </c>
      <c r="AI1421">
        <f t="shared" si="136"/>
        <v>1486.8</v>
      </c>
      <c r="AJ1421" s="4">
        <v>0.15</v>
      </c>
      <c r="AK1421">
        <f t="shared" si="137"/>
        <v>223.02</v>
      </c>
      <c r="AL1421">
        <f t="shared" si="138"/>
        <v>1709.82</v>
      </c>
      <c r="AM1421">
        <f t="shared" si="139"/>
        <v>290.18</v>
      </c>
      <c r="AN1421" s="4">
        <f t="shared" si="140"/>
        <v>0.14509</v>
      </c>
      <c r="AO1421" t="s">
        <v>221</v>
      </c>
      <c r="AQ1421" t="s">
        <v>217</v>
      </c>
    </row>
    <row r="1422" ht="15.75" customHeight="1" spans="1:43">
      <c r="A1422" t="s">
        <v>2250</v>
      </c>
      <c r="B1422" t="s">
        <v>75</v>
      </c>
      <c r="C1422" t="s">
        <v>2210</v>
      </c>
      <c r="D1422" t="s">
        <v>2211</v>
      </c>
      <c r="E1422" t="s">
        <v>2241</v>
      </c>
      <c r="F1422" t="s">
        <v>2251</v>
      </c>
      <c r="H1422" t="s">
        <v>319</v>
      </c>
      <c r="I1422" t="s">
        <v>2217</v>
      </c>
      <c r="J1422" t="s">
        <v>124</v>
      </c>
      <c r="K1422" t="s">
        <v>143</v>
      </c>
      <c r="Q1422" t="s">
        <v>57</v>
      </c>
      <c r="Y1422" t="s">
        <v>2252</v>
      </c>
      <c r="Z1422">
        <v>3209</v>
      </c>
      <c r="AE1422">
        <v>2000</v>
      </c>
      <c r="AF1422" s="4">
        <v>0.37</v>
      </c>
      <c r="AG1422">
        <f t="shared" si="141"/>
        <v>1260</v>
      </c>
      <c r="AH1422" s="4">
        <v>0.18</v>
      </c>
      <c r="AI1422">
        <f t="shared" si="136"/>
        <v>1486.8</v>
      </c>
      <c r="AJ1422" s="4">
        <v>0.15</v>
      </c>
      <c r="AK1422">
        <f t="shared" si="137"/>
        <v>223.02</v>
      </c>
      <c r="AL1422">
        <f t="shared" si="138"/>
        <v>1709.82</v>
      </c>
      <c r="AM1422">
        <f t="shared" si="139"/>
        <v>290.18</v>
      </c>
      <c r="AN1422" s="4">
        <f t="shared" si="140"/>
        <v>0.14509</v>
      </c>
      <c r="AO1422" t="s">
        <v>221</v>
      </c>
      <c r="AQ1422" t="s">
        <v>217</v>
      </c>
    </row>
    <row r="1423" ht="15.75" customHeight="1" spans="1:43">
      <c r="A1423" t="s">
        <v>2253</v>
      </c>
      <c r="B1423" t="s">
        <v>46</v>
      </c>
      <c r="C1423" t="s">
        <v>2210</v>
      </c>
      <c r="D1423" t="s">
        <v>2211</v>
      </c>
      <c r="E1423" t="s">
        <v>2241</v>
      </c>
      <c r="F1423" t="s">
        <v>2254</v>
      </c>
      <c r="H1423" t="s">
        <v>319</v>
      </c>
      <c r="I1423" t="s">
        <v>327</v>
      </c>
      <c r="J1423" t="s">
        <v>124</v>
      </c>
      <c r="K1423" t="s">
        <v>143</v>
      </c>
      <c r="Q1423" t="s">
        <v>57</v>
      </c>
      <c r="Y1423" t="s">
        <v>2255</v>
      </c>
      <c r="Z1423">
        <v>3209</v>
      </c>
      <c r="AE1423">
        <v>2000</v>
      </c>
      <c r="AF1423" s="4">
        <v>0.37</v>
      </c>
      <c r="AG1423">
        <f t="shared" si="141"/>
        <v>1260</v>
      </c>
      <c r="AH1423" s="4">
        <v>0.18</v>
      </c>
      <c r="AI1423">
        <f t="shared" si="136"/>
        <v>1486.8</v>
      </c>
      <c r="AJ1423" s="4">
        <v>0.15</v>
      </c>
      <c r="AK1423">
        <f t="shared" si="137"/>
        <v>223.02</v>
      </c>
      <c r="AL1423">
        <f t="shared" si="138"/>
        <v>1709.82</v>
      </c>
      <c r="AM1423">
        <f t="shared" si="139"/>
        <v>290.18</v>
      </c>
      <c r="AN1423" s="4">
        <f t="shared" si="140"/>
        <v>0.14509</v>
      </c>
      <c r="AO1423" t="s">
        <v>221</v>
      </c>
      <c r="AQ1423" t="s">
        <v>217</v>
      </c>
    </row>
    <row r="1424" ht="15.75" customHeight="1" spans="1:43">
      <c r="A1424" t="s">
        <v>2253</v>
      </c>
      <c r="B1424" t="s">
        <v>67</v>
      </c>
      <c r="C1424" t="s">
        <v>2210</v>
      </c>
      <c r="D1424" t="s">
        <v>2211</v>
      </c>
      <c r="E1424" t="s">
        <v>2241</v>
      </c>
      <c r="F1424" t="s">
        <v>2254</v>
      </c>
      <c r="H1424" t="s">
        <v>319</v>
      </c>
      <c r="I1424" t="s">
        <v>2215</v>
      </c>
      <c r="J1424" t="s">
        <v>124</v>
      </c>
      <c r="K1424" t="s">
        <v>143</v>
      </c>
      <c r="Q1424" t="s">
        <v>57</v>
      </c>
      <c r="Y1424" t="s">
        <v>2255</v>
      </c>
      <c r="Z1424">
        <v>3209</v>
      </c>
      <c r="AE1424">
        <v>2000</v>
      </c>
      <c r="AF1424" s="4">
        <v>0.37</v>
      </c>
      <c r="AG1424">
        <f t="shared" si="141"/>
        <v>1260</v>
      </c>
      <c r="AH1424" s="4">
        <v>0.18</v>
      </c>
      <c r="AI1424">
        <f t="shared" si="136"/>
        <v>1486.8</v>
      </c>
      <c r="AJ1424" s="4">
        <v>0.15</v>
      </c>
      <c r="AK1424">
        <f t="shared" si="137"/>
        <v>223.02</v>
      </c>
      <c r="AL1424">
        <f t="shared" si="138"/>
        <v>1709.82</v>
      </c>
      <c r="AM1424">
        <f t="shared" si="139"/>
        <v>290.18</v>
      </c>
      <c r="AN1424" s="4">
        <f t="shared" si="140"/>
        <v>0.14509</v>
      </c>
      <c r="AO1424" t="s">
        <v>221</v>
      </c>
      <c r="AQ1424" t="s">
        <v>217</v>
      </c>
    </row>
    <row r="1425" ht="15.75" customHeight="1" spans="1:43">
      <c r="A1425" t="s">
        <v>2253</v>
      </c>
      <c r="B1425" t="s">
        <v>71</v>
      </c>
      <c r="C1425" t="s">
        <v>2210</v>
      </c>
      <c r="D1425" t="s">
        <v>2211</v>
      </c>
      <c r="E1425" t="s">
        <v>2241</v>
      </c>
      <c r="F1425" t="s">
        <v>2254</v>
      </c>
      <c r="H1425" t="s">
        <v>319</v>
      </c>
      <c r="I1425" t="s">
        <v>2216</v>
      </c>
      <c r="J1425" t="s">
        <v>124</v>
      </c>
      <c r="K1425" t="s">
        <v>143</v>
      </c>
      <c r="Q1425" t="s">
        <v>57</v>
      </c>
      <c r="Y1425" t="s">
        <v>2255</v>
      </c>
      <c r="Z1425">
        <v>3209</v>
      </c>
      <c r="AE1425">
        <v>2000</v>
      </c>
      <c r="AF1425" s="4">
        <v>0.37</v>
      </c>
      <c r="AG1425">
        <f t="shared" si="141"/>
        <v>1260</v>
      </c>
      <c r="AH1425" s="4">
        <v>0.18</v>
      </c>
      <c r="AI1425">
        <f t="shared" si="136"/>
        <v>1486.8</v>
      </c>
      <c r="AJ1425" s="4">
        <v>0.15</v>
      </c>
      <c r="AK1425">
        <f t="shared" si="137"/>
        <v>223.02</v>
      </c>
      <c r="AL1425">
        <f t="shared" si="138"/>
        <v>1709.82</v>
      </c>
      <c r="AM1425">
        <f t="shared" si="139"/>
        <v>290.18</v>
      </c>
      <c r="AN1425" s="4">
        <f t="shared" si="140"/>
        <v>0.14509</v>
      </c>
      <c r="AO1425" t="s">
        <v>221</v>
      </c>
      <c r="AQ1425" t="s">
        <v>217</v>
      </c>
    </row>
    <row r="1426" ht="15.75" customHeight="1" spans="1:43">
      <c r="A1426" t="s">
        <v>2253</v>
      </c>
      <c r="B1426" t="s">
        <v>75</v>
      </c>
      <c r="C1426" t="s">
        <v>2210</v>
      </c>
      <c r="D1426" t="s">
        <v>2211</v>
      </c>
      <c r="E1426" t="s">
        <v>2241</v>
      </c>
      <c r="F1426" t="s">
        <v>2254</v>
      </c>
      <c r="H1426" t="s">
        <v>319</v>
      </c>
      <c r="I1426" t="s">
        <v>2217</v>
      </c>
      <c r="J1426" t="s">
        <v>124</v>
      </c>
      <c r="K1426" t="s">
        <v>143</v>
      </c>
      <c r="Q1426" t="s">
        <v>57</v>
      </c>
      <c r="Y1426" t="s">
        <v>2255</v>
      </c>
      <c r="Z1426">
        <v>3209</v>
      </c>
      <c r="AE1426">
        <v>2000</v>
      </c>
      <c r="AF1426" s="4">
        <v>0.37</v>
      </c>
      <c r="AG1426">
        <f t="shared" si="141"/>
        <v>1260</v>
      </c>
      <c r="AH1426" s="4">
        <v>0.18</v>
      </c>
      <c r="AI1426">
        <f t="shared" si="136"/>
        <v>1486.8</v>
      </c>
      <c r="AJ1426" s="4">
        <v>0.15</v>
      </c>
      <c r="AK1426">
        <f t="shared" si="137"/>
        <v>223.02</v>
      </c>
      <c r="AL1426">
        <f t="shared" si="138"/>
        <v>1709.82</v>
      </c>
      <c r="AM1426">
        <f t="shared" si="139"/>
        <v>290.18</v>
      </c>
      <c r="AN1426" s="4">
        <f t="shared" si="140"/>
        <v>0.14509</v>
      </c>
      <c r="AO1426" t="s">
        <v>221</v>
      </c>
      <c r="AQ1426" t="s">
        <v>217</v>
      </c>
    </row>
    <row r="1427" ht="15.75" customHeight="1" spans="1:43">
      <c r="A1427" t="s">
        <v>2256</v>
      </c>
      <c r="B1427" t="s">
        <v>46</v>
      </c>
      <c r="C1427" t="s">
        <v>2210</v>
      </c>
      <c r="D1427" t="s">
        <v>2211</v>
      </c>
      <c r="E1427" t="s">
        <v>2241</v>
      </c>
      <c r="F1427" t="s">
        <v>2257</v>
      </c>
      <c r="H1427" t="s">
        <v>319</v>
      </c>
      <c r="I1427" t="s">
        <v>327</v>
      </c>
      <c r="J1427" t="s">
        <v>124</v>
      </c>
      <c r="K1427" t="s">
        <v>143</v>
      </c>
      <c r="Q1427" t="s">
        <v>57</v>
      </c>
      <c r="Y1427" t="s">
        <v>2258</v>
      </c>
      <c r="Z1427">
        <v>3209</v>
      </c>
      <c r="AE1427">
        <v>219</v>
      </c>
      <c r="AF1427" s="4">
        <v>0.25</v>
      </c>
      <c r="AG1427">
        <f t="shared" si="141"/>
        <v>164.25</v>
      </c>
      <c r="AH1427" s="4">
        <v>0.18</v>
      </c>
      <c r="AI1427">
        <f t="shared" si="136"/>
        <v>193.82</v>
      </c>
      <c r="AJ1427" s="4">
        <v>0.15</v>
      </c>
      <c r="AK1427">
        <f t="shared" si="137"/>
        <v>29.07</v>
      </c>
      <c r="AL1427">
        <f t="shared" si="138"/>
        <v>222.89</v>
      </c>
      <c r="AM1427">
        <f t="shared" si="139"/>
        <v>-3.88999999999999</v>
      </c>
      <c r="AN1427" s="4">
        <f t="shared" si="140"/>
        <v>-0.0177625570776255</v>
      </c>
      <c r="AO1427" t="s">
        <v>221</v>
      </c>
      <c r="AQ1427" t="s">
        <v>217</v>
      </c>
    </row>
    <row r="1428" ht="15.75" customHeight="1" spans="1:43">
      <c r="A1428" t="s">
        <v>2256</v>
      </c>
      <c r="B1428" t="s">
        <v>67</v>
      </c>
      <c r="C1428" t="s">
        <v>2210</v>
      </c>
      <c r="D1428" t="s">
        <v>2211</v>
      </c>
      <c r="E1428" t="s">
        <v>2241</v>
      </c>
      <c r="F1428" t="s">
        <v>2257</v>
      </c>
      <c r="H1428" t="s">
        <v>319</v>
      </c>
      <c r="I1428" t="s">
        <v>2215</v>
      </c>
      <c r="J1428" t="s">
        <v>124</v>
      </c>
      <c r="K1428" t="s">
        <v>143</v>
      </c>
      <c r="Q1428" t="s">
        <v>57</v>
      </c>
      <c r="Y1428" t="s">
        <v>2258</v>
      </c>
      <c r="Z1428">
        <v>3209</v>
      </c>
      <c r="AE1428">
        <v>864</v>
      </c>
      <c r="AF1428" s="4">
        <v>0.35</v>
      </c>
      <c r="AG1428">
        <f t="shared" si="141"/>
        <v>561.6</v>
      </c>
      <c r="AH1428" s="4">
        <v>0.18</v>
      </c>
      <c r="AI1428">
        <f t="shared" si="136"/>
        <v>662.69</v>
      </c>
      <c r="AJ1428" s="4">
        <v>0.15</v>
      </c>
      <c r="AK1428">
        <f t="shared" si="137"/>
        <v>99.4</v>
      </c>
      <c r="AL1428">
        <f t="shared" si="138"/>
        <v>762.09</v>
      </c>
      <c r="AM1428">
        <f t="shared" si="139"/>
        <v>101.91</v>
      </c>
      <c r="AN1428" s="4">
        <f t="shared" si="140"/>
        <v>0.117951388888889</v>
      </c>
      <c r="AO1428" t="s">
        <v>221</v>
      </c>
      <c r="AQ1428" t="s">
        <v>217</v>
      </c>
    </row>
    <row r="1429" ht="15.75" customHeight="1" spans="1:43">
      <c r="A1429" t="s">
        <v>2256</v>
      </c>
      <c r="B1429" t="s">
        <v>71</v>
      </c>
      <c r="C1429" t="s">
        <v>2210</v>
      </c>
      <c r="D1429" t="s">
        <v>2211</v>
      </c>
      <c r="E1429" t="s">
        <v>2241</v>
      </c>
      <c r="F1429" t="s">
        <v>2257</v>
      </c>
      <c r="H1429" t="s">
        <v>319</v>
      </c>
      <c r="I1429" t="s">
        <v>2216</v>
      </c>
      <c r="J1429" t="s">
        <v>124</v>
      </c>
      <c r="K1429" t="s">
        <v>143</v>
      </c>
      <c r="Q1429" t="s">
        <v>57</v>
      </c>
      <c r="Y1429" t="s">
        <v>2258</v>
      </c>
      <c r="Z1429">
        <v>3209</v>
      </c>
      <c r="AE1429">
        <v>1981</v>
      </c>
      <c r="AF1429" s="4">
        <v>0.33</v>
      </c>
      <c r="AG1429">
        <f t="shared" si="141"/>
        <v>1327.27</v>
      </c>
      <c r="AH1429" s="4">
        <v>0.18</v>
      </c>
      <c r="AI1429">
        <f t="shared" si="136"/>
        <v>1566.18</v>
      </c>
      <c r="AJ1429" s="4">
        <v>0.15</v>
      </c>
      <c r="AK1429">
        <f t="shared" si="137"/>
        <v>234.93</v>
      </c>
      <c r="AL1429">
        <f t="shared" si="138"/>
        <v>1801.11</v>
      </c>
      <c r="AM1429">
        <f t="shared" si="139"/>
        <v>179.89</v>
      </c>
      <c r="AN1429" s="4">
        <f t="shared" si="140"/>
        <v>0.0908076728924785</v>
      </c>
      <c r="AO1429" t="s">
        <v>221</v>
      </c>
      <c r="AQ1429" t="s">
        <v>217</v>
      </c>
    </row>
    <row r="1430" ht="15.75" customHeight="1" spans="1:43">
      <c r="A1430" t="s">
        <v>2256</v>
      </c>
      <c r="B1430" t="s">
        <v>75</v>
      </c>
      <c r="C1430" t="s">
        <v>2210</v>
      </c>
      <c r="D1430" t="s">
        <v>2211</v>
      </c>
      <c r="E1430" t="s">
        <v>2241</v>
      </c>
      <c r="F1430" t="s">
        <v>2257</v>
      </c>
      <c r="H1430" t="s">
        <v>319</v>
      </c>
      <c r="I1430" t="s">
        <v>2217</v>
      </c>
      <c r="J1430" t="s">
        <v>124</v>
      </c>
      <c r="K1430" t="s">
        <v>143</v>
      </c>
      <c r="Q1430" t="s">
        <v>57</v>
      </c>
      <c r="Y1430" t="s">
        <v>2258</v>
      </c>
      <c r="Z1430">
        <v>3209</v>
      </c>
      <c r="AE1430">
        <v>3788</v>
      </c>
      <c r="AF1430" s="4">
        <v>0.39</v>
      </c>
      <c r="AG1430">
        <f t="shared" si="141"/>
        <v>2310.68</v>
      </c>
      <c r="AH1430" s="4">
        <v>0.18</v>
      </c>
      <c r="AI1430">
        <f t="shared" si="136"/>
        <v>2726.6</v>
      </c>
      <c r="AJ1430" s="4">
        <v>0.15</v>
      </c>
      <c r="AK1430">
        <f t="shared" si="137"/>
        <v>408.99</v>
      </c>
      <c r="AL1430">
        <f t="shared" si="138"/>
        <v>3135.59</v>
      </c>
      <c r="AM1430">
        <f t="shared" si="139"/>
        <v>652.41</v>
      </c>
      <c r="AN1430" s="4">
        <f t="shared" si="140"/>
        <v>0.172230728616684</v>
      </c>
      <c r="AO1430" t="s">
        <v>221</v>
      </c>
      <c r="AQ1430" t="s">
        <v>217</v>
      </c>
    </row>
    <row r="1431" ht="15.75" customHeight="1" spans="1:43">
      <c r="A1431" t="s">
        <v>2259</v>
      </c>
      <c r="B1431" t="s">
        <v>46</v>
      </c>
      <c r="C1431" t="s">
        <v>2210</v>
      </c>
      <c r="D1431" t="s">
        <v>2260</v>
      </c>
      <c r="E1431" t="s">
        <v>2212</v>
      </c>
      <c r="F1431" t="s">
        <v>2261</v>
      </c>
      <c r="H1431" t="s">
        <v>319</v>
      </c>
      <c r="I1431" t="s">
        <v>327</v>
      </c>
      <c r="J1431" t="s">
        <v>124</v>
      </c>
      <c r="K1431" t="s">
        <v>143</v>
      </c>
      <c r="Q1431" t="s">
        <v>57</v>
      </c>
      <c r="Y1431" t="s">
        <v>2262</v>
      </c>
      <c r="Z1431">
        <v>3209</v>
      </c>
      <c r="AE1431">
        <v>494</v>
      </c>
      <c r="AF1431" s="4">
        <v>0.25</v>
      </c>
      <c r="AG1431">
        <f t="shared" si="141"/>
        <v>370.5</v>
      </c>
      <c r="AH1431" s="4">
        <v>0.18</v>
      </c>
      <c r="AI1431">
        <f t="shared" si="136"/>
        <v>437.19</v>
      </c>
      <c r="AJ1431" s="4">
        <v>0.15</v>
      </c>
      <c r="AK1431">
        <f t="shared" si="137"/>
        <v>65.58</v>
      </c>
      <c r="AL1431">
        <f t="shared" si="138"/>
        <v>502.77</v>
      </c>
      <c r="AM1431">
        <f t="shared" si="139"/>
        <v>-8.76999999999998</v>
      </c>
      <c r="AN1431" s="4">
        <f t="shared" si="140"/>
        <v>-0.0177530364372469</v>
      </c>
      <c r="AO1431" t="s">
        <v>221</v>
      </c>
      <c r="AQ1431" t="s">
        <v>217</v>
      </c>
    </row>
    <row r="1432" ht="15.75" customHeight="1" spans="1:43">
      <c r="A1432" t="s">
        <v>2259</v>
      </c>
      <c r="B1432" t="s">
        <v>67</v>
      </c>
      <c r="C1432" t="s">
        <v>2210</v>
      </c>
      <c r="D1432" t="s">
        <v>2260</v>
      </c>
      <c r="E1432" t="s">
        <v>2212</v>
      </c>
      <c r="F1432" t="s">
        <v>2261</v>
      </c>
      <c r="H1432" t="s">
        <v>319</v>
      </c>
      <c r="I1432" t="s">
        <v>2215</v>
      </c>
      <c r="J1432" t="s">
        <v>124</v>
      </c>
      <c r="K1432" t="s">
        <v>143</v>
      </c>
      <c r="Q1432" t="s">
        <v>57</v>
      </c>
      <c r="Y1432" t="s">
        <v>2262</v>
      </c>
      <c r="Z1432">
        <v>3209</v>
      </c>
      <c r="AE1432">
        <v>1895</v>
      </c>
      <c r="AF1432" s="4">
        <v>0.35</v>
      </c>
      <c r="AG1432">
        <f t="shared" si="141"/>
        <v>1231.75</v>
      </c>
      <c r="AH1432" s="4">
        <v>0.18</v>
      </c>
      <c r="AI1432">
        <f t="shared" si="136"/>
        <v>1453.47</v>
      </c>
      <c r="AJ1432" s="4">
        <v>0.15</v>
      </c>
      <c r="AK1432">
        <f t="shared" si="137"/>
        <v>218.02</v>
      </c>
      <c r="AL1432">
        <f t="shared" si="138"/>
        <v>1671.49</v>
      </c>
      <c r="AM1432">
        <f t="shared" si="139"/>
        <v>223.51</v>
      </c>
      <c r="AN1432" s="4">
        <f t="shared" si="140"/>
        <v>0.117947229551451</v>
      </c>
      <c r="AO1432" t="s">
        <v>221</v>
      </c>
      <c r="AQ1432" t="s">
        <v>217</v>
      </c>
    </row>
    <row r="1433" ht="15.75" customHeight="1" spans="1:43">
      <c r="A1433" t="s">
        <v>2259</v>
      </c>
      <c r="B1433" t="s">
        <v>71</v>
      </c>
      <c r="C1433" t="s">
        <v>2210</v>
      </c>
      <c r="D1433" t="s">
        <v>2260</v>
      </c>
      <c r="E1433" t="s">
        <v>2212</v>
      </c>
      <c r="F1433" t="s">
        <v>2261</v>
      </c>
      <c r="H1433" t="s">
        <v>319</v>
      </c>
      <c r="I1433" t="s">
        <v>2216</v>
      </c>
      <c r="J1433" t="s">
        <v>124</v>
      </c>
      <c r="K1433" t="s">
        <v>143</v>
      </c>
      <c r="Q1433" t="s">
        <v>57</v>
      </c>
      <c r="Y1433" t="s">
        <v>2262</v>
      </c>
      <c r="Z1433">
        <v>3209</v>
      </c>
      <c r="AE1433">
        <v>4470</v>
      </c>
      <c r="AF1433" s="4">
        <v>0.33</v>
      </c>
      <c r="AG1433">
        <f t="shared" si="141"/>
        <v>2994.9</v>
      </c>
      <c r="AH1433" s="4">
        <v>0.18</v>
      </c>
      <c r="AI1433">
        <f t="shared" si="136"/>
        <v>3533.98</v>
      </c>
      <c r="AJ1433" s="4">
        <v>0.15</v>
      </c>
      <c r="AK1433">
        <f t="shared" si="137"/>
        <v>530.1</v>
      </c>
      <c r="AL1433">
        <f t="shared" si="138"/>
        <v>4064.08</v>
      </c>
      <c r="AM1433">
        <f t="shared" si="139"/>
        <v>405.92</v>
      </c>
      <c r="AN1433" s="4">
        <f t="shared" si="140"/>
        <v>0.0908098434004474</v>
      </c>
      <c r="AO1433" t="s">
        <v>221</v>
      </c>
      <c r="AQ1433" t="s">
        <v>217</v>
      </c>
    </row>
    <row r="1434" ht="15.75" customHeight="1" spans="1:43">
      <c r="A1434" t="s">
        <v>2259</v>
      </c>
      <c r="B1434" t="s">
        <v>75</v>
      </c>
      <c r="C1434" t="s">
        <v>2210</v>
      </c>
      <c r="D1434" t="s">
        <v>2260</v>
      </c>
      <c r="E1434" t="s">
        <v>2212</v>
      </c>
      <c r="F1434" t="s">
        <v>2261</v>
      </c>
      <c r="H1434" t="s">
        <v>319</v>
      </c>
      <c r="I1434" t="s">
        <v>2217</v>
      </c>
      <c r="J1434" t="s">
        <v>124</v>
      </c>
      <c r="K1434" t="s">
        <v>143</v>
      </c>
      <c r="Q1434" t="s">
        <v>57</v>
      </c>
      <c r="Y1434" t="s">
        <v>2262</v>
      </c>
      <c r="Z1434">
        <v>3209</v>
      </c>
      <c r="AE1434">
        <v>8510</v>
      </c>
      <c r="AF1434" s="4">
        <v>0.39</v>
      </c>
      <c r="AG1434">
        <f t="shared" si="141"/>
        <v>5191.1</v>
      </c>
      <c r="AH1434" s="4">
        <v>0.18</v>
      </c>
      <c r="AI1434">
        <f t="shared" si="136"/>
        <v>6125.5</v>
      </c>
      <c r="AJ1434" s="4">
        <v>0.15</v>
      </c>
      <c r="AK1434">
        <f t="shared" si="137"/>
        <v>918.83</v>
      </c>
      <c r="AL1434">
        <f t="shared" si="138"/>
        <v>7044.33</v>
      </c>
      <c r="AM1434">
        <f t="shared" si="139"/>
        <v>1465.67</v>
      </c>
      <c r="AN1434" s="4">
        <f t="shared" si="140"/>
        <v>0.172229142185664</v>
      </c>
      <c r="AO1434" t="s">
        <v>221</v>
      </c>
      <c r="AQ1434" t="s">
        <v>217</v>
      </c>
    </row>
    <row r="1435" ht="15.75" customHeight="1" spans="1:43">
      <c r="A1435" t="s">
        <v>2263</v>
      </c>
      <c r="B1435" t="s">
        <v>46</v>
      </c>
      <c r="C1435" t="s">
        <v>2210</v>
      </c>
      <c r="D1435" t="s">
        <v>2260</v>
      </c>
      <c r="E1435" t="s">
        <v>2212</v>
      </c>
      <c r="F1435" t="s">
        <v>2264</v>
      </c>
      <c r="H1435" t="s">
        <v>319</v>
      </c>
      <c r="I1435" t="s">
        <v>327</v>
      </c>
      <c r="J1435" t="s">
        <v>124</v>
      </c>
      <c r="K1435" t="s">
        <v>143</v>
      </c>
      <c r="Q1435" t="s">
        <v>57</v>
      </c>
      <c r="Y1435" t="s">
        <v>2265</v>
      </c>
      <c r="Z1435">
        <v>3209</v>
      </c>
      <c r="AE1435">
        <v>500</v>
      </c>
      <c r="AF1435" s="4">
        <v>0.25</v>
      </c>
      <c r="AG1435">
        <f t="shared" si="141"/>
        <v>375</v>
      </c>
      <c r="AH1435" s="4">
        <v>0.18</v>
      </c>
      <c r="AI1435">
        <f t="shared" si="136"/>
        <v>442.5</v>
      </c>
      <c r="AJ1435" s="4">
        <v>0.15</v>
      </c>
      <c r="AK1435">
        <f t="shared" si="137"/>
        <v>66.38</v>
      </c>
      <c r="AL1435">
        <f t="shared" si="138"/>
        <v>508.88</v>
      </c>
      <c r="AM1435">
        <f t="shared" si="139"/>
        <v>-8.88</v>
      </c>
      <c r="AN1435" s="4">
        <f t="shared" si="140"/>
        <v>-0.01776</v>
      </c>
      <c r="AO1435" t="s">
        <v>221</v>
      </c>
      <c r="AQ1435" t="s">
        <v>217</v>
      </c>
    </row>
    <row r="1436" ht="15.75" customHeight="1" spans="1:43">
      <c r="A1436" t="s">
        <v>2263</v>
      </c>
      <c r="B1436" t="s">
        <v>67</v>
      </c>
      <c r="C1436" t="s">
        <v>2210</v>
      </c>
      <c r="D1436" t="s">
        <v>2260</v>
      </c>
      <c r="E1436" t="s">
        <v>2212</v>
      </c>
      <c r="F1436" t="s">
        <v>2264</v>
      </c>
      <c r="H1436" t="s">
        <v>319</v>
      </c>
      <c r="I1436" t="s">
        <v>2215</v>
      </c>
      <c r="J1436" t="s">
        <v>124</v>
      </c>
      <c r="K1436" t="s">
        <v>143</v>
      </c>
      <c r="Q1436" t="s">
        <v>57</v>
      </c>
      <c r="Y1436" t="s">
        <v>2265</v>
      </c>
      <c r="Z1436">
        <v>3209</v>
      </c>
      <c r="AE1436">
        <v>1930</v>
      </c>
      <c r="AF1436" s="4">
        <v>0.35</v>
      </c>
      <c r="AG1436">
        <f t="shared" si="141"/>
        <v>1254.5</v>
      </c>
      <c r="AH1436" s="4">
        <v>0.18</v>
      </c>
      <c r="AI1436">
        <f t="shared" si="136"/>
        <v>1480.31</v>
      </c>
      <c r="AJ1436" s="4">
        <v>0.15</v>
      </c>
      <c r="AK1436">
        <f t="shared" si="137"/>
        <v>222.05</v>
      </c>
      <c r="AL1436">
        <f t="shared" si="138"/>
        <v>1702.36</v>
      </c>
      <c r="AM1436">
        <f t="shared" si="139"/>
        <v>227.64</v>
      </c>
      <c r="AN1436" s="4">
        <f t="shared" si="140"/>
        <v>0.117948186528497</v>
      </c>
      <c r="AO1436" t="s">
        <v>221</v>
      </c>
      <c r="AQ1436" t="s">
        <v>217</v>
      </c>
    </row>
    <row r="1437" ht="15.75" customHeight="1" spans="1:43">
      <c r="A1437" t="s">
        <v>2263</v>
      </c>
      <c r="B1437" t="s">
        <v>71</v>
      </c>
      <c r="C1437" t="s">
        <v>2210</v>
      </c>
      <c r="D1437" t="s">
        <v>2260</v>
      </c>
      <c r="E1437" t="s">
        <v>2212</v>
      </c>
      <c r="F1437" t="s">
        <v>2264</v>
      </c>
      <c r="H1437" t="s">
        <v>319</v>
      </c>
      <c r="I1437" t="s">
        <v>2216</v>
      </c>
      <c r="J1437" t="s">
        <v>124</v>
      </c>
      <c r="K1437" t="s">
        <v>143</v>
      </c>
      <c r="Q1437" t="s">
        <v>57</v>
      </c>
      <c r="Y1437" t="s">
        <v>2265</v>
      </c>
      <c r="Z1437">
        <v>3209</v>
      </c>
      <c r="AE1437">
        <v>4509</v>
      </c>
      <c r="AF1437" s="4">
        <v>0.33</v>
      </c>
      <c r="AG1437">
        <f t="shared" si="141"/>
        <v>3021.03</v>
      </c>
      <c r="AH1437" s="4">
        <v>0.18</v>
      </c>
      <c r="AI1437">
        <f t="shared" si="136"/>
        <v>3564.82</v>
      </c>
      <c r="AJ1437" s="4">
        <v>0.15</v>
      </c>
      <c r="AK1437">
        <f t="shared" si="137"/>
        <v>534.72</v>
      </c>
      <c r="AL1437">
        <f t="shared" si="138"/>
        <v>4099.54</v>
      </c>
      <c r="AM1437">
        <f t="shared" si="139"/>
        <v>409.46</v>
      </c>
      <c r="AN1437" s="4">
        <f t="shared" si="140"/>
        <v>0.0908094921268574</v>
      </c>
      <c r="AO1437" t="s">
        <v>221</v>
      </c>
      <c r="AQ1437" t="s">
        <v>217</v>
      </c>
    </row>
    <row r="1438" ht="15.75" customHeight="1" spans="1:43">
      <c r="A1438" t="s">
        <v>2263</v>
      </c>
      <c r="B1438" t="s">
        <v>75</v>
      </c>
      <c r="C1438" t="s">
        <v>2210</v>
      </c>
      <c r="D1438" t="s">
        <v>2260</v>
      </c>
      <c r="E1438" t="s">
        <v>2212</v>
      </c>
      <c r="F1438" t="s">
        <v>2264</v>
      </c>
      <c r="H1438" t="s">
        <v>319</v>
      </c>
      <c r="I1438" t="s">
        <v>2217</v>
      </c>
      <c r="J1438" t="s">
        <v>124</v>
      </c>
      <c r="K1438" t="s">
        <v>143</v>
      </c>
      <c r="Q1438" t="s">
        <v>57</v>
      </c>
      <c r="Y1438" t="s">
        <v>2265</v>
      </c>
      <c r="Z1438">
        <v>3209</v>
      </c>
      <c r="AE1438">
        <v>8600</v>
      </c>
      <c r="AF1438" s="4">
        <v>0.39</v>
      </c>
      <c r="AG1438">
        <f t="shared" si="141"/>
        <v>5246</v>
      </c>
      <c r="AH1438" s="4">
        <v>0.18</v>
      </c>
      <c r="AI1438">
        <f t="shared" si="136"/>
        <v>6190.28</v>
      </c>
      <c r="AJ1438" s="4">
        <v>0.15</v>
      </c>
      <c r="AK1438">
        <f t="shared" si="137"/>
        <v>928.54</v>
      </c>
      <c r="AL1438">
        <f t="shared" si="138"/>
        <v>7118.82</v>
      </c>
      <c r="AM1438">
        <f t="shared" si="139"/>
        <v>1481.18</v>
      </c>
      <c r="AN1438" s="4">
        <f t="shared" si="140"/>
        <v>0.17223023255814</v>
      </c>
      <c r="AO1438" t="s">
        <v>221</v>
      </c>
      <c r="AQ1438" t="s">
        <v>217</v>
      </c>
    </row>
    <row r="1439" ht="15.75" customHeight="1" spans="1:43">
      <c r="A1439" t="s">
        <v>2266</v>
      </c>
      <c r="B1439" t="s">
        <v>46</v>
      </c>
      <c r="C1439" t="s">
        <v>2210</v>
      </c>
      <c r="D1439" t="s">
        <v>2260</v>
      </c>
      <c r="E1439" t="s">
        <v>2212</v>
      </c>
      <c r="F1439" t="s">
        <v>2267</v>
      </c>
      <c r="H1439" t="s">
        <v>319</v>
      </c>
      <c r="I1439" t="s">
        <v>327</v>
      </c>
      <c r="J1439" t="s">
        <v>124</v>
      </c>
      <c r="K1439" t="s">
        <v>143</v>
      </c>
      <c r="Q1439" t="s">
        <v>57</v>
      </c>
      <c r="Y1439" t="s">
        <v>2268</v>
      </c>
      <c r="Z1439">
        <v>3209</v>
      </c>
      <c r="AE1439">
        <v>509</v>
      </c>
      <c r="AF1439" s="4">
        <v>0.25</v>
      </c>
      <c r="AG1439">
        <f t="shared" si="141"/>
        <v>381.75</v>
      </c>
      <c r="AH1439" s="4">
        <v>0.18</v>
      </c>
      <c r="AI1439">
        <f t="shared" si="136"/>
        <v>450.47</v>
      </c>
      <c r="AJ1439" s="4">
        <v>0.15</v>
      </c>
      <c r="AK1439">
        <f t="shared" si="137"/>
        <v>67.57</v>
      </c>
      <c r="AL1439">
        <f t="shared" si="138"/>
        <v>518.04</v>
      </c>
      <c r="AM1439">
        <f t="shared" si="139"/>
        <v>-9.03999999999996</v>
      </c>
      <c r="AN1439" s="4">
        <f t="shared" si="140"/>
        <v>-0.0177603143418467</v>
      </c>
      <c r="AO1439" t="s">
        <v>221</v>
      </c>
      <c r="AQ1439" t="s">
        <v>217</v>
      </c>
    </row>
    <row r="1440" ht="15.75" customHeight="1" spans="1:43">
      <c r="A1440" t="s">
        <v>2266</v>
      </c>
      <c r="B1440" t="s">
        <v>67</v>
      </c>
      <c r="C1440" t="s">
        <v>2210</v>
      </c>
      <c r="D1440" t="s">
        <v>2260</v>
      </c>
      <c r="E1440" t="s">
        <v>2212</v>
      </c>
      <c r="F1440" t="s">
        <v>2267</v>
      </c>
      <c r="H1440" t="s">
        <v>319</v>
      </c>
      <c r="I1440" t="s">
        <v>2215</v>
      </c>
      <c r="J1440" t="s">
        <v>124</v>
      </c>
      <c r="K1440" t="s">
        <v>143</v>
      </c>
      <c r="Q1440" t="s">
        <v>57</v>
      </c>
      <c r="Y1440" t="s">
        <v>2268</v>
      </c>
      <c r="Z1440">
        <v>3209</v>
      </c>
      <c r="AE1440">
        <v>1924</v>
      </c>
      <c r="AF1440" s="4">
        <v>0.35</v>
      </c>
      <c r="AG1440">
        <f t="shared" si="141"/>
        <v>1250.6</v>
      </c>
      <c r="AH1440" s="4">
        <v>0.18</v>
      </c>
      <c r="AI1440">
        <f t="shared" si="136"/>
        <v>1475.71</v>
      </c>
      <c r="AJ1440" s="4">
        <v>0.15</v>
      </c>
      <c r="AK1440">
        <f t="shared" si="137"/>
        <v>221.36</v>
      </c>
      <c r="AL1440">
        <f t="shared" si="138"/>
        <v>1697.07</v>
      </c>
      <c r="AM1440">
        <f t="shared" si="139"/>
        <v>226.93</v>
      </c>
      <c r="AN1440" s="4">
        <f t="shared" si="140"/>
        <v>0.117946985446985</v>
      </c>
      <c r="AO1440" t="s">
        <v>221</v>
      </c>
      <c r="AQ1440" t="s">
        <v>217</v>
      </c>
    </row>
    <row r="1441" ht="15.75" customHeight="1" spans="1:43">
      <c r="A1441" t="s">
        <v>2266</v>
      </c>
      <c r="B1441" t="s">
        <v>71</v>
      </c>
      <c r="C1441" t="s">
        <v>2210</v>
      </c>
      <c r="D1441" t="s">
        <v>2260</v>
      </c>
      <c r="E1441" t="s">
        <v>2212</v>
      </c>
      <c r="F1441" t="s">
        <v>2267</v>
      </c>
      <c r="H1441" t="s">
        <v>319</v>
      </c>
      <c r="I1441" t="s">
        <v>2216</v>
      </c>
      <c r="J1441" t="s">
        <v>124</v>
      </c>
      <c r="K1441" t="s">
        <v>143</v>
      </c>
      <c r="Q1441" t="s">
        <v>57</v>
      </c>
      <c r="Y1441" t="s">
        <v>2268</v>
      </c>
      <c r="Z1441">
        <v>3209</v>
      </c>
      <c r="AE1441">
        <v>4600</v>
      </c>
      <c r="AF1441" s="4">
        <v>0.33</v>
      </c>
      <c r="AG1441">
        <f t="shared" si="141"/>
        <v>3082</v>
      </c>
      <c r="AH1441" s="4">
        <v>0.18</v>
      </c>
      <c r="AI1441">
        <f t="shared" si="136"/>
        <v>3636.76</v>
      </c>
      <c r="AJ1441" s="4">
        <v>0.15</v>
      </c>
      <c r="AK1441">
        <f t="shared" si="137"/>
        <v>545.51</v>
      </c>
      <c r="AL1441">
        <f t="shared" si="138"/>
        <v>4182.27</v>
      </c>
      <c r="AM1441">
        <f t="shared" si="139"/>
        <v>417.73</v>
      </c>
      <c r="AN1441" s="4">
        <f t="shared" si="140"/>
        <v>0.0908108695652173</v>
      </c>
      <c r="AO1441" t="s">
        <v>221</v>
      </c>
      <c r="AQ1441" t="s">
        <v>217</v>
      </c>
    </row>
    <row r="1442" ht="15.75" customHeight="1" spans="1:43">
      <c r="A1442" t="s">
        <v>2266</v>
      </c>
      <c r="B1442" t="s">
        <v>75</v>
      </c>
      <c r="C1442" t="s">
        <v>2210</v>
      </c>
      <c r="D1442" t="s">
        <v>2260</v>
      </c>
      <c r="E1442" t="s">
        <v>2212</v>
      </c>
      <c r="F1442" t="s">
        <v>2267</v>
      </c>
      <c r="H1442" t="s">
        <v>319</v>
      </c>
      <c r="I1442" t="s">
        <v>2217</v>
      </c>
      <c r="J1442" t="s">
        <v>124</v>
      </c>
      <c r="K1442" t="s">
        <v>143</v>
      </c>
      <c r="Q1442" t="s">
        <v>57</v>
      </c>
      <c r="Y1442" t="s">
        <v>2268</v>
      </c>
      <c r="Z1442">
        <v>3209</v>
      </c>
      <c r="AE1442">
        <v>8710</v>
      </c>
      <c r="AF1442" s="4">
        <v>0.39</v>
      </c>
      <c r="AG1442">
        <f t="shared" si="141"/>
        <v>5313.1</v>
      </c>
      <c r="AH1442" s="4">
        <v>0.18</v>
      </c>
      <c r="AI1442">
        <f t="shared" si="136"/>
        <v>6269.46</v>
      </c>
      <c r="AJ1442" s="4">
        <v>0.15</v>
      </c>
      <c r="AK1442">
        <f t="shared" si="137"/>
        <v>940.42</v>
      </c>
      <c r="AL1442">
        <f t="shared" si="138"/>
        <v>7209.88</v>
      </c>
      <c r="AM1442">
        <f t="shared" si="139"/>
        <v>1500.12</v>
      </c>
      <c r="AN1442" s="4">
        <f t="shared" si="140"/>
        <v>0.172229621125144</v>
      </c>
      <c r="AO1442" t="s">
        <v>221</v>
      </c>
      <c r="AQ1442" t="s">
        <v>217</v>
      </c>
    </row>
    <row r="1443" ht="15.75" customHeight="1" spans="1:43">
      <c r="A1443" t="s">
        <v>2269</v>
      </c>
      <c r="B1443" t="s">
        <v>46</v>
      </c>
      <c r="C1443" t="s">
        <v>2210</v>
      </c>
      <c r="D1443" t="s">
        <v>2260</v>
      </c>
      <c r="E1443" t="s">
        <v>2212</v>
      </c>
      <c r="F1443" t="s">
        <v>2270</v>
      </c>
      <c r="H1443" t="s">
        <v>319</v>
      </c>
      <c r="I1443" t="s">
        <v>327</v>
      </c>
      <c r="J1443" t="s">
        <v>124</v>
      </c>
      <c r="K1443" t="s">
        <v>143</v>
      </c>
      <c r="Q1443" t="s">
        <v>57</v>
      </c>
      <c r="Y1443" t="s">
        <v>2271</v>
      </c>
      <c r="Z1443">
        <v>3209</v>
      </c>
      <c r="AE1443">
        <v>844</v>
      </c>
      <c r="AF1443" s="4">
        <v>0.25</v>
      </c>
      <c r="AG1443">
        <f t="shared" si="141"/>
        <v>633</v>
      </c>
      <c r="AH1443" s="4">
        <v>0.18</v>
      </c>
      <c r="AI1443">
        <f t="shared" si="136"/>
        <v>746.94</v>
      </c>
      <c r="AJ1443" s="4">
        <v>0.15</v>
      </c>
      <c r="AK1443">
        <f t="shared" si="137"/>
        <v>112.04</v>
      </c>
      <c r="AL1443">
        <f t="shared" si="138"/>
        <v>858.98</v>
      </c>
      <c r="AM1443">
        <f t="shared" si="139"/>
        <v>-14.98</v>
      </c>
      <c r="AN1443" s="4">
        <f t="shared" si="140"/>
        <v>-0.0177488151658768</v>
      </c>
      <c r="AO1443" t="s">
        <v>221</v>
      </c>
      <c r="AQ1443" t="s">
        <v>217</v>
      </c>
    </row>
    <row r="1444" ht="15.75" customHeight="1" spans="1:43">
      <c r="A1444" t="s">
        <v>2269</v>
      </c>
      <c r="B1444" t="s">
        <v>67</v>
      </c>
      <c r="C1444" t="s">
        <v>2210</v>
      </c>
      <c r="D1444" t="s">
        <v>2260</v>
      </c>
      <c r="E1444" t="s">
        <v>2212</v>
      </c>
      <c r="F1444" t="s">
        <v>2270</v>
      </c>
      <c r="H1444" t="s">
        <v>319</v>
      </c>
      <c r="I1444" t="s">
        <v>2215</v>
      </c>
      <c r="J1444" t="s">
        <v>124</v>
      </c>
      <c r="K1444" t="s">
        <v>143</v>
      </c>
      <c r="Q1444" t="s">
        <v>57</v>
      </c>
      <c r="Y1444" t="s">
        <v>2271</v>
      </c>
      <c r="Z1444">
        <v>3209</v>
      </c>
      <c r="AE1444">
        <v>3100</v>
      </c>
      <c r="AF1444" s="4">
        <v>0.35</v>
      </c>
      <c r="AG1444">
        <f t="shared" si="141"/>
        <v>2015</v>
      </c>
      <c r="AH1444" s="4">
        <v>0.18</v>
      </c>
      <c r="AI1444">
        <f t="shared" si="136"/>
        <v>2377.7</v>
      </c>
      <c r="AJ1444" s="4">
        <v>0.15</v>
      </c>
      <c r="AK1444">
        <f t="shared" si="137"/>
        <v>356.66</v>
      </c>
      <c r="AL1444">
        <f t="shared" si="138"/>
        <v>2734.36</v>
      </c>
      <c r="AM1444">
        <f t="shared" si="139"/>
        <v>365.64</v>
      </c>
      <c r="AN1444" s="4">
        <f t="shared" si="140"/>
        <v>0.117948387096774</v>
      </c>
      <c r="AO1444" t="s">
        <v>221</v>
      </c>
      <c r="AQ1444" t="s">
        <v>217</v>
      </c>
    </row>
    <row r="1445" ht="15.75" customHeight="1" spans="1:43">
      <c r="A1445" t="s">
        <v>2269</v>
      </c>
      <c r="B1445" t="s">
        <v>71</v>
      </c>
      <c r="C1445" t="s">
        <v>2210</v>
      </c>
      <c r="D1445" t="s">
        <v>2260</v>
      </c>
      <c r="E1445" t="s">
        <v>2212</v>
      </c>
      <c r="F1445" t="s">
        <v>2270</v>
      </c>
      <c r="H1445" t="s">
        <v>319</v>
      </c>
      <c r="I1445" t="s">
        <v>2216</v>
      </c>
      <c r="J1445" t="s">
        <v>124</v>
      </c>
      <c r="K1445" t="s">
        <v>143</v>
      </c>
      <c r="Q1445" t="s">
        <v>57</v>
      </c>
      <c r="Y1445" t="s">
        <v>2271</v>
      </c>
      <c r="Z1445">
        <v>3209</v>
      </c>
      <c r="AE1445">
        <v>7242</v>
      </c>
      <c r="AF1445" s="4">
        <v>0.33</v>
      </c>
      <c r="AG1445">
        <f t="shared" si="141"/>
        <v>4852.14</v>
      </c>
      <c r="AH1445" s="4">
        <v>0.18</v>
      </c>
      <c r="AI1445">
        <f t="shared" si="136"/>
        <v>5725.53</v>
      </c>
      <c r="AJ1445" s="4">
        <v>0.15</v>
      </c>
      <c r="AK1445">
        <f t="shared" si="137"/>
        <v>858.83</v>
      </c>
      <c r="AL1445">
        <f t="shared" si="138"/>
        <v>6584.36</v>
      </c>
      <c r="AM1445">
        <f t="shared" si="139"/>
        <v>657.64</v>
      </c>
      <c r="AN1445" s="4">
        <f t="shared" si="140"/>
        <v>0.0908091687379177</v>
      </c>
      <c r="AO1445" t="s">
        <v>221</v>
      </c>
      <c r="AQ1445" t="s">
        <v>217</v>
      </c>
    </row>
    <row r="1446" ht="15.75" customHeight="1" spans="1:43">
      <c r="A1446" t="s">
        <v>2269</v>
      </c>
      <c r="B1446" t="s">
        <v>75</v>
      </c>
      <c r="C1446" t="s">
        <v>2210</v>
      </c>
      <c r="D1446" t="s">
        <v>2260</v>
      </c>
      <c r="E1446" t="s">
        <v>2212</v>
      </c>
      <c r="F1446" t="s">
        <v>2270</v>
      </c>
      <c r="H1446" t="s">
        <v>319</v>
      </c>
      <c r="I1446" t="s">
        <v>2217</v>
      </c>
      <c r="J1446" t="s">
        <v>124</v>
      </c>
      <c r="K1446" t="s">
        <v>143</v>
      </c>
      <c r="Q1446" t="s">
        <v>57</v>
      </c>
      <c r="Y1446" t="s">
        <v>2271</v>
      </c>
      <c r="Z1446">
        <v>3209</v>
      </c>
      <c r="AE1446">
        <v>14000</v>
      </c>
      <c r="AF1446" s="4">
        <v>0.39</v>
      </c>
      <c r="AG1446">
        <f t="shared" si="141"/>
        <v>8540</v>
      </c>
      <c r="AH1446" s="4">
        <v>0.18</v>
      </c>
      <c r="AI1446">
        <f t="shared" si="136"/>
        <v>10077.2</v>
      </c>
      <c r="AJ1446" s="4">
        <v>0.15</v>
      </c>
      <c r="AK1446">
        <f t="shared" si="137"/>
        <v>1511.58</v>
      </c>
      <c r="AL1446">
        <f t="shared" si="138"/>
        <v>11588.78</v>
      </c>
      <c r="AM1446">
        <f t="shared" si="139"/>
        <v>2411.22</v>
      </c>
      <c r="AN1446" s="4">
        <f t="shared" si="140"/>
        <v>0.17223</v>
      </c>
      <c r="AO1446" t="s">
        <v>221</v>
      </c>
      <c r="AQ1446" t="s">
        <v>217</v>
      </c>
    </row>
    <row r="1447" ht="15.75" customHeight="1" spans="1:43">
      <c r="A1447" t="s">
        <v>2272</v>
      </c>
      <c r="B1447" t="s">
        <v>46</v>
      </c>
      <c r="C1447" t="s">
        <v>2210</v>
      </c>
      <c r="D1447" t="s">
        <v>2260</v>
      </c>
      <c r="E1447" t="s">
        <v>2212</v>
      </c>
      <c r="F1447" t="s">
        <v>2273</v>
      </c>
      <c r="H1447" t="s">
        <v>319</v>
      </c>
      <c r="I1447" t="s">
        <v>327</v>
      </c>
      <c r="J1447" t="s">
        <v>124</v>
      </c>
      <c r="K1447" t="s">
        <v>143</v>
      </c>
      <c r="Q1447" t="s">
        <v>57</v>
      </c>
      <c r="Y1447" t="s">
        <v>2274</v>
      </c>
      <c r="Z1447">
        <v>3209</v>
      </c>
      <c r="AE1447">
        <v>700</v>
      </c>
      <c r="AF1447" s="4">
        <v>0.25</v>
      </c>
      <c r="AG1447">
        <f t="shared" si="141"/>
        <v>525</v>
      </c>
      <c r="AH1447" s="4">
        <v>0.18</v>
      </c>
      <c r="AI1447">
        <f t="shared" si="136"/>
        <v>619.5</v>
      </c>
      <c r="AJ1447" s="4">
        <v>0.15</v>
      </c>
      <c r="AK1447">
        <f t="shared" si="137"/>
        <v>92.93</v>
      </c>
      <c r="AL1447">
        <f t="shared" si="138"/>
        <v>712.43</v>
      </c>
      <c r="AM1447">
        <f t="shared" si="139"/>
        <v>-12.4300000000001</v>
      </c>
      <c r="AN1447" s="4">
        <f t="shared" si="140"/>
        <v>-0.0177571428571429</v>
      </c>
      <c r="AO1447" t="s">
        <v>221</v>
      </c>
      <c r="AQ1447" t="s">
        <v>217</v>
      </c>
    </row>
    <row r="1448" ht="15.75" customHeight="1" spans="1:43">
      <c r="A1448" t="s">
        <v>2272</v>
      </c>
      <c r="B1448" t="s">
        <v>67</v>
      </c>
      <c r="C1448" t="s">
        <v>2210</v>
      </c>
      <c r="D1448" t="s">
        <v>2260</v>
      </c>
      <c r="E1448" t="s">
        <v>2212</v>
      </c>
      <c r="F1448" t="s">
        <v>2273</v>
      </c>
      <c r="H1448" t="s">
        <v>319</v>
      </c>
      <c r="I1448" t="s">
        <v>2215</v>
      </c>
      <c r="J1448" t="s">
        <v>124</v>
      </c>
      <c r="K1448" t="s">
        <v>143</v>
      </c>
      <c r="Q1448" t="s">
        <v>57</v>
      </c>
      <c r="Y1448" t="s">
        <v>2274</v>
      </c>
      <c r="Z1448">
        <v>3209</v>
      </c>
      <c r="AE1448">
        <v>2735</v>
      </c>
      <c r="AF1448" s="4">
        <v>0.35</v>
      </c>
      <c r="AG1448">
        <f t="shared" si="141"/>
        <v>1777.75</v>
      </c>
      <c r="AH1448" s="4">
        <v>0.18</v>
      </c>
      <c r="AI1448">
        <f t="shared" si="136"/>
        <v>2097.75</v>
      </c>
      <c r="AJ1448" s="4">
        <v>0.15</v>
      </c>
      <c r="AK1448">
        <f t="shared" si="137"/>
        <v>314.66</v>
      </c>
      <c r="AL1448">
        <f t="shared" si="138"/>
        <v>2412.41</v>
      </c>
      <c r="AM1448">
        <f t="shared" si="139"/>
        <v>322.59</v>
      </c>
      <c r="AN1448" s="4">
        <f t="shared" si="140"/>
        <v>0.117948811700183</v>
      </c>
      <c r="AO1448" t="s">
        <v>221</v>
      </c>
      <c r="AQ1448" t="s">
        <v>217</v>
      </c>
    </row>
    <row r="1449" ht="15.75" customHeight="1" spans="1:43">
      <c r="A1449" t="s">
        <v>2272</v>
      </c>
      <c r="B1449" t="s">
        <v>71</v>
      </c>
      <c r="C1449" t="s">
        <v>2210</v>
      </c>
      <c r="D1449" t="s">
        <v>2260</v>
      </c>
      <c r="E1449" t="s">
        <v>2212</v>
      </c>
      <c r="F1449" t="s">
        <v>2273</v>
      </c>
      <c r="H1449" t="s">
        <v>319</v>
      </c>
      <c r="I1449" t="s">
        <v>2216</v>
      </c>
      <c r="J1449" t="s">
        <v>124</v>
      </c>
      <c r="K1449" t="s">
        <v>143</v>
      </c>
      <c r="Q1449" t="s">
        <v>57</v>
      </c>
      <c r="Y1449" t="s">
        <v>2274</v>
      </c>
      <c r="Z1449">
        <v>3209</v>
      </c>
      <c r="AE1449">
        <v>6590</v>
      </c>
      <c r="AF1449" s="4">
        <v>0.33</v>
      </c>
      <c r="AG1449">
        <f t="shared" si="141"/>
        <v>4415.3</v>
      </c>
      <c r="AH1449" s="4">
        <v>0.18</v>
      </c>
      <c r="AI1449">
        <f t="shared" si="136"/>
        <v>5210.05</v>
      </c>
      <c r="AJ1449" s="4">
        <v>0.15</v>
      </c>
      <c r="AK1449">
        <f t="shared" si="137"/>
        <v>781.51</v>
      </c>
      <c r="AL1449">
        <f t="shared" si="138"/>
        <v>5991.56</v>
      </c>
      <c r="AM1449">
        <f t="shared" si="139"/>
        <v>598.44</v>
      </c>
      <c r="AN1449" s="4">
        <f t="shared" si="140"/>
        <v>0.0908103186646433</v>
      </c>
      <c r="AO1449" t="s">
        <v>221</v>
      </c>
      <c r="AQ1449" t="s">
        <v>217</v>
      </c>
    </row>
    <row r="1450" ht="15.75" customHeight="1" spans="1:43">
      <c r="A1450" t="s">
        <v>2272</v>
      </c>
      <c r="B1450" t="s">
        <v>75</v>
      </c>
      <c r="C1450" t="s">
        <v>2210</v>
      </c>
      <c r="D1450" t="s">
        <v>2260</v>
      </c>
      <c r="E1450" t="s">
        <v>2212</v>
      </c>
      <c r="F1450" t="s">
        <v>2273</v>
      </c>
      <c r="H1450" t="s">
        <v>319</v>
      </c>
      <c r="I1450" t="s">
        <v>2217</v>
      </c>
      <c r="J1450" t="s">
        <v>124</v>
      </c>
      <c r="K1450" t="s">
        <v>143</v>
      </c>
      <c r="Q1450" t="s">
        <v>57</v>
      </c>
      <c r="Y1450" t="s">
        <v>2274</v>
      </c>
      <c r="Z1450">
        <v>3209</v>
      </c>
      <c r="AE1450">
        <v>12710</v>
      </c>
      <c r="AF1450" s="4">
        <v>0.39</v>
      </c>
      <c r="AG1450">
        <f t="shared" si="141"/>
        <v>7753.1</v>
      </c>
      <c r="AH1450" s="4">
        <v>0.18</v>
      </c>
      <c r="AI1450">
        <f t="shared" si="136"/>
        <v>9148.66</v>
      </c>
      <c r="AJ1450" s="4">
        <v>0.15</v>
      </c>
      <c r="AK1450">
        <f t="shared" si="137"/>
        <v>1372.3</v>
      </c>
      <c r="AL1450">
        <f t="shared" si="138"/>
        <v>10520.96</v>
      </c>
      <c r="AM1450">
        <f t="shared" si="139"/>
        <v>2189.04</v>
      </c>
      <c r="AN1450" s="4">
        <f t="shared" si="140"/>
        <v>0.17222974036192</v>
      </c>
      <c r="AO1450" t="s">
        <v>221</v>
      </c>
      <c r="AQ1450" t="s">
        <v>217</v>
      </c>
    </row>
    <row r="1451" ht="15.75" customHeight="1" spans="1:43">
      <c r="A1451" t="s">
        <v>2275</v>
      </c>
      <c r="B1451" t="s">
        <v>46</v>
      </c>
      <c r="C1451" t="s">
        <v>2210</v>
      </c>
      <c r="D1451" t="s">
        <v>2260</v>
      </c>
      <c r="E1451" t="s">
        <v>2276</v>
      </c>
      <c r="F1451" t="s">
        <v>2277</v>
      </c>
      <c r="H1451" t="s">
        <v>319</v>
      </c>
      <c r="I1451" t="s">
        <v>327</v>
      </c>
      <c r="J1451" t="s">
        <v>124</v>
      </c>
      <c r="K1451" t="s">
        <v>143</v>
      </c>
      <c r="Q1451" t="s">
        <v>57</v>
      </c>
      <c r="Y1451" t="s">
        <v>2278</v>
      </c>
      <c r="Z1451">
        <v>3209</v>
      </c>
      <c r="AE1451">
        <v>383</v>
      </c>
      <c r="AF1451" s="4">
        <v>0.31</v>
      </c>
      <c r="AG1451">
        <f t="shared" si="141"/>
        <v>264.27</v>
      </c>
      <c r="AH1451" s="4">
        <v>0.18</v>
      </c>
      <c r="AI1451">
        <f t="shared" si="136"/>
        <v>311.84</v>
      </c>
      <c r="AJ1451" s="4">
        <v>0.15</v>
      </c>
      <c r="AK1451">
        <f t="shared" si="137"/>
        <v>46.78</v>
      </c>
      <c r="AL1451">
        <f t="shared" si="138"/>
        <v>358.62</v>
      </c>
      <c r="AM1451">
        <f t="shared" si="139"/>
        <v>24.38</v>
      </c>
      <c r="AN1451" s="4">
        <f t="shared" si="140"/>
        <v>0.0636553524804177</v>
      </c>
      <c r="AO1451" t="s">
        <v>221</v>
      </c>
      <c r="AQ1451" t="s">
        <v>217</v>
      </c>
    </row>
    <row r="1452" ht="15.75" customHeight="1" spans="1:43">
      <c r="A1452" t="s">
        <v>2275</v>
      </c>
      <c r="B1452" t="s">
        <v>67</v>
      </c>
      <c r="C1452" t="s">
        <v>2210</v>
      </c>
      <c r="D1452" t="s">
        <v>2260</v>
      </c>
      <c r="E1452" t="s">
        <v>2276</v>
      </c>
      <c r="F1452" t="s">
        <v>2277</v>
      </c>
      <c r="H1452" t="s">
        <v>319</v>
      </c>
      <c r="I1452" t="s">
        <v>2215</v>
      </c>
      <c r="J1452" t="s">
        <v>124</v>
      </c>
      <c r="K1452" t="s">
        <v>143</v>
      </c>
      <c r="Q1452" t="s">
        <v>57</v>
      </c>
      <c r="Y1452" t="s">
        <v>2278</v>
      </c>
      <c r="Z1452">
        <v>3209</v>
      </c>
      <c r="AE1452">
        <v>1524</v>
      </c>
      <c r="AF1452" s="4">
        <v>0.36</v>
      </c>
      <c r="AG1452">
        <f t="shared" si="141"/>
        <v>975.36</v>
      </c>
      <c r="AH1452" s="4">
        <v>0.18</v>
      </c>
      <c r="AI1452">
        <f t="shared" si="136"/>
        <v>1150.92</v>
      </c>
      <c r="AJ1452" s="4">
        <v>0.15</v>
      </c>
      <c r="AK1452">
        <f t="shared" si="137"/>
        <v>172.64</v>
      </c>
      <c r="AL1452">
        <f t="shared" si="138"/>
        <v>1323.56</v>
      </c>
      <c r="AM1452">
        <f t="shared" si="139"/>
        <v>200.44</v>
      </c>
      <c r="AN1452" s="4">
        <f t="shared" si="140"/>
        <v>0.131522309711286</v>
      </c>
      <c r="AO1452" t="s">
        <v>221</v>
      </c>
      <c r="AQ1452" t="s">
        <v>217</v>
      </c>
    </row>
    <row r="1453" ht="15.75" customHeight="1" spans="1:43">
      <c r="A1453" t="s">
        <v>2275</v>
      </c>
      <c r="B1453" t="s">
        <v>71</v>
      </c>
      <c r="C1453" t="s">
        <v>2210</v>
      </c>
      <c r="D1453" t="s">
        <v>2260</v>
      </c>
      <c r="E1453" t="s">
        <v>2276</v>
      </c>
      <c r="F1453" t="s">
        <v>2277</v>
      </c>
      <c r="H1453" t="s">
        <v>319</v>
      </c>
      <c r="I1453" t="s">
        <v>2216</v>
      </c>
      <c r="J1453" t="s">
        <v>124</v>
      </c>
      <c r="K1453" t="s">
        <v>143</v>
      </c>
      <c r="Q1453" t="s">
        <v>57</v>
      </c>
      <c r="Y1453" t="s">
        <v>2278</v>
      </c>
      <c r="Z1453">
        <v>3209</v>
      </c>
      <c r="AE1453">
        <v>3634</v>
      </c>
      <c r="AF1453" s="4">
        <v>0.39</v>
      </c>
      <c r="AG1453">
        <f t="shared" si="141"/>
        <v>2216.74</v>
      </c>
      <c r="AH1453" s="4">
        <v>0.18</v>
      </c>
      <c r="AI1453">
        <f t="shared" si="136"/>
        <v>2615.75</v>
      </c>
      <c r="AJ1453" s="4">
        <v>0.15</v>
      </c>
      <c r="AK1453">
        <f t="shared" si="137"/>
        <v>392.36</v>
      </c>
      <c r="AL1453">
        <f t="shared" si="138"/>
        <v>3008.11</v>
      </c>
      <c r="AM1453">
        <f t="shared" si="139"/>
        <v>625.89</v>
      </c>
      <c r="AN1453" s="4">
        <f t="shared" si="140"/>
        <v>0.172231700605393</v>
      </c>
      <c r="AO1453" t="s">
        <v>221</v>
      </c>
      <c r="AQ1453" t="s">
        <v>217</v>
      </c>
    </row>
    <row r="1454" ht="15.75" customHeight="1" spans="1:43">
      <c r="A1454" t="s">
        <v>2275</v>
      </c>
      <c r="B1454" t="s">
        <v>75</v>
      </c>
      <c r="C1454" t="s">
        <v>2210</v>
      </c>
      <c r="D1454" t="s">
        <v>2260</v>
      </c>
      <c r="E1454" t="s">
        <v>2276</v>
      </c>
      <c r="F1454" t="s">
        <v>2277</v>
      </c>
      <c r="H1454" t="s">
        <v>319</v>
      </c>
      <c r="I1454" t="s">
        <v>2217</v>
      </c>
      <c r="J1454" t="s">
        <v>124</v>
      </c>
      <c r="K1454" t="s">
        <v>143</v>
      </c>
      <c r="Q1454" t="s">
        <v>57</v>
      </c>
      <c r="Y1454" t="s">
        <v>2278</v>
      </c>
      <c r="Z1454">
        <v>3209</v>
      </c>
      <c r="AE1454">
        <v>6956</v>
      </c>
      <c r="AF1454" s="4">
        <v>0.47</v>
      </c>
      <c r="AG1454">
        <f t="shared" si="141"/>
        <v>3686.68</v>
      </c>
      <c r="AH1454" s="4">
        <v>0.18</v>
      </c>
      <c r="AI1454">
        <f t="shared" si="136"/>
        <v>4350.28</v>
      </c>
      <c r="AJ1454" s="4">
        <v>0.15</v>
      </c>
      <c r="AK1454">
        <f t="shared" si="137"/>
        <v>652.54</v>
      </c>
      <c r="AL1454">
        <f t="shared" si="138"/>
        <v>5002.82</v>
      </c>
      <c r="AM1454">
        <f t="shared" si="139"/>
        <v>1953.18</v>
      </c>
      <c r="AN1454" s="4">
        <f t="shared" si="140"/>
        <v>0.280790684301323</v>
      </c>
      <c r="AO1454" t="s">
        <v>221</v>
      </c>
      <c r="AQ1454" t="s">
        <v>217</v>
      </c>
    </row>
    <row r="1455" ht="15.75" customHeight="1" spans="1:43">
      <c r="A1455" t="s">
        <v>2279</v>
      </c>
      <c r="B1455" t="s">
        <v>46</v>
      </c>
      <c r="C1455" t="s">
        <v>2210</v>
      </c>
      <c r="D1455" t="s">
        <v>2260</v>
      </c>
      <c r="E1455" t="s">
        <v>2276</v>
      </c>
      <c r="F1455" t="s">
        <v>2280</v>
      </c>
      <c r="H1455" t="s">
        <v>319</v>
      </c>
      <c r="I1455" t="s">
        <v>327</v>
      </c>
      <c r="J1455" t="s">
        <v>124</v>
      </c>
      <c r="K1455" t="s">
        <v>143</v>
      </c>
      <c r="Q1455" t="s">
        <v>57</v>
      </c>
      <c r="Y1455" t="s">
        <v>2281</v>
      </c>
      <c r="Z1455">
        <v>3209</v>
      </c>
      <c r="AE1455">
        <v>567</v>
      </c>
      <c r="AF1455" s="4">
        <v>0.31</v>
      </c>
      <c r="AG1455">
        <f t="shared" si="141"/>
        <v>391.23</v>
      </c>
      <c r="AH1455" s="4">
        <v>0.18</v>
      </c>
      <c r="AI1455">
        <f t="shared" si="136"/>
        <v>461.65</v>
      </c>
      <c r="AJ1455" s="4">
        <v>0.15</v>
      </c>
      <c r="AK1455">
        <f t="shared" si="137"/>
        <v>69.25</v>
      </c>
      <c r="AL1455">
        <f t="shared" si="138"/>
        <v>530.9</v>
      </c>
      <c r="AM1455">
        <f t="shared" si="139"/>
        <v>36.1</v>
      </c>
      <c r="AN1455" s="4">
        <f t="shared" si="140"/>
        <v>0.063668430335097</v>
      </c>
      <c r="AO1455" t="s">
        <v>221</v>
      </c>
      <c r="AQ1455" t="s">
        <v>217</v>
      </c>
    </row>
    <row r="1456" ht="15.75" customHeight="1" spans="1:43">
      <c r="A1456" t="s">
        <v>2279</v>
      </c>
      <c r="B1456" t="s">
        <v>67</v>
      </c>
      <c r="C1456" t="s">
        <v>2210</v>
      </c>
      <c r="D1456" t="s">
        <v>2260</v>
      </c>
      <c r="E1456" t="s">
        <v>2276</v>
      </c>
      <c r="F1456" t="s">
        <v>2280</v>
      </c>
      <c r="H1456" t="s">
        <v>319</v>
      </c>
      <c r="I1456" t="s">
        <v>2215</v>
      </c>
      <c r="J1456" t="s">
        <v>124</v>
      </c>
      <c r="K1456" t="s">
        <v>143</v>
      </c>
      <c r="Q1456" t="s">
        <v>57</v>
      </c>
      <c r="Y1456" t="s">
        <v>2281</v>
      </c>
      <c r="Z1456">
        <v>3209</v>
      </c>
      <c r="AE1456">
        <v>2359</v>
      </c>
      <c r="AF1456" s="4">
        <v>0.36</v>
      </c>
      <c r="AG1456">
        <f t="shared" si="141"/>
        <v>1509.76</v>
      </c>
      <c r="AH1456" s="4">
        <v>0.18</v>
      </c>
      <c r="AI1456">
        <f t="shared" si="136"/>
        <v>1781.52</v>
      </c>
      <c r="AJ1456" s="4">
        <v>0.15</v>
      </c>
      <c r="AK1456">
        <f t="shared" si="137"/>
        <v>267.23</v>
      </c>
      <c r="AL1456">
        <f t="shared" si="138"/>
        <v>2048.75</v>
      </c>
      <c r="AM1456">
        <f t="shared" si="139"/>
        <v>310.25</v>
      </c>
      <c r="AN1456" s="4">
        <f t="shared" si="140"/>
        <v>0.131517592200085</v>
      </c>
      <c r="AO1456" t="s">
        <v>221</v>
      </c>
      <c r="AQ1456" t="s">
        <v>217</v>
      </c>
    </row>
    <row r="1457" ht="15.75" customHeight="1" spans="1:43">
      <c r="A1457" t="s">
        <v>2279</v>
      </c>
      <c r="B1457" t="s">
        <v>71</v>
      </c>
      <c r="C1457" t="s">
        <v>2210</v>
      </c>
      <c r="D1457" t="s">
        <v>2260</v>
      </c>
      <c r="E1457" t="s">
        <v>2276</v>
      </c>
      <c r="F1457" t="s">
        <v>2280</v>
      </c>
      <c r="H1457" t="s">
        <v>319</v>
      </c>
      <c r="I1457" t="s">
        <v>2216</v>
      </c>
      <c r="J1457" t="s">
        <v>124</v>
      </c>
      <c r="K1457" t="s">
        <v>143</v>
      </c>
      <c r="Q1457" t="s">
        <v>57</v>
      </c>
      <c r="Y1457" t="s">
        <v>2281</v>
      </c>
      <c r="Z1457">
        <v>3209</v>
      </c>
      <c r="AE1457">
        <v>5354</v>
      </c>
      <c r="AF1457" s="4">
        <v>0.43</v>
      </c>
      <c r="AG1457">
        <f t="shared" si="141"/>
        <v>3051.78</v>
      </c>
      <c r="AH1457" s="4">
        <v>0.18</v>
      </c>
      <c r="AI1457">
        <f t="shared" si="136"/>
        <v>3601.1</v>
      </c>
      <c r="AJ1457" s="4">
        <v>0.15</v>
      </c>
      <c r="AK1457">
        <f t="shared" si="137"/>
        <v>540.17</v>
      </c>
      <c r="AL1457">
        <f t="shared" si="138"/>
        <v>4141.27</v>
      </c>
      <c r="AM1457">
        <f t="shared" si="139"/>
        <v>1212.73</v>
      </c>
      <c r="AN1457" s="4">
        <f t="shared" si="140"/>
        <v>0.226509152035861</v>
      </c>
      <c r="AO1457" t="s">
        <v>221</v>
      </c>
      <c r="AQ1457" t="s">
        <v>217</v>
      </c>
    </row>
    <row r="1458" ht="15.75" customHeight="1" spans="1:43">
      <c r="A1458" t="s">
        <v>2279</v>
      </c>
      <c r="B1458" t="s">
        <v>75</v>
      </c>
      <c r="C1458" t="s">
        <v>2210</v>
      </c>
      <c r="D1458" t="s">
        <v>2260</v>
      </c>
      <c r="E1458" t="s">
        <v>2276</v>
      </c>
      <c r="F1458" t="s">
        <v>2280</v>
      </c>
      <c r="H1458" t="s">
        <v>319</v>
      </c>
      <c r="I1458" t="s">
        <v>2217</v>
      </c>
      <c r="J1458" t="s">
        <v>124</v>
      </c>
      <c r="K1458" t="s">
        <v>143</v>
      </c>
      <c r="Q1458" t="s">
        <v>57</v>
      </c>
      <c r="Y1458" t="s">
        <v>2281</v>
      </c>
      <c r="Z1458">
        <v>3209</v>
      </c>
      <c r="AE1458">
        <v>10328</v>
      </c>
      <c r="AF1458" s="4">
        <v>0.48</v>
      </c>
      <c r="AG1458">
        <f t="shared" si="141"/>
        <v>5370.56</v>
      </c>
      <c r="AH1458" s="4">
        <v>0.18</v>
      </c>
      <c r="AI1458">
        <f t="shared" si="136"/>
        <v>6337.26</v>
      </c>
      <c r="AJ1458" s="4">
        <v>0.15</v>
      </c>
      <c r="AK1458">
        <f t="shared" si="137"/>
        <v>950.59</v>
      </c>
      <c r="AL1458">
        <f t="shared" si="138"/>
        <v>7287.85</v>
      </c>
      <c r="AM1458">
        <f t="shared" si="139"/>
        <v>3040.15</v>
      </c>
      <c r="AN1458" s="4">
        <f t="shared" si="140"/>
        <v>0.294359992254067</v>
      </c>
      <c r="AO1458" t="s">
        <v>221</v>
      </c>
      <c r="AQ1458" t="s">
        <v>217</v>
      </c>
    </row>
    <row r="1459" ht="15.75" customHeight="1" spans="1:43">
      <c r="A1459" t="s">
        <v>2282</v>
      </c>
      <c r="B1459" t="s">
        <v>46</v>
      </c>
      <c r="C1459" t="s">
        <v>2210</v>
      </c>
      <c r="D1459" t="s">
        <v>2260</v>
      </c>
      <c r="E1459" t="s">
        <v>2276</v>
      </c>
      <c r="F1459" t="s">
        <v>2283</v>
      </c>
      <c r="H1459" t="s">
        <v>319</v>
      </c>
      <c r="I1459" t="s">
        <v>327</v>
      </c>
      <c r="J1459" t="s">
        <v>124</v>
      </c>
      <c r="K1459" t="s">
        <v>143</v>
      </c>
      <c r="Q1459" t="s">
        <v>57</v>
      </c>
      <c r="Y1459" t="s">
        <v>2284</v>
      </c>
      <c r="Z1459">
        <v>3209</v>
      </c>
      <c r="AE1459">
        <v>351</v>
      </c>
      <c r="AF1459" s="4">
        <v>0.31</v>
      </c>
      <c r="AG1459">
        <f t="shared" si="141"/>
        <v>242.19</v>
      </c>
      <c r="AH1459" s="4">
        <v>0.18</v>
      </c>
      <c r="AI1459">
        <f t="shared" si="136"/>
        <v>285.78</v>
      </c>
      <c r="AJ1459" s="4">
        <v>0.15</v>
      </c>
      <c r="AK1459">
        <f t="shared" si="137"/>
        <v>42.87</v>
      </c>
      <c r="AL1459">
        <f t="shared" si="138"/>
        <v>328.65</v>
      </c>
      <c r="AM1459">
        <f t="shared" si="139"/>
        <v>22.35</v>
      </c>
      <c r="AN1459" s="4">
        <f t="shared" si="140"/>
        <v>0.0636752136752137</v>
      </c>
      <c r="AO1459" t="s">
        <v>221</v>
      </c>
      <c r="AQ1459" t="s">
        <v>217</v>
      </c>
    </row>
    <row r="1460" ht="15.75" customHeight="1" spans="1:43">
      <c r="A1460" t="s">
        <v>2282</v>
      </c>
      <c r="B1460" t="s">
        <v>67</v>
      </c>
      <c r="C1460" t="s">
        <v>2210</v>
      </c>
      <c r="D1460" t="s">
        <v>2260</v>
      </c>
      <c r="E1460" t="s">
        <v>2276</v>
      </c>
      <c r="F1460" t="s">
        <v>2283</v>
      </c>
      <c r="H1460" t="s">
        <v>319</v>
      </c>
      <c r="I1460" t="s">
        <v>2215</v>
      </c>
      <c r="J1460" t="s">
        <v>124</v>
      </c>
      <c r="K1460" t="s">
        <v>143</v>
      </c>
      <c r="Q1460" t="s">
        <v>57</v>
      </c>
      <c r="Y1460" t="s">
        <v>2284</v>
      </c>
      <c r="Z1460">
        <v>3209</v>
      </c>
      <c r="AE1460">
        <v>1464</v>
      </c>
      <c r="AF1460" s="4">
        <v>0.39</v>
      </c>
      <c r="AG1460">
        <f t="shared" si="141"/>
        <v>893.04</v>
      </c>
      <c r="AH1460" s="4">
        <v>0.18</v>
      </c>
      <c r="AI1460">
        <f t="shared" si="136"/>
        <v>1053.79</v>
      </c>
      <c r="AJ1460" s="4">
        <v>0.15</v>
      </c>
      <c r="AK1460">
        <f t="shared" si="137"/>
        <v>158.07</v>
      </c>
      <c r="AL1460">
        <f t="shared" si="138"/>
        <v>1211.86</v>
      </c>
      <c r="AM1460">
        <f t="shared" si="139"/>
        <v>252.14</v>
      </c>
      <c r="AN1460" s="4">
        <f t="shared" si="140"/>
        <v>0.172226775956284</v>
      </c>
      <c r="AO1460" t="s">
        <v>221</v>
      </c>
      <c r="AQ1460" t="s">
        <v>217</v>
      </c>
    </row>
    <row r="1461" ht="15.75" customHeight="1" spans="1:43">
      <c r="A1461" t="s">
        <v>2282</v>
      </c>
      <c r="B1461" t="s">
        <v>71</v>
      </c>
      <c r="C1461" t="s">
        <v>2210</v>
      </c>
      <c r="D1461" t="s">
        <v>2260</v>
      </c>
      <c r="E1461" t="s">
        <v>2276</v>
      </c>
      <c r="F1461" t="s">
        <v>2283</v>
      </c>
      <c r="H1461" t="s">
        <v>319</v>
      </c>
      <c r="I1461" t="s">
        <v>2216</v>
      </c>
      <c r="J1461" t="s">
        <v>124</v>
      </c>
      <c r="K1461" t="s">
        <v>143</v>
      </c>
      <c r="Q1461" t="s">
        <v>57</v>
      </c>
      <c r="Y1461" t="s">
        <v>2284</v>
      </c>
      <c r="Z1461">
        <v>3209</v>
      </c>
      <c r="AE1461">
        <v>3305</v>
      </c>
      <c r="AF1461" s="4">
        <v>0.38</v>
      </c>
      <c r="AG1461">
        <f t="shared" si="141"/>
        <v>2049.1</v>
      </c>
      <c r="AH1461" s="4">
        <v>0.18</v>
      </c>
      <c r="AI1461">
        <f t="shared" si="136"/>
        <v>2417.94</v>
      </c>
      <c r="AJ1461" s="4">
        <v>0.15</v>
      </c>
      <c r="AK1461">
        <f t="shared" si="137"/>
        <v>362.69</v>
      </c>
      <c r="AL1461">
        <f t="shared" si="138"/>
        <v>2780.63</v>
      </c>
      <c r="AM1461">
        <f t="shared" si="139"/>
        <v>524.37</v>
      </c>
      <c r="AN1461" s="4">
        <f t="shared" si="140"/>
        <v>0.158659606656581</v>
      </c>
      <c r="AO1461" t="s">
        <v>221</v>
      </c>
      <c r="AQ1461" t="s">
        <v>217</v>
      </c>
    </row>
    <row r="1462" ht="15.75" customHeight="1" spans="1:43">
      <c r="A1462" t="s">
        <v>2282</v>
      </c>
      <c r="B1462" t="s">
        <v>75</v>
      </c>
      <c r="C1462" t="s">
        <v>2210</v>
      </c>
      <c r="D1462" t="s">
        <v>2260</v>
      </c>
      <c r="E1462" t="s">
        <v>2276</v>
      </c>
      <c r="F1462" t="s">
        <v>2283</v>
      </c>
      <c r="H1462" t="s">
        <v>319</v>
      </c>
      <c r="I1462" t="s">
        <v>2217</v>
      </c>
      <c r="J1462" t="s">
        <v>124</v>
      </c>
      <c r="K1462" t="s">
        <v>143</v>
      </c>
      <c r="Q1462" t="s">
        <v>57</v>
      </c>
      <c r="Y1462" t="s">
        <v>2284</v>
      </c>
      <c r="Z1462">
        <v>3209</v>
      </c>
      <c r="AE1462">
        <v>6200</v>
      </c>
      <c r="AF1462" s="4">
        <v>0.48</v>
      </c>
      <c r="AG1462">
        <f t="shared" si="141"/>
        <v>3224</v>
      </c>
      <c r="AH1462" s="4">
        <v>0.18</v>
      </c>
      <c r="AI1462">
        <f t="shared" si="136"/>
        <v>3804.32</v>
      </c>
      <c r="AJ1462" s="4">
        <v>0.15</v>
      </c>
      <c r="AK1462">
        <f t="shared" si="137"/>
        <v>570.65</v>
      </c>
      <c r="AL1462">
        <f t="shared" si="138"/>
        <v>4374.97</v>
      </c>
      <c r="AM1462">
        <f t="shared" si="139"/>
        <v>1825.03</v>
      </c>
      <c r="AN1462" s="4">
        <f t="shared" si="140"/>
        <v>0.294359677419355</v>
      </c>
      <c r="AO1462" t="s">
        <v>221</v>
      </c>
      <c r="AQ1462" t="s">
        <v>217</v>
      </c>
    </row>
    <row r="1463" ht="15.75" customHeight="1" spans="1:43">
      <c r="A1463" t="s">
        <v>2285</v>
      </c>
      <c r="B1463" t="s">
        <v>46</v>
      </c>
      <c r="C1463" t="s">
        <v>2210</v>
      </c>
      <c r="D1463" t="s">
        <v>2286</v>
      </c>
      <c r="E1463" t="s">
        <v>2287</v>
      </c>
      <c r="F1463" t="s">
        <v>2288</v>
      </c>
      <c r="H1463" t="s">
        <v>319</v>
      </c>
      <c r="I1463" t="s">
        <v>2232</v>
      </c>
      <c r="J1463" t="s">
        <v>124</v>
      </c>
      <c r="K1463" t="s">
        <v>143</v>
      </c>
      <c r="Q1463" t="s">
        <v>57</v>
      </c>
      <c r="Y1463" t="s">
        <v>2289</v>
      </c>
      <c r="Z1463">
        <v>3209</v>
      </c>
      <c r="AE1463">
        <v>1500</v>
      </c>
      <c r="AF1463" s="4">
        <v>0.37</v>
      </c>
      <c r="AG1463">
        <f t="shared" si="141"/>
        <v>945</v>
      </c>
      <c r="AH1463" s="4">
        <v>0.18</v>
      </c>
      <c r="AI1463">
        <f t="shared" si="136"/>
        <v>1115.1</v>
      </c>
      <c r="AJ1463" s="4">
        <v>0.15</v>
      </c>
      <c r="AK1463">
        <f t="shared" si="137"/>
        <v>167.27</v>
      </c>
      <c r="AL1463">
        <f t="shared" si="138"/>
        <v>1282.37</v>
      </c>
      <c r="AM1463">
        <f t="shared" si="139"/>
        <v>217.63</v>
      </c>
      <c r="AN1463" s="4">
        <f t="shared" si="140"/>
        <v>0.145086666666667</v>
      </c>
      <c r="AO1463" t="s">
        <v>221</v>
      </c>
      <c r="AQ1463" t="s">
        <v>217</v>
      </c>
    </row>
    <row r="1464" ht="15.75" customHeight="1" spans="1:43">
      <c r="A1464" t="s">
        <v>2285</v>
      </c>
      <c r="B1464" t="s">
        <v>67</v>
      </c>
      <c r="C1464" t="s">
        <v>2210</v>
      </c>
      <c r="D1464" t="s">
        <v>2286</v>
      </c>
      <c r="E1464" t="s">
        <v>2287</v>
      </c>
      <c r="F1464" t="s">
        <v>2288</v>
      </c>
      <c r="H1464" t="s">
        <v>319</v>
      </c>
      <c r="I1464" t="s">
        <v>327</v>
      </c>
      <c r="J1464" t="s">
        <v>124</v>
      </c>
      <c r="K1464" t="s">
        <v>143</v>
      </c>
      <c r="Q1464" t="s">
        <v>57</v>
      </c>
      <c r="R1464" t="s">
        <v>2290</v>
      </c>
      <c r="Y1464" t="s">
        <v>2289</v>
      </c>
      <c r="Z1464">
        <v>3209</v>
      </c>
      <c r="AE1464">
        <v>1500</v>
      </c>
      <c r="AF1464" s="4">
        <v>0.37</v>
      </c>
      <c r="AG1464">
        <f t="shared" si="141"/>
        <v>945</v>
      </c>
      <c r="AH1464" s="4">
        <v>0.18</v>
      </c>
      <c r="AI1464">
        <f t="shared" si="136"/>
        <v>1115.1</v>
      </c>
      <c r="AJ1464" s="4">
        <v>0.15</v>
      </c>
      <c r="AK1464">
        <f t="shared" si="137"/>
        <v>167.27</v>
      </c>
      <c r="AL1464">
        <f t="shared" si="138"/>
        <v>1282.37</v>
      </c>
      <c r="AM1464">
        <f t="shared" si="139"/>
        <v>217.63</v>
      </c>
      <c r="AN1464" s="4">
        <f t="shared" si="140"/>
        <v>0.145086666666667</v>
      </c>
      <c r="AO1464" t="s">
        <v>221</v>
      </c>
      <c r="AQ1464" t="s">
        <v>217</v>
      </c>
    </row>
    <row r="1465" ht="15.75" customHeight="1" spans="1:43">
      <c r="A1465" t="s">
        <v>2285</v>
      </c>
      <c r="B1465" t="s">
        <v>71</v>
      </c>
      <c r="C1465" t="s">
        <v>2210</v>
      </c>
      <c r="D1465" t="s">
        <v>2286</v>
      </c>
      <c r="E1465" t="s">
        <v>2287</v>
      </c>
      <c r="F1465" t="s">
        <v>2288</v>
      </c>
      <c r="H1465" t="s">
        <v>319</v>
      </c>
      <c r="I1465" t="s">
        <v>329</v>
      </c>
      <c r="J1465" t="s">
        <v>124</v>
      </c>
      <c r="K1465" t="s">
        <v>143</v>
      </c>
      <c r="Q1465" t="s">
        <v>57</v>
      </c>
      <c r="R1465" t="s">
        <v>2290</v>
      </c>
      <c r="Y1465" t="s">
        <v>2289</v>
      </c>
      <c r="Z1465">
        <v>3209</v>
      </c>
      <c r="AE1465">
        <v>1049</v>
      </c>
      <c r="AF1465" s="4">
        <v>0.3575</v>
      </c>
      <c r="AG1465">
        <f t="shared" si="141"/>
        <v>673.98</v>
      </c>
      <c r="AH1465" s="4">
        <v>0.18</v>
      </c>
      <c r="AI1465">
        <f t="shared" si="136"/>
        <v>795.3</v>
      </c>
      <c r="AJ1465" s="4">
        <v>0.15</v>
      </c>
      <c r="AK1465">
        <f t="shared" si="137"/>
        <v>119.3</v>
      </c>
      <c r="AL1465">
        <f t="shared" si="138"/>
        <v>914.6</v>
      </c>
      <c r="AM1465">
        <f t="shared" si="139"/>
        <v>134.4</v>
      </c>
      <c r="AN1465" s="4">
        <f t="shared" si="140"/>
        <v>0.128122020972355</v>
      </c>
      <c r="AO1465" t="s">
        <v>221</v>
      </c>
      <c r="AQ1465" t="s">
        <v>217</v>
      </c>
    </row>
    <row r="1466" ht="15.75" customHeight="1" spans="1:43">
      <c r="A1466" t="s">
        <v>2285</v>
      </c>
      <c r="B1466" t="s">
        <v>75</v>
      </c>
      <c r="C1466" t="s">
        <v>2210</v>
      </c>
      <c r="D1466" t="s">
        <v>2286</v>
      </c>
      <c r="E1466" t="s">
        <v>2287</v>
      </c>
      <c r="F1466" t="s">
        <v>2288</v>
      </c>
      <c r="H1466" t="s">
        <v>319</v>
      </c>
      <c r="I1466" t="s">
        <v>2216</v>
      </c>
      <c r="J1466" t="s">
        <v>124</v>
      </c>
      <c r="K1466" t="s">
        <v>143</v>
      </c>
      <c r="Q1466" t="s">
        <v>57</v>
      </c>
      <c r="R1466" t="s">
        <v>2290</v>
      </c>
      <c r="Y1466" t="s">
        <v>2289</v>
      </c>
      <c r="Z1466">
        <v>3209</v>
      </c>
      <c r="AE1466">
        <v>1530</v>
      </c>
      <c r="AF1466" s="4">
        <v>0.26</v>
      </c>
      <c r="AG1466">
        <f t="shared" si="141"/>
        <v>1132.2</v>
      </c>
      <c r="AH1466" s="4">
        <v>0.18</v>
      </c>
      <c r="AI1466">
        <f t="shared" si="136"/>
        <v>1336</v>
      </c>
      <c r="AJ1466" s="4">
        <v>0.15</v>
      </c>
      <c r="AK1466">
        <f t="shared" si="137"/>
        <v>200.4</v>
      </c>
      <c r="AL1466">
        <f t="shared" si="138"/>
        <v>1536.4</v>
      </c>
      <c r="AM1466">
        <f t="shared" si="139"/>
        <v>-6.40000000000009</v>
      </c>
      <c r="AN1466" s="4">
        <f t="shared" si="140"/>
        <v>-0.00418300653594777</v>
      </c>
      <c r="AO1466" t="s">
        <v>221</v>
      </c>
      <c r="AQ1466" t="s">
        <v>217</v>
      </c>
    </row>
    <row r="1467" ht="15.75" customHeight="1" spans="1:43">
      <c r="A1467" t="s">
        <v>2285</v>
      </c>
      <c r="B1467" t="s">
        <v>79</v>
      </c>
      <c r="C1467" t="s">
        <v>2210</v>
      </c>
      <c r="D1467" t="s">
        <v>2286</v>
      </c>
      <c r="E1467" t="s">
        <v>2287</v>
      </c>
      <c r="F1467" t="s">
        <v>2288</v>
      </c>
      <c r="H1467" t="s">
        <v>319</v>
      </c>
      <c r="I1467" t="s">
        <v>2217</v>
      </c>
      <c r="J1467" t="s">
        <v>124</v>
      </c>
      <c r="K1467" t="s">
        <v>143</v>
      </c>
      <c r="Q1467" t="s">
        <v>57</v>
      </c>
      <c r="R1467" t="s">
        <v>2290</v>
      </c>
      <c r="Y1467" t="s">
        <v>2289</v>
      </c>
      <c r="Z1467">
        <v>3824</v>
      </c>
      <c r="AE1467">
        <v>2749</v>
      </c>
      <c r="AF1467" s="4">
        <v>0.27</v>
      </c>
      <c r="AG1467">
        <f t="shared" si="141"/>
        <v>2006.77</v>
      </c>
      <c r="AH1467" s="4">
        <v>0.18</v>
      </c>
      <c r="AI1467">
        <f t="shared" si="136"/>
        <v>2367.99</v>
      </c>
      <c r="AJ1467" s="4">
        <v>0.15</v>
      </c>
      <c r="AK1467">
        <f t="shared" si="137"/>
        <v>355.2</v>
      </c>
      <c r="AL1467">
        <f t="shared" si="138"/>
        <v>2723.19</v>
      </c>
      <c r="AM1467">
        <f t="shared" si="139"/>
        <v>25.8100000000004</v>
      </c>
      <c r="AN1467" s="4">
        <f t="shared" si="140"/>
        <v>0.00938886867951997</v>
      </c>
      <c r="AO1467" t="s">
        <v>221</v>
      </c>
      <c r="AQ1467" t="s">
        <v>217</v>
      </c>
    </row>
    <row r="1468" ht="15.75" customHeight="1" spans="1:43">
      <c r="A1468" t="s">
        <v>2285</v>
      </c>
      <c r="B1468" t="s">
        <v>83</v>
      </c>
      <c r="C1468" t="s">
        <v>2210</v>
      </c>
      <c r="D1468" t="s">
        <v>2286</v>
      </c>
      <c r="E1468" t="s">
        <v>2287</v>
      </c>
      <c r="F1468" t="s">
        <v>2288</v>
      </c>
      <c r="H1468" t="s">
        <v>319</v>
      </c>
      <c r="I1468" t="s">
        <v>2291</v>
      </c>
      <c r="J1468" t="s">
        <v>124</v>
      </c>
      <c r="K1468" t="s">
        <v>143</v>
      </c>
      <c r="Q1468" t="s">
        <v>57</v>
      </c>
      <c r="R1468" t="s">
        <v>2290</v>
      </c>
      <c r="Y1468" t="s">
        <v>2289</v>
      </c>
      <c r="Z1468">
        <v>3824</v>
      </c>
      <c r="AE1468">
        <v>6282</v>
      </c>
      <c r="AF1468" s="4">
        <v>0.27</v>
      </c>
      <c r="AG1468">
        <f t="shared" si="141"/>
        <v>4585.86</v>
      </c>
      <c r="AH1468" s="4">
        <v>0.18</v>
      </c>
      <c r="AI1468">
        <f t="shared" si="136"/>
        <v>5411.31</v>
      </c>
      <c r="AJ1468" s="4">
        <v>0.15</v>
      </c>
      <c r="AK1468">
        <f t="shared" si="137"/>
        <v>811.7</v>
      </c>
      <c r="AL1468">
        <f t="shared" si="138"/>
        <v>6223.01</v>
      </c>
      <c r="AM1468">
        <f t="shared" si="139"/>
        <v>58.9899999999998</v>
      </c>
      <c r="AN1468" s="4">
        <f t="shared" si="140"/>
        <v>0.0093903215536453</v>
      </c>
      <c r="AO1468" t="s">
        <v>221</v>
      </c>
      <c r="AQ1468" t="s">
        <v>217</v>
      </c>
    </row>
    <row r="1469" ht="15.75" customHeight="1" spans="1:43">
      <c r="A1469" t="s">
        <v>2292</v>
      </c>
      <c r="B1469" t="s">
        <v>46</v>
      </c>
      <c r="C1469" t="s">
        <v>2210</v>
      </c>
      <c r="D1469" t="s">
        <v>2286</v>
      </c>
      <c r="E1469" t="s">
        <v>2293</v>
      </c>
      <c r="F1469" t="s">
        <v>2294</v>
      </c>
      <c r="H1469" t="s">
        <v>319</v>
      </c>
      <c r="I1469" t="s">
        <v>2232</v>
      </c>
      <c r="J1469" t="s">
        <v>124</v>
      </c>
      <c r="K1469" t="s">
        <v>143</v>
      </c>
      <c r="Q1469" t="s">
        <v>57</v>
      </c>
      <c r="R1469">
        <v>101</v>
      </c>
      <c r="Y1469" t="s">
        <v>2295</v>
      </c>
      <c r="Z1469">
        <v>3824</v>
      </c>
      <c r="AE1469">
        <v>37</v>
      </c>
      <c r="AF1469" s="4">
        <v>0.35</v>
      </c>
      <c r="AG1469">
        <f t="shared" si="141"/>
        <v>24.05</v>
      </c>
      <c r="AH1469" s="4">
        <v>0.18</v>
      </c>
      <c r="AI1469">
        <f t="shared" si="136"/>
        <v>28.38</v>
      </c>
      <c r="AJ1469" s="4">
        <v>0.15</v>
      </c>
      <c r="AK1469">
        <f t="shared" si="137"/>
        <v>4.26</v>
      </c>
      <c r="AL1469">
        <f t="shared" si="138"/>
        <v>32.64</v>
      </c>
      <c r="AM1469">
        <f t="shared" si="139"/>
        <v>4.36</v>
      </c>
      <c r="AN1469" s="4">
        <f t="shared" si="140"/>
        <v>0.117837837837838</v>
      </c>
      <c r="AO1469" t="s">
        <v>221</v>
      </c>
      <c r="AQ1469" t="s">
        <v>217</v>
      </c>
    </row>
    <row r="1470" ht="15.75" customHeight="1" spans="1:43">
      <c r="A1470" t="s">
        <v>2292</v>
      </c>
      <c r="B1470" t="s">
        <v>67</v>
      </c>
      <c r="C1470" t="s">
        <v>2210</v>
      </c>
      <c r="D1470" t="s">
        <v>2286</v>
      </c>
      <c r="E1470" t="s">
        <v>2293</v>
      </c>
      <c r="F1470" t="s">
        <v>2294</v>
      </c>
      <c r="H1470" t="s">
        <v>319</v>
      </c>
      <c r="I1470" t="s">
        <v>327</v>
      </c>
      <c r="J1470" t="s">
        <v>124</v>
      </c>
      <c r="K1470" t="s">
        <v>143</v>
      </c>
      <c r="Q1470" t="s">
        <v>57</v>
      </c>
      <c r="R1470">
        <v>101</v>
      </c>
      <c r="Y1470" t="s">
        <v>2295</v>
      </c>
      <c r="Z1470">
        <v>3824</v>
      </c>
      <c r="AE1470">
        <v>165</v>
      </c>
      <c r="AF1470" s="4">
        <v>0.35</v>
      </c>
      <c r="AG1470">
        <f t="shared" si="141"/>
        <v>107.25</v>
      </c>
      <c r="AH1470" s="4">
        <v>0.18</v>
      </c>
      <c r="AI1470">
        <f t="shared" si="136"/>
        <v>126.56</v>
      </c>
      <c r="AJ1470" s="4">
        <v>0.15</v>
      </c>
      <c r="AK1470">
        <f t="shared" si="137"/>
        <v>18.98</v>
      </c>
      <c r="AL1470">
        <f t="shared" si="138"/>
        <v>145.54</v>
      </c>
      <c r="AM1470">
        <f t="shared" si="139"/>
        <v>19.46</v>
      </c>
      <c r="AN1470" s="4">
        <f t="shared" si="140"/>
        <v>0.117939393939394</v>
      </c>
      <c r="AO1470" t="s">
        <v>221</v>
      </c>
      <c r="AQ1470" t="s">
        <v>217</v>
      </c>
    </row>
    <row r="1471" ht="15.75" customHeight="1" spans="1:43">
      <c r="A1471" t="s">
        <v>2292</v>
      </c>
      <c r="B1471" t="s">
        <v>71</v>
      </c>
      <c r="C1471" t="s">
        <v>2210</v>
      </c>
      <c r="D1471" t="s">
        <v>2286</v>
      </c>
      <c r="E1471" t="s">
        <v>2293</v>
      </c>
      <c r="F1471" t="s">
        <v>2294</v>
      </c>
      <c r="H1471" t="s">
        <v>319</v>
      </c>
      <c r="I1471" t="s">
        <v>329</v>
      </c>
      <c r="J1471" t="s">
        <v>124</v>
      </c>
      <c r="K1471" t="s">
        <v>143</v>
      </c>
      <c r="Q1471" t="s">
        <v>57</v>
      </c>
      <c r="R1471">
        <v>101</v>
      </c>
      <c r="Y1471" t="s">
        <v>2295</v>
      </c>
      <c r="Z1471">
        <v>3824</v>
      </c>
      <c r="AE1471">
        <v>770</v>
      </c>
      <c r="AF1471" s="4">
        <v>0.35</v>
      </c>
      <c r="AG1471">
        <f t="shared" si="141"/>
        <v>500.5</v>
      </c>
      <c r="AH1471" s="4">
        <v>0.18</v>
      </c>
      <c r="AI1471">
        <f t="shared" si="136"/>
        <v>590.59</v>
      </c>
      <c r="AJ1471" s="4">
        <v>0.15</v>
      </c>
      <c r="AK1471">
        <f t="shared" si="137"/>
        <v>88.59</v>
      </c>
      <c r="AL1471">
        <f t="shared" si="138"/>
        <v>679.18</v>
      </c>
      <c r="AM1471">
        <f t="shared" si="139"/>
        <v>90.8199999999999</v>
      </c>
      <c r="AN1471" s="4">
        <f t="shared" si="140"/>
        <v>0.117948051948052</v>
      </c>
      <c r="AO1471" t="s">
        <v>221</v>
      </c>
      <c r="AQ1471" t="s">
        <v>217</v>
      </c>
    </row>
    <row r="1472" ht="15.75" customHeight="1" spans="1:43">
      <c r="A1472" t="s">
        <v>2292</v>
      </c>
      <c r="B1472" t="s">
        <v>75</v>
      </c>
      <c r="C1472" t="s">
        <v>2210</v>
      </c>
      <c r="D1472" t="s">
        <v>2286</v>
      </c>
      <c r="E1472" t="s">
        <v>2293</v>
      </c>
      <c r="F1472" t="s">
        <v>2294</v>
      </c>
      <c r="H1472" t="s">
        <v>319</v>
      </c>
      <c r="I1472" t="s">
        <v>2216</v>
      </c>
      <c r="J1472" t="s">
        <v>124</v>
      </c>
      <c r="K1472" t="s">
        <v>143</v>
      </c>
      <c r="Q1472" t="s">
        <v>57</v>
      </c>
      <c r="R1472">
        <v>101</v>
      </c>
      <c r="Y1472" t="s">
        <v>2295</v>
      </c>
      <c r="Z1472">
        <v>3824</v>
      </c>
      <c r="AE1472">
        <v>1460</v>
      </c>
      <c r="AF1472" s="4">
        <v>0.35</v>
      </c>
      <c r="AG1472">
        <f t="shared" si="141"/>
        <v>949</v>
      </c>
      <c r="AH1472" s="4">
        <v>0.18</v>
      </c>
      <c r="AI1472">
        <f t="shared" si="136"/>
        <v>1119.82</v>
      </c>
      <c r="AJ1472" s="4">
        <v>0.15</v>
      </c>
      <c r="AK1472">
        <f t="shared" si="137"/>
        <v>167.97</v>
      </c>
      <c r="AL1472">
        <f t="shared" si="138"/>
        <v>1287.79</v>
      </c>
      <c r="AM1472">
        <f t="shared" si="139"/>
        <v>172.21</v>
      </c>
      <c r="AN1472" s="4">
        <f t="shared" si="140"/>
        <v>0.117952054794521</v>
      </c>
      <c r="AO1472" t="s">
        <v>221</v>
      </c>
      <c r="AQ1472" t="s">
        <v>217</v>
      </c>
    </row>
    <row r="1473" ht="15.75" customHeight="1" spans="1:43">
      <c r="A1473" t="s">
        <v>2292</v>
      </c>
      <c r="B1473" t="s">
        <v>79</v>
      </c>
      <c r="C1473" t="s">
        <v>2210</v>
      </c>
      <c r="D1473" t="s">
        <v>2286</v>
      </c>
      <c r="E1473" t="s">
        <v>2293</v>
      </c>
      <c r="F1473" t="s">
        <v>2294</v>
      </c>
      <c r="H1473" t="s">
        <v>319</v>
      </c>
      <c r="I1473" t="s">
        <v>2217</v>
      </c>
      <c r="J1473" t="s">
        <v>124</v>
      </c>
      <c r="K1473" t="s">
        <v>143</v>
      </c>
      <c r="Q1473" t="s">
        <v>57</v>
      </c>
      <c r="R1473">
        <v>101</v>
      </c>
      <c r="Y1473" t="s">
        <v>2295</v>
      </c>
      <c r="Z1473">
        <v>3824</v>
      </c>
      <c r="AE1473">
        <v>2600</v>
      </c>
      <c r="AF1473" s="4">
        <v>0.35</v>
      </c>
      <c r="AG1473">
        <f t="shared" si="141"/>
        <v>1690</v>
      </c>
      <c r="AH1473" s="4">
        <v>0.18</v>
      </c>
      <c r="AI1473">
        <f t="shared" si="136"/>
        <v>1994.2</v>
      </c>
      <c r="AJ1473" s="4">
        <v>0.15</v>
      </c>
      <c r="AK1473">
        <f t="shared" si="137"/>
        <v>299.13</v>
      </c>
      <c r="AL1473">
        <f t="shared" si="138"/>
        <v>2293.33</v>
      </c>
      <c r="AM1473">
        <f t="shared" si="139"/>
        <v>306.67</v>
      </c>
      <c r="AN1473" s="4">
        <f t="shared" si="140"/>
        <v>0.11795</v>
      </c>
      <c r="AO1473" t="s">
        <v>221</v>
      </c>
      <c r="AQ1473" t="s">
        <v>217</v>
      </c>
    </row>
    <row r="1474" ht="15.75" customHeight="1" spans="1:43">
      <c r="A1474" t="s">
        <v>2292</v>
      </c>
      <c r="B1474" t="s">
        <v>83</v>
      </c>
      <c r="C1474" t="s">
        <v>2210</v>
      </c>
      <c r="D1474" t="s">
        <v>2286</v>
      </c>
      <c r="E1474" t="s">
        <v>2293</v>
      </c>
      <c r="F1474" t="s">
        <v>2294</v>
      </c>
      <c r="H1474" t="s">
        <v>319</v>
      </c>
      <c r="I1474" t="s">
        <v>2291</v>
      </c>
      <c r="J1474" t="s">
        <v>124</v>
      </c>
      <c r="K1474" t="s">
        <v>143</v>
      </c>
      <c r="Q1474" t="s">
        <v>57</v>
      </c>
      <c r="R1474">
        <v>101</v>
      </c>
      <c r="Y1474" t="s">
        <v>2295</v>
      </c>
      <c r="Z1474">
        <v>3824</v>
      </c>
      <c r="AE1474">
        <v>5410</v>
      </c>
      <c r="AF1474" s="4">
        <v>0.37</v>
      </c>
      <c r="AG1474">
        <f t="shared" si="141"/>
        <v>3408.3</v>
      </c>
      <c r="AH1474" s="4">
        <v>0.18</v>
      </c>
      <c r="AI1474">
        <f t="shared" ref="AI1474:AI1537" si="142">ROUND(AG1474+(AG1474*AH1474),2)</f>
        <v>4021.79</v>
      </c>
      <c r="AJ1474" s="4">
        <v>0.15</v>
      </c>
      <c r="AK1474">
        <f t="shared" ref="AK1474:AK1537" si="143">ROUND(AI1474*AJ1474,2)</f>
        <v>603.27</v>
      </c>
      <c r="AL1474">
        <f t="shared" ref="AL1474:AL1537" si="144">AI1474+AK1474</f>
        <v>4625.06</v>
      </c>
      <c r="AM1474">
        <f t="shared" ref="AM1474:AM1537" si="145">AE1474-AL1474</f>
        <v>784.940000000001</v>
      </c>
      <c r="AN1474" s="4">
        <f t="shared" ref="AN1474:AN1537" si="146">AM1474/AE1474</f>
        <v>0.145090573012939</v>
      </c>
      <c r="AO1474" t="s">
        <v>221</v>
      </c>
      <c r="AQ1474" t="s">
        <v>217</v>
      </c>
    </row>
    <row r="1475" ht="15.75" customHeight="1" spans="1:43">
      <c r="A1475" t="s">
        <v>2296</v>
      </c>
      <c r="B1475" t="s">
        <v>46</v>
      </c>
      <c r="C1475" t="s">
        <v>2210</v>
      </c>
      <c r="D1475" t="s">
        <v>2286</v>
      </c>
      <c r="E1475" t="s">
        <v>2293</v>
      </c>
      <c r="F1475" t="s">
        <v>2297</v>
      </c>
      <c r="H1475" t="s">
        <v>319</v>
      </c>
      <c r="I1475" t="s">
        <v>303</v>
      </c>
      <c r="J1475" t="s">
        <v>124</v>
      </c>
      <c r="K1475" t="s">
        <v>143</v>
      </c>
      <c r="Q1475" t="s">
        <v>57</v>
      </c>
      <c r="R1475">
        <v>301</v>
      </c>
      <c r="Y1475" t="s">
        <v>2298</v>
      </c>
      <c r="Z1475">
        <v>3824</v>
      </c>
      <c r="AE1475">
        <v>110</v>
      </c>
      <c r="AF1475" s="4">
        <v>0.35</v>
      </c>
      <c r="AG1475">
        <f t="shared" si="141"/>
        <v>71.5</v>
      </c>
      <c r="AH1475" s="4">
        <v>0.18</v>
      </c>
      <c r="AI1475">
        <f t="shared" si="142"/>
        <v>84.37</v>
      </c>
      <c r="AJ1475" s="4">
        <v>0.15</v>
      </c>
      <c r="AK1475">
        <f t="shared" si="143"/>
        <v>12.66</v>
      </c>
      <c r="AL1475">
        <f t="shared" si="144"/>
        <v>97.03</v>
      </c>
      <c r="AM1475">
        <f t="shared" si="145"/>
        <v>12.97</v>
      </c>
      <c r="AN1475" s="4">
        <f t="shared" si="146"/>
        <v>0.117909090909091</v>
      </c>
      <c r="AO1475" t="s">
        <v>221</v>
      </c>
      <c r="AQ1475" t="s">
        <v>217</v>
      </c>
    </row>
    <row r="1476" ht="15.75" customHeight="1" spans="1:43">
      <c r="A1476" t="s">
        <v>2296</v>
      </c>
      <c r="B1476" t="s">
        <v>67</v>
      </c>
      <c r="C1476" t="s">
        <v>2210</v>
      </c>
      <c r="D1476" t="s">
        <v>2286</v>
      </c>
      <c r="E1476" t="s">
        <v>2293</v>
      </c>
      <c r="F1476" t="s">
        <v>2297</v>
      </c>
      <c r="H1476" t="s">
        <v>319</v>
      </c>
      <c r="I1476" t="s">
        <v>231</v>
      </c>
      <c r="J1476" t="s">
        <v>124</v>
      </c>
      <c r="K1476" t="s">
        <v>143</v>
      </c>
      <c r="Q1476" t="s">
        <v>57</v>
      </c>
      <c r="R1476">
        <v>301</v>
      </c>
      <c r="Y1476" t="s">
        <v>2298</v>
      </c>
      <c r="Z1476">
        <v>3824</v>
      </c>
      <c r="AE1476">
        <v>230</v>
      </c>
      <c r="AF1476" s="4">
        <v>0.35</v>
      </c>
      <c r="AG1476">
        <f t="shared" ref="AG1476:AG1539" si="147">ROUND(AE1476-(AE1476*AF1476),2)</f>
        <v>149.5</v>
      </c>
      <c r="AH1476" s="4">
        <v>0.18</v>
      </c>
      <c r="AI1476">
        <f t="shared" si="142"/>
        <v>176.41</v>
      </c>
      <c r="AJ1476" s="4">
        <v>0.15</v>
      </c>
      <c r="AK1476">
        <f t="shared" si="143"/>
        <v>26.46</v>
      </c>
      <c r="AL1476">
        <f t="shared" si="144"/>
        <v>202.87</v>
      </c>
      <c r="AM1476">
        <f t="shared" si="145"/>
        <v>27.13</v>
      </c>
      <c r="AN1476" s="4">
        <f t="shared" si="146"/>
        <v>0.11795652173913</v>
      </c>
      <c r="AO1476" t="s">
        <v>221</v>
      </c>
      <c r="AQ1476" t="s">
        <v>217</v>
      </c>
    </row>
    <row r="1477" ht="15.75" customHeight="1" spans="1:43">
      <c r="A1477" t="s">
        <v>2296</v>
      </c>
      <c r="B1477" t="s">
        <v>71</v>
      </c>
      <c r="C1477" t="s">
        <v>2210</v>
      </c>
      <c r="D1477" t="s">
        <v>2286</v>
      </c>
      <c r="E1477" t="s">
        <v>2293</v>
      </c>
      <c r="F1477" t="s">
        <v>2297</v>
      </c>
      <c r="H1477" t="s">
        <v>319</v>
      </c>
      <c r="I1477" t="s">
        <v>2299</v>
      </c>
      <c r="J1477" t="s">
        <v>124</v>
      </c>
      <c r="K1477" t="s">
        <v>143</v>
      </c>
      <c r="Q1477" t="s">
        <v>57</v>
      </c>
      <c r="R1477">
        <v>301</v>
      </c>
      <c r="Y1477" t="s">
        <v>2298</v>
      </c>
      <c r="Z1477">
        <v>3824</v>
      </c>
      <c r="AE1477">
        <v>340</v>
      </c>
      <c r="AF1477" s="4">
        <v>0.35</v>
      </c>
      <c r="AG1477">
        <f t="shared" si="147"/>
        <v>221</v>
      </c>
      <c r="AH1477" s="4">
        <v>0.18</v>
      </c>
      <c r="AI1477">
        <f t="shared" si="142"/>
        <v>260.78</v>
      </c>
      <c r="AJ1477" s="4">
        <v>0.15</v>
      </c>
      <c r="AK1477">
        <f t="shared" si="143"/>
        <v>39.12</v>
      </c>
      <c r="AL1477">
        <f t="shared" si="144"/>
        <v>299.9</v>
      </c>
      <c r="AM1477">
        <f t="shared" si="145"/>
        <v>40.1</v>
      </c>
      <c r="AN1477" s="4">
        <f t="shared" si="146"/>
        <v>0.117941176470588</v>
      </c>
      <c r="AO1477" t="s">
        <v>221</v>
      </c>
      <c r="AQ1477" t="s">
        <v>217</v>
      </c>
    </row>
    <row r="1478" ht="15.75" customHeight="1" spans="1:43">
      <c r="A1478" t="s">
        <v>2296</v>
      </c>
      <c r="B1478" t="s">
        <v>75</v>
      </c>
      <c r="C1478" t="s">
        <v>2210</v>
      </c>
      <c r="D1478" t="s">
        <v>2286</v>
      </c>
      <c r="E1478" t="s">
        <v>2293</v>
      </c>
      <c r="F1478" t="s">
        <v>2297</v>
      </c>
      <c r="H1478" t="s">
        <v>319</v>
      </c>
      <c r="I1478" t="s">
        <v>238</v>
      </c>
      <c r="J1478" t="s">
        <v>124</v>
      </c>
      <c r="K1478" t="s">
        <v>143</v>
      </c>
      <c r="Q1478" t="s">
        <v>57</v>
      </c>
      <c r="R1478">
        <v>301</v>
      </c>
      <c r="Y1478" t="s">
        <v>2298</v>
      </c>
      <c r="Z1478">
        <v>3824</v>
      </c>
      <c r="AE1478">
        <v>1450</v>
      </c>
      <c r="AF1478" s="4">
        <v>0.325</v>
      </c>
      <c r="AG1478">
        <f t="shared" si="147"/>
        <v>978.75</v>
      </c>
      <c r="AH1478" s="4">
        <v>0.18</v>
      </c>
      <c r="AI1478">
        <f t="shared" si="142"/>
        <v>1154.93</v>
      </c>
      <c r="AJ1478" s="4">
        <v>0.15</v>
      </c>
      <c r="AK1478">
        <f t="shared" si="143"/>
        <v>173.24</v>
      </c>
      <c r="AL1478">
        <f t="shared" si="144"/>
        <v>1328.17</v>
      </c>
      <c r="AM1478">
        <f t="shared" si="145"/>
        <v>121.83</v>
      </c>
      <c r="AN1478" s="4">
        <f t="shared" si="146"/>
        <v>0.0840206896551724</v>
      </c>
      <c r="AO1478" t="s">
        <v>221</v>
      </c>
      <c r="AQ1478" t="s">
        <v>217</v>
      </c>
    </row>
    <row r="1479" ht="15.75" customHeight="1" spans="1:43">
      <c r="A1479" t="s">
        <v>2296</v>
      </c>
      <c r="B1479" t="s">
        <v>79</v>
      </c>
      <c r="C1479" t="s">
        <v>2210</v>
      </c>
      <c r="D1479" t="s">
        <v>2286</v>
      </c>
      <c r="E1479" t="s">
        <v>2293</v>
      </c>
      <c r="F1479" t="s">
        <v>2297</v>
      </c>
      <c r="H1479" t="s">
        <v>319</v>
      </c>
      <c r="I1479" t="s">
        <v>240</v>
      </c>
      <c r="J1479" t="s">
        <v>124</v>
      </c>
      <c r="K1479" t="s">
        <v>143</v>
      </c>
      <c r="Q1479" t="s">
        <v>57</v>
      </c>
      <c r="R1479">
        <v>301</v>
      </c>
      <c r="Y1479" t="s">
        <v>2298</v>
      </c>
      <c r="Z1479">
        <v>3824</v>
      </c>
      <c r="AE1479">
        <v>3790</v>
      </c>
      <c r="AF1479" s="4">
        <v>0.33</v>
      </c>
      <c r="AG1479">
        <f t="shared" si="147"/>
        <v>2539.3</v>
      </c>
      <c r="AH1479" s="4">
        <v>0.18</v>
      </c>
      <c r="AI1479">
        <f t="shared" si="142"/>
        <v>2996.37</v>
      </c>
      <c r="AJ1479" s="4">
        <v>0.15</v>
      </c>
      <c r="AK1479">
        <f t="shared" si="143"/>
        <v>449.46</v>
      </c>
      <c r="AL1479">
        <f t="shared" si="144"/>
        <v>3445.83</v>
      </c>
      <c r="AM1479">
        <f t="shared" si="145"/>
        <v>344.17</v>
      </c>
      <c r="AN1479" s="4">
        <f t="shared" si="146"/>
        <v>0.0908100263852243</v>
      </c>
      <c r="AO1479" t="s">
        <v>221</v>
      </c>
      <c r="AQ1479" t="s">
        <v>217</v>
      </c>
    </row>
    <row r="1480" ht="15.75" customHeight="1" spans="1:43">
      <c r="A1480" t="s">
        <v>2296</v>
      </c>
      <c r="B1480" t="s">
        <v>83</v>
      </c>
      <c r="C1480" t="s">
        <v>2210</v>
      </c>
      <c r="D1480" t="s">
        <v>2286</v>
      </c>
      <c r="E1480" t="s">
        <v>2293</v>
      </c>
      <c r="F1480" t="s">
        <v>2297</v>
      </c>
      <c r="H1480" t="s">
        <v>319</v>
      </c>
      <c r="I1480" t="s">
        <v>242</v>
      </c>
      <c r="J1480" t="s">
        <v>124</v>
      </c>
      <c r="K1480" t="s">
        <v>143</v>
      </c>
      <c r="Q1480" t="s">
        <v>57</v>
      </c>
      <c r="R1480">
        <v>301</v>
      </c>
      <c r="Y1480" t="s">
        <v>2298</v>
      </c>
      <c r="Z1480">
        <v>3824</v>
      </c>
      <c r="AE1480">
        <v>6490</v>
      </c>
      <c r="AF1480" s="4">
        <v>0.37</v>
      </c>
      <c r="AG1480">
        <f t="shared" si="147"/>
        <v>4088.7</v>
      </c>
      <c r="AH1480" s="4">
        <v>0.18</v>
      </c>
      <c r="AI1480">
        <f t="shared" si="142"/>
        <v>4824.67</v>
      </c>
      <c r="AJ1480" s="4">
        <v>0.15</v>
      </c>
      <c r="AK1480">
        <f t="shared" si="143"/>
        <v>723.7</v>
      </c>
      <c r="AL1480">
        <f t="shared" si="144"/>
        <v>5548.37</v>
      </c>
      <c r="AM1480">
        <f t="shared" si="145"/>
        <v>941.63</v>
      </c>
      <c r="AN1480" s="4">
        <f t="shared" si="146"/>
        <v>0.14508936825886</v>
      </c>
      <c r="AO1480" t="s">
        <v>221</v>
      </c>
      <c r="AQ1480" t="s">
        <v>217</v>
      </c>
    </row>
    <row r="1481" ht="15.75" customHeight="1" spans="1:43">
      <c r="A1481" t="s">
        <v>2296</v>
      </c>
      <c r="B1481" t="s">
        <v>131</v>
      </c>
      <c r="C1481" t="s">
        <v>2210</v>
      </c>
      <c r="D1481" t="s">
        <v>2286</v>
      </c>
      <c r="E1481" t="s">
        <v>2293</v>
      </c>
      <c r="F1481" t="s">
        <v>2297</v>
      </c>
      <c r="H1481" t="s">
        <v>319</v>
      </c>
      <c r="I1481" t="s">
        <v>246</v>
      </c>
      <c r="J1481" t="s">
        <v>124</v>
      </c>
      <c r="K1481" t="s">
        <v>143</v>
      </c>
      <c r="Q1481" t="s">
        <v>57</v>
      </c>
      <c r="R1481">
        <v>301</v>
      </c>
      <c r="Y1481" t="s">
        <v>2298</v>
      </c>
      <c r="Z1481">
        <v>3824</v>
      </c>
      <c r="AE1481">
        <v>13855</v>
      </c>
      <c r="AF1481" s="4">
        <v>0.37</v>
      </c>
      <c r="AG1481">
        <f t="shared" si="147"/>
        <v>8728.65</v>
      </c>
      <c r="AH1481" s="4">
        <v>0.18</v>
      </c>
      <c r="AI1481">
        <f t="shared" si="142"/>
        <v>10299.81</v>
      </c>
      <c r="AJ1481" s="4">
        <v>0.15</v>
      </c>
      <c r="AK1481">
        <f t="shared" si="143"/>
        <v>1544.97</v>
      </c>
      <c r="AL1481">
        <f t="shared" si="144"/>
        <v>11844.78</v>
      </c>
      <c r="AM1481">
        <f t="shared" si="145"/>
        <v>2010.22</v>
      </c>
      <c r="AN1481" s="4">
        <f t="shared" si="146"/>
        <v>0.145089859256586</v>
      </c>
      <c r="AO1481" t="s">
        <v>221</v>
      </c>
      <c r="AQ1481" t="s">
        <v>217</v>
      </c>
    </row>
    <row r="1482" ht="15.75" customHeight="1" spans="1:43">
      <c r="A1482" t="s">
        <v>2300</v>
      </c>
      <c r="B1482" t="s">
        <v>46</v>
      </c>
      <c r="C1482" t="s">
        <v>2210</v>
      </c>
      <c r="D1482" t="s">
        <v>2301</v>
      </c>
      <c r="E1482" t="s">
        <v>2302</v>
      </c>
      <c r="F1482" t="s">
        <v>2303</v>
      </c>
      <c r="H1482" t="s">
        <v>319</v>
      </c>
      <c r="I1482" t="s">
        <v>2304</v>
      </c>
      <c r="J1482" t="s">
        <v>124</v>
      </c>
      <c r="K1482" t="s">
        <v>143</v>
      </c>
      <c r="Q1482" t="s">
        <v>57</v>
      </c>
      <c r="Y1482" t="s">
        <v>2305</v>
      </c>
      <c r="Z1482">
        <v>3824</v>
      </c>
      <c r="AE1482">
        <v>65</v>
      </c>
      <c r="AF1482" s="4">
        <v>0.3</v>
      </c>
      <c r="AG1482">
        <f t="shared" si="147"/>
        <v>45.5</v>
      </c>
      <c r="AH1482" s="4">
        <v>0.05</v>
      </c>
      <c r="AI1482">
        <f t="shared" si="142"/>
        <v>47.78</v>
      </c>
      <c r="AJ1482" s="4">
        <v>0.15</v>
      </c>
      <c r="AK1482">
        <f t="shared" si="143"/>
        <v>7.17</v>
      </c>
      <c r="AL1482">
        <f t="shared" si="144"/>
        <v>54.95</v>
      </c>
      <c r="AM1482">
        <f t="shared" si="145"/>
        <v>10.05</v>
      </c>
      <c r="AN1482" s="4">
        <f t="shared" si="146"/>
        <v>0.154615384615385</v>
      </c>
      <c r="AO1482" t="s">
        <v>221</v>
      </c>
      <c r="AQ1482" t="s">
        <v>217</v>
      </c>
    </row>
    <row r="1483" ht="15.75" customHeight="1" spans="1:43">
      <c r="A1483" t="s">
        <v>2300</v>
      </c>
      <c r="B1483" t="s">
        <v>67</v>
      </c>
      <c r="C1483" t="s">
        <v>2210</v>
      </c>
      <c r="D1483" t="s">
        <v>2301</v>
      </c>
      <c r="E1483" t="s">
        <v>2302</v>
      </c>
      <c r="F1483" t="s">
        <v>2303</v>
      </c>
      <c r="H1483" t="s">
        <v>319</v>
      </c>
      <c r="I1483" t="s">
        <v>2306</v>
      </c>
      <c r="J1483" t="s">
        <v>124</v>
      </c>
      <c r="K1483" t="s">
        <v>143</v>
      </c>
      <c r="Q1483" t="s">
        <v>57</v>
      </c>
      <c r="Y1483" t="s">
        <v>2305</v>
      </c>
      <c r="Z1483">
        <v>3824</v>
      </c>
      <c r="AE1483">
        <v>530</v>
      </c>
      <c r="AF1483" s="4">
        <v>0.25</v>
      </c>
      <c r="AG1483">
        <f t="shared" si="147"/>
        <v>397.5</v>
      </c>
      <c r="AH1483" s="4">
        <v>0.05</v>
      </c>
      <c r="AI1483">
        <f t="shared" si="142"/>
        <v>417.38</v>
      </c>
      <c r="AJ1483" s="4">
        <v>0.15</v>
      </c>
      <c r="AK1483">
        <f t="shared" si="143"/>
        <v>62.61</v>
      </c>
      <c r="AL1483">
        <f t="shared" si="144"/>
        <v>479.99</v>
      </c>
      <c r="AM1483">
        <f t="shared" si="145"/>
        <v>50.01</v>
      </c>
      <c r="AN1483" s="4">
        <f t="shared" si="146"/>
        <v>0.0943584905660377</v>
      </c>
      <c r="AO1483" t="s">
        <v>221</v>
      </c>
      <c r="AQ1483" t="s">
        <v>217</v>
      </c>
    </row>
    <row r="1484" ht="15.75" customHeight="1" spans="1:43">
      <c r="A1484" t="s">
        <v>2300</v>
      </c>
      <c r="B1484" t="s">
        <v>71</v>
      </c>
      <c r="C1484" t="s">
        <v>2210</v>
      </c>
      <c r="D1484" t="s">
        <v>2301</v>
      </c>
      <c r="E1484" t="s">
        <v>2302</v>
      </c>
      <c r="F1484" t="s">
        <v>2303</v>
      </c>
      <c r="H1484" t="s">
        <v>319</v>
      </c>
      <c r="I1484" t="s">
        <v>2307</v>
      </c>
      <c r="J1484" t="s">
        <v>124</v>
      </c>
      <c r="K1484" t="s">
        <v>143</v>
      </c>
      <c r="Q1484" t="s">
        <v>57</v>
      </c>
      <c r="Y1484" t="s">
        <v>2305</v>
      </c>
      <c r="Z1484">
        <v>3824</v>
      </c>
      <c r="AE1484">
        <v>1120</v>
      </c>
      <c r="AF1484" s="4">
        <v>0.45</v>
      </c>
      <c r="AG1484">
        <f t="shared" si="147"/>
        <v>616</v>
      </c>
      <c r="AH1484" s="4">
        <v>0.05</v>
      </c>
      <c r="AI1484">
        <f t="shared" si="142"/>
        <v>646.8</v>
      </c>
      <c r="AJ1484" s="4">
        <v>0.15</v>
      </c>
      <c r="AK1484">
        <f t="shared" si="143"/>
        <v>97.02</v>
      </c>
      <c r="AL1484">
        <f t="shared" si="144"/>
        <v>743.82</v>
      </c>
      <c r="AM1484">
        <f t="shared" si="145"/>
        <v>376.18</v>
      </c>
      <c r="AN1484" s="4">
        <f t="shared" si="146"/>
        <v>0.335875</v>
      </c>
      <c r="AO1484" t="s">
        <v>221</v>
      </c>
      <c r="AQ1484" t="s">
        <v>217</v>
      </c>
    </row>
    <row r="1485" ht="15.75" customHeight="1" spans="1:43">
      <c r="A1485" t="s">
        <v>2308</v>
      </c>
      <c r="B1485" t="s">
        <v>46</v>
      </c>
      <c r="C1485" t="s">
        <v>2210</v>
      </c>
      <c r="D1485" t="s">
        <v>2301</v>
      </c>
      <c r="E1485" t="s">
        <v>2309</v>
      </c>
      <c r="F1485" t="s">
        <v>2310</v>
      </c>
      <c r="H1485" t="s">
        <v>319</v>
      </c>
      <c r="I1485" t="s">
        <v>2306</v>
      </c>
      <c r="J1485" t="s">
        <v>124</v>
      </c>
      <c r="K1485" t="s">
        <v>143</v>
      </c>
      <c r="Q1485" t="s">
        <v>57</v>
      </c>
      <c r="Y1485" t="s">
        <v>2311</v>
      </c>
      <c r="Z1485">
        <v>3824</v>
      </c>
      <c r="AE1485">
        <v>555</v>
      </c>
      <c r="AF1485" s="4">
        <v>0.39</v>
      </c>
      <c r="AG1485">
        <f t="shared" si="147"/>
        <v>338.55</v>
      </c>
      <c r="AH1485" s="4">
        <v>0.05</v>
      </c>
      <c r="AI1485">
        <f t="shared" si="142"/>
        <v>355.48</v>
      </c>
      <c r="AJ1485" s="4">
        <v>0.15</v>
      </c>
      <c r="AK1485">
        <f t="shared" si="143"/>
        <v>53.32</v>
      </c>
      <c r="AL1485">
        <f t="shared" si="144"/>
        <v>408.8</v>
      </c>
      <c r="AM1485">
        <f t="shared" si="145"/>
        <v>146.2</v>
      </c>
      <c r="AN1485" s="4">
        <f t="shared" si="146"/>
        <v>0.263423423423423</v>
      </c>
      <c r="AO1485" t="s">
        <v>221</v>
      </c>
      <c r="AQ1485" t="s">
        <v>217</v>
      </c>
    </row>
    <row r="1486" ht="15.75" customHeight="1" spans="1:43">
      <c r="A1486" t="s">
        <v>2308</v>
      </c>
      <c r="B1486" t="s">
        <v>67</v>
      </c>
      <c r="C1486" t="s">
        <v>2210</v>
      </c>
      <c r="D1486" t="s">
        <v>2301</v>
      </c>
      <c r="E1486" t="s">
        <v>2309</v>
      </c>
      <c r="F1486" t="s">
        <v>2310</v>
      </c>
      <c r="H1486" t="s">
        <v>319</v>
      </c>
      <c r="I1486" t="s">
        <v>2307</v>
      </c>
      <c r="J1486" t="s">
        <v>124</v>
      </c>
      <c r="K1486" t="s">
        <v>143</v>
      </c>
      <c r="Q1486" t="s">
        <v>57</v>
      </c>
      <c r="Y1486" t="s">
        <v>2311</v>
      </c>
      <c r="Z1486">
        <v>3214</v>
      </c>
      <c r="AE1486">
        <v>1110</v>
      </c>
      <c r="AF1486" s="4">
        <v>0.46</v>
      </c>
      <c r="AG1486">
        <f t="shared" si="147"/>
        <v>599.4</v>
      </c>
      <c r="AH1486" s="4">
        <v>0.05</v>
      </c>
      <c r="AI1486">
        <f t="shared" si="142"/>
        <v>629.37</v>
      </c>
      <c r="AJ1486" s="4">
        <v>0.15</v>
      </c>
      <c r="AK1486">
        <f t="shared" si="143"/>
        <v>94.41</v>
      </c>
      <c r="AL1486">
        <f t="shared" si="144"/>
        <v>723.78</v>
      </c>
      <c r="AM1486">
        <f t="shared" si="145"/>
        <v>386.22</v>
      </c>
      <c r="AN1486" s="4">
        <f t="shared" si="146"/>
        <v>0.347945945945946</v>
      </c>
      <c r="AO1486" t="s">
        <v>221</v>
      </c>
      <c r="AQ1486" t="s">
        <v>217</v>
      </c>
    </row>
    <row r="1487" ht="15.75" customHeight="1" spans="1:43">
      <c r="A1487" t="s">
        <v>2312</v>
      </c>
      <c r="B1487" t="s">
        <v>46</v>
      </c>
      <c r="C1487" t="s">
        <v>2210</v>
      </c>
      <c r="D1487" t="s">
        <v>2313</v>
      </c>
      <c r="E1487" t="s">
        <v>1022</v>
      </c>
      <c r="F1487" t="s">
        <v>2314</v>
      </c>
      <c r="H1487" t="s">
        <v>53</v>
      </c>
      <c r="I1487" t="s">
        <v>2315</v>
      </c>
      <c r="Q1487" t="s">
        <v>57</v>
      </c>
      <c r="Y1487" t="s">
        <v>2316</v>
      </c>
      <c r="Z1487">
        <v>3214</v>
      </c>
      <c r="AE1487">
        <v>440</v>
      </c>
      <c r="AF1487" s="4">
        <v>0.6</v>
      </c>
      <c r="AG1487">
        <f t="shared" si="147"/>
        <v>176</v>
      </c>
      <c r="AH1487" s="4">
        <v>0.18</v>
      </c>
      <c r="AI1487">
        <f t="shared" si="142"/>
        <v>207.68</v>
      </c>
      <c r="AJ1487" s="4">
        <v>0.25</v>
      </c>
      <c r="AK1487">
        <f t="shared" si="143"/>
        <v>51.92</v>
      </c>
      <c r="AL1487">
        <f t="shared" si="144"/>
        <v>259.6</v>
      </c>
      <c r="AM1487">
        <f t="shared" si="145"/>
        <v>180.4</v>
      </c>
      <c r="AN1487" s="4">
        <f t="shared" si="146"/>
        <v>0.41</v>
      </c>
      <c r="AO1487" t="s">
        <v>221</v>
      </c>
      <c r="AQ1487" t="s">
        <v>217</v>
      </c>
    </row>
    <row r="1488" ht="15.75" customHeight="1" spans="1:43">
      <c r="A1488" t="s">
        <v>2312</v>
      </c>
      <c r="B1488" t="s">
        <v>67</v>
      </c>
      <c r="C1488" t="s">
        <v>2210</v>
      </c>
      <c r="D1488" t="s">
        <v>2313</v>
      </c>
      <c r="E1488" t="s">
        <v>1022</v>
      </c>
      <c r="F1488" t="s">
        <v>2314</v>
      </c>
      <c r="H1488" t="s">
        <v>53</v>
      </c>
      <c r="I1488" t="s">
        <v>2317</v>
      </c>
      <c r="Q1488" t="s">
        <v>57</v>
      </c>
      <c r="Y1488" t="s">
        <v>2318</v>
      </c>
      <c r="Z1488">
        <v>3214</v>
      </c>
      <c r="AE1488">
        <v>100</v>
      </c>
      <c r="AF1488" s="4">
        <v>0.6</v>
      </c>
      <c r="AG1488">
        <f t="shared" si="147"/>
        <v>40</v>
      </c>
      <c r="AH1488" s="4">
        <v>0.18</v>
      </c>
      <c r="AI1488">
        <f t="shared" si="142"/>
        <v>47.2</v>
      </c>
      <c r="AJ1488" s="4">
        <v>0.25</v>
      </c>
      <c r="AK1488">
        <f t="shared" si="143"/>
        <v>11.8</v>
      </c>
      <c r="AL1488">
        <f t="shared" si="144"/>
        <v>59</v>
      </c>
      <c r="AM1488">
        <f t="shared" si="145"/>
        <v>41</v>
      </c>
      <c r="AN1488" s="4">
        <f t="shared" si="146"/>
        <v>0.41</v>
      </c>
      <c r="AO1488" t="s">
        <v>221</v>
      </c>
      <c r="AQ1488" t="s">
        <v>217</v>
      </c>
    </row>
    <row r="1489" ht="15.75" customHeight="1" spans="1:43">
      <c r="A1489" t="s">
        <v>2312</v>
      </c>
      <c r="B1489" t="s">
        <v>71</v>
      </c>
      <c r="C1489" t="s">
        <v>2210</v>
      </c>
      <c r="D1489" t="s">
        <v>2313</v>
      </c>
      <c r="E1489" t="s">
        <v>1022</v>
      </c>
      <c r="F1489" t="s">
        <v>2314</v>
      </c>
      <c r="H1489" t="s">
        <v>53</v>
      </c>
      <c r="I1489" t="s">
        <v>2319</v>
      </c>
      <c r="Q1489" t="s">
        <v>57</v>
      </c>
      <c r="Y1489" t="s">
        <v>2320</v>
      </c>
      <c r="Z1489">
        <v>3214</v>
      </c>
      <c r="AE1489">
        <v>200</v>
      </c>
      <c r="AF1489" s="4">
        <v>0.6</v>
      </c>
      <c r="AG1489">
        <f t="shared" si="147"/>
        <v>80</v>
      </c>
      <c r="AH1489" s="4">
        <v>0.18</v>
      </c>
      <c r="AI1489">
        <f t="shared" si="142"/>
        <v>94.4</v>
      </c>
      <c r="AJ1489" s="4">
        <v>0.25</v>
      </c>
      <c r="AK1489">
        <f t="shared" si="143"/>
        <v>23.6</v>
      </c>
      <c r="AL1489">
        <f t="shared" si="144"/>
        <v>118</v>
      </c>
      <c r="AM1489">
        <f t="shared" si="145"/>
        <v>82</v>
      </c>
      <c r="AN1489" s="4">
        <f t="shared" si="146"/>
        <v>0.41</v>
      </c>
      <c r="AO1489" t="s">
        <v>221</v>
      </c>
      <c r="AQ1489" t="s">
        <v>217</v>
      </c>
    </row>
    <row r="1490" ht="15.75" customHeight="1" spans="1:43">
      <c r="A1490" t="s">
        <v>2312</v>
      </c>
      <c r="B1490" t="s">
        <v>75</v>
      </c>
      <c r="C1490" t="s">
        <v>2210</v>
      </c>
      <c r="D1490" t="s">
        <v>2313</v>
      </c>
      <c r="E1490" t="s">
        <v>1022</v>
      </c>
      <c r="F1490" t="s">
        <v>2314</v>
      </c>
      <c r="H1490" t="s">
        <v>53</v>
      </c>
      <c r="I1490" t="s">
        <v>2321</v>
      </c>
      <c r="Q1490" t="s">
        <v>57</v>
      </c>
      <c r="Y1490" t="s">
        <v>2322</v>
      </c>
      <c r="Z1490">
        <v>3214</v>
      </c>
      <c r="AE1490">
        <v>225</v>
      </c>
      <c r="AF1490" s="4">
        <v>0.6</v>
      </c>
      <c r="AG1490">
        <f t="shared" si="147"/>
        <v>90</v>
      </c>
      <c r="AH1490" s="4">
        <v>0.18</v>
      </c>
      <c r="AI1490">
        <f t="shared" si="142"/>
        <v>106.2</v>
      </c>
      <c r="AJ1490" s="4">
        <v>0.25</v>
      </c>
      <c r="AK1490">
        <f t="shared" si="143"/>
        <v>26.55</v>
      </c>
      <c r="AL1490">
        <f t="shared" si="144"/>
        <v>132.75</v>
      </c>
      <c r="AM1490">
        <f t="shared" si="145"/>
        <v>92.25</v>
      </c>
      <c r="AN1490" s="4">
        <f t="shared" si="146"/>
        <v>0.41</v>
      </c>
      <c r="AO1490" t="s">
        <v>221</v>
      </c>
      <c r="AQ1490" t="s">
        <v>217</v>
      </c>
    </row>
    <row r="1491" ht="15.75" customHeight="1" spans="1:43">
      <c r="A1491" t="s">
        <v>2312</v>
      </c>
      <c r="B1491" t="s">
        <v>79</v>
      </c>
      <c r="C1491" t="s">
        <v>2210</v>
      </c>
      <c r="D1491" t="s">
        <v>2313</v>
      </c>
      <c r="E1491" t="s">
        <v>1022</v>
      </c>
      <c r="F1491" t="s">
        <v>2314</v>
      </c>
      <c r="H1491" t="s">
        <v>53</v>
      </c>
      <c r="I1491" t="s">
        <v>2323</v>
      </c>
      <c r="Q1491" t="s">
        <v>57</v>
      </c>
      <c r="Y1491" t="s">
        <v>2324</v>
      </c>
      <c r="Z1491">
        <v>96034010</v>
      </c>
      <c r="AE1491">
        <v>280</v>
      </c>
      <c r="AF1491" s="4">
        <v>0.6</v>
      </c>
      <c r="AG1491">
        <f t="shared" si="147"/>
        <v>112</v>
      </c>
      <c r="AH1491" s="4">
        <v>0.18</v>
      </c>
      <c r="AI1491">
        <f t="shared" si="142"/>
        <v>132.16</v>
      </c>
      <c r="AJ1491" s="4">
        <v>0.25</v>
      </c>
      <c r="AK1491">
        <f t="shared" si="143"/>
        <v>33.04</v>
      </c>
      <c r="AL1491">
        <f t="shared" si="144"/>
        <v>165.2</v>
      </c>
      <c r="AM1491">
        <f t="shared" si="145"/>
        <v>114.8</v>
      </c>
      <c r="AN1491" s="4">
        <f t="shared" si="146"/>
        <v>0.41</v>
      </c>
      <c r="AO1491" t="s">
        <v>221</v>
      </c>
      <c r="AQ1491" t="s">
        <v>217</v>
      </c>
    </row>
    <row r="1492" ht="15.75" customHeight="1" spans="1:43">
      <c r="A1492" t="s">
        <v>2312</v>
      </c>
      <c r="B1492" t="s">
        <v>83</v>
      </c>
      <c r="C1492" t="s">
        <v>2210</v>
      </c>
      <c r="D1492" t="s">
        <v>2313</v>
      </c>
      <c r="E1492" t="s">
        <v>1022</v>
      </c>
      <c r="F1492" t="s">
        <v>2314</v>
      </c>
      <c r="H1492" t="s">
        <v>53</v>
      </c>
      <c r="I1492" t="s">
        <v>2325</v>
      </c>
      <c r="Q1492" t="s">
        <v>57</v>
      </c>
      <c r="Y1492" t="s">
        <v>2326</v>
      </c>
      <c r="Z1492">
        <v>96034010</v>
      </c>
      <c r="AE1492">
        <v>440</v>
      </c>
      <c r="AF1492" s="4">
        <v>0.6</v>
      </c>
      <c r="AG1492">
        <f t="shared" si="147"/>
        <v>176</v>
      </c>
      <c r="AH1492" s="4">
        <v>0.18</v>
      </c>
      <c r="AI1492">
        <f t="shared" si="142"/>
        <v>207.68</v>
      </c>
      <c r="AJ1492" s="4">
        <v>0.25</v>
      </c>
      <c r="AK1492">
        <f t="shared" si="143"/>
        <v>51.92</v>
      </c>
      <c r="AL1492">
        <f t="shared" si="144"/>
        <v>259.6</v>
      </c>
      <c r="AM1492">
        <f t="shared" si="145"/>
        <v>180.4</v>
      </c>
      <c r="AN1492" s="4">
        <f t="shared" si="146"/>
        <v>0.41</v>
      </c>
      <c r="AO1492" t="s">
        <v>221</v>
      </c>
      <c r="AQ1492" t="s">
        <v>217</v>
      </c>
    </row>
    <row r="1493" ht="15.75" customHeight="1" spans="1:43">
      <c r="A1493" t="s">
        <v>2327</v>
      </c>
      <c r="B1493" t="s">
        <v>46</v>
      </c>
      <c r="C1493" t="s">
        <v>2210</v>
      </c>
      <c r="D1493" t="s">
        <v>2313</v>
      </c>
      <c r="E1493" t="s">
        <v>1022</v>
      </c>
      <c r="F1493" t="s">
        <v>2328</v>
      </c>
      <c r="H1493" t="s">
        <v>53</v>
      </c>
      <c r="I1493" t="s">
        <v>2321</v>
      </c>
      <c r="Q1493" t="s">
        <v>57</v>
      </c>
      <c r="Y1493" t="s">
        <v>2329</v>
      </c>
      <c r="Z1493">
        <v>96034010</v>
      </c>
      <c r="AE1493">
        <v>120</v>
      </c>
      <c r="AF1493" s="4">
        <v>0.6</v>
      </c>
      <c r="AG1493">
        <f t="shared" si="147"/>
        <v>48</v>
      </c>
      <c r="AH1493" s="4">
        <v>0.18</v>
      </c>
      <c r="AI1493">
        <f t="shared" si="142"/>
        <v>56.64</v>
      </c>
      <c r="AJ1493" s="4">
        <v>0.25</v>
      </c>
      <c r="AK1493">
        <f t="shared" si="143"/>
        <v>14.16</v>
      </c>
      <c r="AL1493">
        <f t="shared" si="144"/>
        <v>70.8</v>
      </c>
      <c r="AM1493">
        <f t="shared" si="145"/>
        <v>49.2</v>
      </c>
      <c r="AN1493" s="4">
        <f t="shared" si="146"/>
        <v>0.41</v>
      </c>
      <c r="AO1493" t="s">
        <v>221</v>
      </c>
      <c r="AQ1493" t="s">
        <v>217</v>
      </c>
    </row>
    <row r="1494" ht="15.75" customHeight="1" spans="1:43">
      <c r="A1494" t="s">
        <v>2327</v>
      </c>
      <c r="B1494" t="s">
        <v>67</v>
      </c>
      <c r="C1494" t="s">
        <v>2210</v>
      </c>
      <c r="D1494" t="s">
        <v>2313</v>
      </c>
      <c r="E1494" t="s">
        <v>1022</v>
      </c>
      <c r="F1494" t="s">
        <v>2328</v>
      </c>
      <c r="H1494" t="s">
        <v>53</v>
      </c>
      <c r="I1494" t="s">
        <v>2323</v>
      </c>
      <c r="Q1494" t="s">
        <v>57</v>
      </c>
      <c r="Y1494" t="s">
        <v>2329</v>
      </c>
      <c r="Z1494">
        <v>96034010</v>
      </c>
      <c r="AE1494">
        <v>180</v>
      </c>
      <c r="AF1494" s="4">
        <v>0.6</v>
      </c>
      <c r="AG1494">
        <f t="shared" si="147"/>
        <v>72</v>
      </c>
      <c r="AH1494" s="4">
        <v>0.18</v>
      </c>
      <c r="AI1494">
        <f t="shared" si="142"/>
        <v>84.96</v>
      </c>
      <c r="AJ1494" s="4">
        <v>0.25</v>
      </c>
      <c r="AK1494">
        <f t="shared" si="143"/>
        <v>21.24</v>
      </c>
      <c r="AL1494">
        <f t="shared" si="144"/>
        <v>106.2</v>
      </c>
      <c r="AM1494">
        <f t="shared" si="145"/>
        <v>73.8</v>
      </c>
      <c r="AN1494" s="4">
        <f t="shared" si="146"/>
        <v>0.41</v>
      </c>
      <c r="AO1494" t="s">
        <v>221</v>
      </c>
      <c r="AQ1494" t="s">
        <v>217</v>
      </c>
    </row>
    <row r="1495" ht="15.75" customHeight="1" spans="1:43">
      <c r="A1495" t="s">
        <v>2327</v>
      </c>
      <c r="B1495" t="s">
        <v>71</v>
      </c>
      <c r="C1495" t="s">
        <v>2210</v>
      </c>
      <c r="D1495" t="s">
        <v>2313</v>
      </c>
      <c r="E1495" t="s">
        <v>1022</v>
      </c>
      <c r="F1495" t="s">
        <v>2328</v>
      </c>
      <c r="H1495" t="s">
        <v>53</v>
      </c>
      <c r="I1495" t="s">
        <v>2330</v>
      </c>
      <c r="Q1495" t="s">
        <v>57</v>
      </c>
      <c r="Y1495" t="s">
        <v>2331</v>
      </c>
      <c r="Z1495">
        <v>96034010</v>
      </c>
      <c r="AE1495">
        <v>260</v>
      </c>
      <c r="AF1495" s="4">
        <v>0.6</v>
      </c>
      <c r="AG1495">
        <f t="shared" si="147"/>
        <v>104</v>
      </c>
      <c r="AH1495" s="4">
        <v>0.18</v>
      </c>
      <c r="AI1495">
        <f t="shared" si="142"/>
        <v>122.72</v>
      </c>
      <c r="AJ1495" s="4">
        <v>0.25</v>
      </c>
      <c r="AK1495">
        <f t="shared" si="143"/>
        <v>30.68</v>
      </c>
      <c r="AL1495">
        <f t="shared" si="144"/>
        <v>153.4</v>
      </c>
      <c r="AM1495">
        <f t="shared" si="145"/>
        <v>106.6</v>
      </c>
      <c r="AN1495" s="4">
        <f t="shared" si="146"/>
        <v>0.41</v>
      </c>
      <c r="AO1495" t="s">
        <v>221</v>
      </c>
      <c r="AQ1495" t="s">
        <v>217</v>
      </c>
    </row>
    <row r="1496" ht="15.75" customHeight="1" spans="1:43">
      <c r="A1496" t="s">
        <v>2327</v>
      </c>
      <c r="B1496" t="s">
        <v>75</v>
      </c>
      <c r="C1496" t="s">
        <v>2210</v>
      </c>
      <c r="D1496" t="s">
        <v>2313</v>
      </c>
      <c r="E1496" t="s">
        <v>1022</v>
      </c>
      <c r="F1496" t="s">
        <v>2328</v>
      </c>
      <c r="H1496" t="s">
        <v>53</v>
      </c>
      <c r="I1496" t="s">
        <v>2332</v>
      </c>
      <c r="Q1496" t="s">
        <v>57</v>
      </c>
      <c r="Y1496" t="s">
        <v>2333</v>
      </c>
      <c r="Z1496">
        <v>96034010</v>
      </c>
      <c r="AE1496">
        <v>400</v>
      </c>
      <c r="AF1496" s="4">
        <v>0.6</v>
      </c>
      <c r="AG1496">
        <f t="shared" si="147"/>
        <v>160</v>
      </c>
      <c r="AH1496" s="4">
        <v>0.18</v>
      </c>
      <c r="AI1496">
        <f t="shared" si="142"/>
        <v>188.8</v>
      </c>
      <c r="AJ1496" s="4">
        <v>0.25</v>
      </c>
      <c r="AK1496">
        <f t="shared" si="143"/>
        <v>47.2</v>
      </c>
      <c r="AL1496">
        <f t="shared" si="144"/>
        <v>236</v>
      </c>
      <c r="AM1496">
        <f t="shared" si="145"/>
        <v>164</v>
      </c>
      <c r="AN1496" s="4">
        <f t="shared" si="146"/>
        <v>0.41</v>
      </c>
      <c r="AO1496" t="s">
        <v>221</v>
      </c>
      <c r="AQ1496" t="s">
        <v>217</v>
      </c>
    </row>
    <row r="1497" ht="15.75" customHeight="1" spans="1:43">
      <c r="A1497" t="s">
        <v>2327</v>
      </c>
      <c r="B1497" t="s">
        <v>79</v>
      </c>
      <c r="C1497" t="s">
        <v>2210</v>
      </c>
      <c r="D1497" t="s">
        <v>2313</v>
      </c>
      <c r="E1497" t="s">
        <v>1022</v>
      </c>
      <c r="F1497" t="s">
        <v>2328</v>
      </c>
      <c r="H1497" t="s">
        <v>53</v>
      </c>
      <c r="I1497" t="s">
        <v>2334</v>
      </c>
      <c r="Q1497" t="s">
        <v>57</v>
      </c>
      <c r="Y1497" t="s">
        <v>2329</v>
      </c>
      <c r="Z1497">
        <v>96034010</v>
      </c>
      <c r="AE1497">
        <v>500</v>
      </c>
      <c r="AF1497" s="4">
        <v>0.6</v>
      </c>
      <c r="AG1497">
        <f t="shared" si="147"/>
        <v>200</v>
      </c>
      <c r="AH1497" s="4">
        <v>0.18</v>
      </c>
      <c r="AI1497">
        <f t="shared" si="142"/>
        <v>236</v>
      </c>
      <c r="AJ1497" s="4">
        <v>0.25</v>
      </c>
      <c r="AK1497">
        <f t="shared" si="143"/>
        <v>59</v>
      </c>
      <c r="AL1497">
        <f t="shared" si="144"/>
        <v>295</v>
      </c>
      <c r="AM1497">
        <f t="shared" si="145"/>
        <v>205</v>
      </c>
      <c r="AN1497" s="4">
        <f t="shared" si="146"/>
        <v>0.41</v>
      </c>
      <c r="AO1497" t="s">
        <v>221</v>
      </c>
      <c r="AQ1497" t="s">
        <v>217</v>
      </c>
    </row>
    <row r="1498" ht="15.75" customHeight="1" spans="1:43">
      <c r="A1498" t="s">
        <v>2327</v>
      </c>
      <c r="B1498" t="s">
        <v>83</v>
      </c>
      <c r="C1498" t="s">
        <v>2210</v>
      </c>
      <c r="D1498" t="s">
        <v>2313</v>
      </c>
      <c r="E1498" t="s">
        <v>1022</v>
      </c>
      <c r="F1498" t="s">
        <v>2328</v>
      </c>
      <c r="H1498" t="s">
        <v>53</v>
      </c>
      <c r="I1498" t="s">
        <v>2335</v>
      </c>
      <c r="Q1498" t="s">
        <v>57</v>
      </c>
      <c r="Y1498" t="s">
        <v>2329</v>
      </c>
      <c r="Z1498">
        <v>96034020</v>
      </c>
      <c r="AE1498">
        <v>600</v>
      </c>
      <c r="AF1498" s="4">
        <v>0.6</v>
      </c>
      <c r="AG1498">
        <f t="shared" si="147"/>
        <v>240</v>
      </c>
      <c r="AH1498" s="4">
        <v>0.18</v>
      </c>
      <c r="AI1498">
        <f t="shared" si="142"/>
        <v>283.2</v>
      </c>
      <c r="AJ1498" s="4">
        <v>0.25</v>
      </c>
      <c r="AK1498">
        <f t="shared" si="143"/>
        <v>70.8</v>
      </c>
      <c r="AL1498">
        <f t="shared" si="144"/>
        <v>354</v>
      </c>
      <c r="AM1498">
        <f t="shared" si="145"/>
        <v>246</v>
      </c>
      <c r="AN1498" s="4">
        <f t="shared" si="146"/>
        <v>0.41</v>
      </c>
      <c r="AO1498" t="s">
        <v>221</v>
      </c>
      <c r="AQ1498" t="s">
        <v>217</v>
      </c>
    </row>
    <row r="1499" ht="15.75" customHeight="1" spans="1:43">
      <c r="A1499" t="s">
        <v>2336</v>
      </c>
      <c r="B1499" t="s">
        <v>46</v>
      </c>
      <c r="C1499" t="s">
        <v>2210</v>
      </c>
      <c r="D1499" t="s">
        <v>2313</v>
      </c>
      <c r="E1499" t="s">
        <v>1022</v>
      </c>
      <c r="F1499" t="s">
        <v>2337</v>
      </c>
      <c r="H1499" t="s">
        <v>53</v>
      </c>
      <c r="I1499" t="s">
        <v>2319</v>
      </c>
      <c r="Q1499" t="s">
        <v>57</v>
      </c>
      <c r="Y1499" t="s">
        <v>2329</v>
      </c>
      <c r="Z1499">
        <v>96034020</v>
      </c>
      <c r="AE1499">
        <v>100</v>
      </c>
      <c r="AF1499" s="4">
        <v>0.6</v>
      </c>
      <c r="AG1499">
        <f t="shared" si="147"/>
        <v>40</v>
      </c>
      <c r="AH1499" s="4">
        <v>0.18</v>
      </c>
      <c r="AI1499">
        <f t="shared" si="142"/>
        <v>47.2</v>
      </c>
      <c r="AJ1499" s="4">
        <v>0.25</v>
      </c>
      <c r="AK1499">
        <f t="shared" si="143"/>
        <v>11.8</v>
      </c>
      <c r="AL1499">
        <f t="shared" si="144"/>
        <v>59</v>
      </c>
      <c r="AM1499">
        <f t="shared" si="145"/>
        <v>41</v>
      </c>
      <c r="AN1499" s="4">
        <f t="shared" si="146"/>
        <v>0.41</v>
      </c>
      <c r="AO1499" t="s">
        <v>221</v>
      </c>
      <c r="AQ1499" t="s">
        <v>217</v>
      </c>
    </row>
    <row r="1500" ht="15.75" customHeight="1" spans="1:43">
      <c r="A1500" t="s">
        <v>2336</v>
      </c>
      <c r="B1500" t="s">
        <v>67</v>
      </c>
      <c r="C1500" t="s">
        <v>2210</v>
      </c>
      <c r="D1500" t="s">
        <v>2313</v>
      </c>
      <c r="E1500" t="s">
        <v>1022</v>
      </c>
      <c r="F1500" t="s">
        <v>2337</v>
      </c>
      <c r="H1500" t="s">
        <v>53</v>
      </c>
      <c r="I1500" t="s">
        <v>2323</v>
      </c>
      <c r="Q1500" t="s">
        <v>57</v>
      </c>
      <c r="Y1500" t="s">
        <v>2329</v>
      </c>
      <c r="Z1500">
        <v>96034020</v>
      </c>
      <c r="AE1500">
        <v>200</v>
      </c>
      <c r="AF1500" s="4">
        <v>0.6</v>
      </c>
      <c r="AG1500">
        <f t="shared" si="147"/>
        <v>80</v>
      </c>
      <c r="AH1500" s="4">
        <v>0.18</v>
      </c>
      <c r="AI1500">
        <f t="shared" si="142"/>
        <v>94.4</v>
      </c>
      <c r="AJ1500" s="4">
        <v>0.25</v>
      </c>
      <c r="AK1500">
        <f t="shared" si="143"/>
        <v>23.6</v>
      </c>
      <c r="AL1500">
        <f t="shared" si="144"/>
        <v>118</v>
      </c>
      <c r="AM1500">
        <f t="shared" si="145"/>
        <v>82</v>
      </c>
      <c r="AN1500" s="4">
        <f t="shared" si="146"/>
        <v>0.41</v>
      </c>
      <c r="AO1500" t="s">
        <v>221</v>
      </c>
      <c r="AQ1500" t="s">
        <v>217</v>
      </c>
    </row>
    <row r="1501" ht="15.75" customHeight="1" spans="1:43">
      <c r="A1501" t="s">
        <v>2336</v>
      </c>
      <c r="B1501" t="s">
        <v>71</v>
      </c>
      <c r="C1501" t="s">
        <v>2210</v>
      </c>
      <c r="D1501" t="s">
        <v>2313</v>
      </c>
      <c r="E1501" t="s">
        <v>1022</v>
      </c>
      <c r="F1501" t="s">
        <v>2337</v>
      </c>
      <c r="H1501" t="s">
        <v>53</v>
      </c>
      <c r="I1501" t="s">
        <v>2330</v>
      </c>
      <c r="Q1501" t="s">
        <v>57</v>
      </c>
      <c r="Y1501" t="s">
        <v>2329</v>
      </c>
      <c r="Z1501">
        <v>96034020</v>
      </c>
      <c r="AE1501">
        <v>300</v>
      </c>
      <c r="AF1501" s="4">
        <v>0.6</v>
      </c>
      <c r="AG1501">
        <f t="shared" si="147"/>
        <v>120</v>
      </c>
      <c r="AH1501" s="4">
        <v>0.18</v>
      </c>
      <c r="AI1501">
        <f t="shared" si="142"/>
        <v>141.6</v>
      </c>
      <c r="AJ1501" s="4">
        <v>0.25</v>
      </c>
      <c r="AK1501">
        <f t="shared" si="143"/>
        <v>35.4</v>
      </c>
      <c r="AL1501">
        <f t="shared" si="144"/>
        <v>177</v>
      </c>
      <c r="AM1501">
        <f t="shared" si="145"/>
        <v>123</v>
      </c>
      <c r="AN1501" s="4">
        <f t="shared" si="146"/>
        <v>0.41</v>
      </c>
      <c r="AO1501" t="s">
        <v>221</v>
      </c>
      <c r="AQ1501" t="s">
        <v>217</v>
      </c>
    </row>
    <row r="1502" ht="15.75" customHeight="1" spans="1:43">
      <c r="A1502" t="s">
        <v>2336</v>
      </c>
      <c r="B1502" t="s">
        <v>75</v>
      </c>
      <c r="C1502" t="s">
        <v>2210</v>
      </c>
      <c r="D1502" t="s">
        <v>2313</v>
      </c>
      <c r="E1502" t="s">
        <v>1022</v>
      </c>
      <c r="F1502" t="s">
        <v>2337</v>
      </c>
      <c r="H1502" t="s">
        <v>53</v>
      </c>
      <c r="I1502" t="s">
        <v>2338</v>
      </c>
      <c r="Q1502" t="s">
        <v>57</v>
      </c>
      <c r="Y1502" t="s">
        <v>2329</v>
      </c>
      <c r="Z1502">
        <v>96034020</v>
      </c>
      <c r="AE1502">
        <v>350</v>
      </c>
      <c r="AF1502" s="4">
        <v>0.6</v>
      </c>
      <c r="AG1502">
        <f t="shared" si="147"/>
        <v>140</v>
      </c>
      <c r="AH1502" s="4">
        <v>0.18</v>
      </c>
      <c r="AI1502">
        <f t="shared" si="142"/>
        <v>165.2</v>
      </c>
      <c r="AJ1502" s="4">
        <v>0.25</v>
      </c>
      <c r="AK1502">
        <f t="shared" si="143"/>
        <v>41.3</v>
      </c>
      <c r="AL1502">
        <f t="shared" si="144"/>
        <v>206.5</v>
      </c>
      <c r="AM1502">
        <f t="shared" si="145"/>
        <v>143.5</v>
      </c>
      <c r="AN1502" s="4">
        <f t="shared" si="146"/>
        <v>0.41</v>
      </c>
      <c r="AO1502" t="s">
        <v>221</v>
      </c>
      <c r="AQ1502" t="s">
        <v>217</v>
      </c>
    </row>
    <row r="1503" ht="15.75" customHeight="1" spans="1:43">
      <c r="A1503" t="s">
        <v>2336</v>
      </c>
      <c r="B1503" t="s">
        <v>79</v>
      </c>
      <c r="C1503" t="s">
        <v>2210</v>
      </c>
      <c r="D1503" t="s">
        <v>2313</v>
      </c>
      <c r="E1503" t="s">
        <v>1022</v>
      </c>
      <c r="F1503" t="s">
        <v>2337</v>
      </c>
      <c r="H1503" t="s">
        <v>53</v>
      </c>
      <c r="I1503" t="s">
        <v>2332</v>
      </c>
      <c r="Q1503" t="s">
        <v>57</v>
      </c>
      <c r="Y1503" t="s">
        <v>2329</v>
      </c>
      <c r="Z1503">
        <v>96034020</v>
      </c>
      <c r="AE1503">
        <v>400</v>
      </c>
      <c r="AF1503" s="4">
        <v>0.6</v>
      </c>
      <c r="AG1503">
        <f t="shared" si="147"/>
        <v>160</v>
      </c>
      <c r="AH1503" s="4">
        <v>0.18</v>
      </c>
      <c r="AI1503">
        <f t="shared" si="142"/>
        <v>188.8</v>
      </c>
      <c r="AJ1503" s="4">
        <v>0.25</v>
      </c>
      <c r="AK1503">
        <f t="shared" si="143"/>
        <v>47.2</v>
      </c>
      <c r="AL1503">
        <f t="shared" si="144"/>
        <v>236</v>
      </c>
      <c r="AM1503">
        <f t="shared" si="145"/>
        <v>164</v>
      </c>
      <c r="AN1503" s="4">
        <f t="shared" si="146"/>
        <v>0.41</v>
      </c>
      <c r="AO1503" t="s">
        <v>221</v>
      </c>
      <c r="AQ1503" t="s">
        <v>217</v>
      </c>
    </row>
    <row r="1504" ht="15.75" customHeight="1" spans="1:43">
      <c r="A1504" t="s">
        <v>2339</v>
      </c>
      <c r="B1504" t="s">
        <v>46</v>
      </c>
      <c r="C1504" t="s">
        <v>2210</v>
      </c>
      <c r="D1504" t="s">
        <v>2313</v>
      </c>
      <c r="E1504" t="s">
        <v>1022</v>
      </c>
      <c r="F1504" t="s">
        <v>2340</v>
      </c>
      <c r="H1504" t="s">
        <v>2341</v>
      </c>
      <c r="I1504">
        <v>40</v>
      </c>
      <c r="J1504" t="s">
        <v>53</v>
      </c>
      <c r="K1504" t="s">
        <v>2342</v>
      </c>
      <c r="Q1504" t="s">
        <v>57</v>
      </c>
      <c r="Y1504" t="s">
        <v>2343</v>
      </c>
      <c r="Z1504">
        <v>96034020</v>
      </c>
      <c r="AE1504">
        <v>150</v>
      </c>
      <c r="AF1504" s="4">
        <v>0.37</v>
      </c>
      <c r="AG1504">
        <f t="shared" si="147"/>
        <v>94.5</v>
      </c>
      <c r="AH1504" s="4">
        <v>0.18</v>
      </c>
      <c r="AI1504">
        <f t="shared" si="142"/>
        <v>111.51</v>
      </c>
      <c r="AJ1504" s="4">
        <v>0.15</v>
      </c>
      <c r="AK1504">
        <f t="shared" si="143"/>
        <v>16.73</v>
      </c>
      <c r="AL1504">
        <f t="shared" si="144"/>
        <v>128.24</v>
      </c>
      <c r="AM1504">
        <f t="shared" si="145"/>
        <v>21.76</v>
      </c>
      <c r="AN1504" s="4">
        <f t="shared" si="146"/>
        <v>0.145066666666667</v>
      </c>
      <c r="AO1504" t="s">
        <v>221</v>
      </c>
      <c r="AQ1504" t="s">
        <v>217</v>
      </c>
    </row>
    <row r="1505" ht="15.75" customHeight="1" spans="1:43">
      <c r="A1505" t="s">
        <v>2339</v>
      </c>
      <c r="B1505" t="s">
        <v>67</v>
      </c>
      <c r="C1505" t="s">
        <v>2210</v>
      </c>
      <c r="D1505" t="s">
        <v>2313</v>
      </c>
      <c r="E1505" t="s">
        <v>1022</v>
      </c>
      <c r="F1505" t="s">
        <v>2340</v>
      </c>
      <c r="H1505" t="s">
        <v>2341</v>
      </c>
      <c r="I1505">
        <v>60</v>
      </c>
      <c r="J1505" t="s">
        <v>53</v>
      </c>
      <c r="K1505" t="s">
        <v>2342</v>
      </c>
      <c r="Q1505" t="s">
        <v>57</v>
      </c>
      <c r="Y1505" t="s">
        <v>2343</v>
      </c>
      <c r="Z1505">
        <v>96034020</v>
      </c>
      <c r="AE1505">
        <v>150</v>
      </c>
      <c r="AF1505" s="4">
        <v>0.37</v>
      </c>
      <c r="AG1505">
        <f t="shared" si="147"/>
        <v>94.5</v>
      </c>
      <c r="AH1505" s="4">
        <v>0.18</v>
      </c>
      <c r="AI1505">
        <f t="shared" si="142"/>
        <v>111.51</v>
      </c>
      <c r="AJ1505" s="4">
        <v>0.15</v>
      </c>
      <c r="AK1505">
        <f t="shared" si="143"/>
        <v>16.73</v>
      </c>
      <c r="AL1505">
        <f t="shared" si="144"/>
        <v>128.24</v>
      </c>
      <c r="AM1505">
        <f t="shared" si="145"/>
        <v>21.76</v>
      </c>
      <c r="AN1505" s="4">
        <f t="shared" si="146"/>
        <v>0.145066666666667</v>
      </c>
      <c r="AO1505" t="s">
        <v>221</v>
      </c>
      <c r="AQ1505" t="s">
        <v>217</v>
      </c>
    </row>
    <row r="1506" ht="15.75" customHeight="1" spans="1:43">
      <c r="A1506" t="s">
        <v>2339</v>
      </c>
      <c r="B1506" t="s">
        <v>71</v>
      </c>
      <c r="C1506" t="s">
        <v>2210</v>
      </c>
      <c r="D1506" t="s">
        <v>2313</v>
      </c>
      <c r="E1506" t="s">
        <v>1022</v>
      </c>
      <c r="F1506" t="s">
        <v>2340</v>
      </c>
      <c r="H1506" t="s">
        <v>2341</v>
      </c>
      <c r="I1506">
        <v>80</v>
      </c>
      <c r="J1506" t="s">
        <v>53</v>
      </c>
      <c r="K1506" t="s">
        <v>2342</v>
      </c>
      <c r="Q1506" t="s">
        <v>57</v>
      </c>
      <c r="Y1506" t="s">
        <v>2343</v>
      </c>
      <c r="Z1506">
        <v>96034020</v>
      </c>
      <c r="AE1506">
        <v>150</v>
      </c>
      <c r="AF1506" s="4">
        <v>0.37</v>
      </c>
      <c r="AG1506">
        <f t="shared" si="147"/>
        <v>94.5</v>
      </c>
      <c r="AH1506" s="4">
        <v>0.18</v>
      </c>
      <c r="AI1506">
        <f t="shared" si="142"/>
        <v>111.51</v>
      </c>
      <c r="AJ1506" s="4">
        <v>0.15</v>
      </c>
      <c r="AK1506">
        <f t="shared" si="143"/>
        <v>16.73</v>
      </c>
      <c r="AL1506">
        <f t="shared" si="144"/>
        <v>128.24</v>
      </c>
      <c r="AM1506">
        <f t="shared" si="145"/>
        <v>21.76</v>
      </c>
      <c r="AN1506" s="4">
        <f t="shared" si="146"/>
        <v>0.145066666666667</v>
      </c>
      <c r="AO1506" t="s">
        <v>221</v>
      </c>
      <c r="AQ1506" t="s">
        <v>217</v>
      </c>
    </row>
    <row r="1507" ht="15.75" customHeight="1" spans="1:43">
      <c r="A1507" t="s">
        <v>2339</v>
      </c>
      <c r="B1507" t="s">
        <v>75</v>
      </c>
      <c r="C1507" t="s">
        <v>2210</v>
      </c>
      <c r="D1507" t="s">
        <v>2313</v>
      </c>
      <c r="E1507" t="s">
        <v>1022</v>
      </c>
      <c r="F1507" t="s">
        <v>2340</v>
      </c>
      <c r="H1507" t="s">
        <v>2341</v>
      </c>
      <c r="I1507">
        <v>100</v>
      </c>
      <c r="J1507" t="s">
        <v>53</v>
      </c>
      <c r="K1507" t="s">
        <v>2342</v>
      </c>
      <c r="Q1507" t="s">
        <v>57</v>
      </c>
      <c r="Y1507" t="s">
        <v>2343</v>
      </c>
      <c r="Z1507">
        <v>96034020</v>
      </c>
      <c r="AE1507">
        <v>150</v>
      </c>
      <c r="AF1507" s="4">
        <v>0.37</v>
      </c>
      <c r="AG1507">
        <f t="shared" si="147"/>
        <v>94.5</v>
      </c>
      <c r="AH1507" s="4">
        <v>0.18</v>
      </c>
      <c r="AI1507">
        <f t="shared" si="142"/>
        <v>111.51</v>
      </c>
      <c r="AJ1507" s="4">
        <v>0.15</v>
      </c>
      <c r="AK1507">
        <f t="shared" si="143"/>
        <v>16.73</v>
      </c>
      <c r="AL1507">
        <f t="shared" si="144"/>
        <v>128.24</v>
      </c>
      <c r="AM1507">
        <f t="shared" si="145"/>
        <v>21.76</v>
      </c>
      <c r="AN1507" s="4">
        <f t="shared" si="146"/>
        <v>0.145066666666667</v>
      </c>
      <c r="AO1507" t="s">
        <v>221</v>
      </c>
      <c r="AQ1507" t="s">
        <v>217</v>
      </c>
    </row>
    <row r="1508" ht="15.75" customHeight="1" spans="1:43">
      <c r="A1508" t="s">
        <v>2339</v>
      </c>
      <c r="B1508" t="s">
        <v>79</v>
      </c>
      <c r="C1508" t="s">
        <v>2210</v>
      </c>
      <c r="D1508" t="s">
        <v>2313</v>
      </c>
      <c r="E1508" t="s">
        <v>1022</v>
      </c>
      <c r="F1508" t="s">
        <v>2340</v>
      </c>
      <c r="H1508" t="s">
        <v>2341</v>
      </c>
      <c r="I1508">
        <v>120</v>
      </c>
      <c r="J1508" t="s">
        <v>53</v>
      </c>
      <c r="K1508" t="s">
        <v>2342</v>
      </c>
      <c r="Q1508" t="s">
        <v>57</v>
      </c>
      <c r="Y1508" t="s">
        <v>2343</v>
      </c>
      <c r="Z1508">
        <v>680520</v>
      </c>
      <c r="AE1508">
        <v>150</v>
      </c>
      <c r="AF1508" s="4">
        <v>0.37</v>
      </c>
      <c r="AG1508">
        <f t="shared" si="147"/>
        <v>94.5</v>
      </c>
      <c r="AH1508" s="4">
        <v>0.18</v>
      </c>
      <c r="AI1508">
        <f t="shared" si="142"/>
        <v>111.51</v>
      </c>
      <c r="AJ1508" s="4">
        <v>0.15</v>
      </c>
      <c r="AK1508">
        <f t="shared" si="143"/>
        <v>16.73</v>
      </c>
      <c r="AL1508">
        <f t="shared" si="144"/>
        <v>128.24</v>
      </c>
      <c r="AM1508">
        <f t="shared" si="145"/>
        <v>21.76</v>
      </c>
      <c r="AN1508" s="4">
        <f t="shared" si="146"/>
        <v>0.145066666666667</v>
      </c>
      <c r="AO1508" t="s">
        <v>221</v>
      </c>
      <c r="AQ1508" t="s">
        <v>217</v>
      </c>
    </row>
    <row r="1509" ht="15.75" customHeight="1" spans="1:43">
      <c r="A1509" t="s">
        <v>2339</v>
      </c>
      <c r="B1509" t="s">
        <v>83</v>
      </c>
      <c r="C1509" t="s">
        <v>2210</v>
      </c>
      <c r="D1509" t="s">
        <v>2313</v>
      </c>
      <c r="E1509" t="s">
        <v>1022</v>
      </c>
      <c r="F1509" t="s">
        <v>2340</v>
      </c>
      <c r="H1509" t="s">
        <v>2341</v>
      </c>
      <c r="I1509">
        <v>150</v>
      </c>
      <c r="J1509" t="s">
        <v>53</v>
      </c>
      <c r="K1509" t="s">
        <v>2342</v>
      </c>
      <c r="Q1509" t="s">
        <v>57</v>
      </c>
      <c r="Y1509" t="s">
        <v>2343</v>
      </c>
      <c r="Z1509">
        <v>680520</v>
      </c>
      <c r="AE1509">
        <v>150</v>
      </c>
      <c r="AF1509" s="4">
        <v>0.37</v>
      </c>
      <c r="AG1509">
        <f t="shared" si="147"/>
        <v>94.5</v>
      </c>
      <c r="AH1509" s="4">
        <v>0.18</v>
      </c>
      <c r="AI1509">
        <f t="shared" si="142"/>
        <v>111.51</v>
      </c>
      <c r="AJ1509" s="4">
        <v>0.15</v>
      </c>
      <c r="AK1509">
        <f t="shared" si="143"/>
        <v>16.73</v>
      </c>
      <c r="AL1509">
        <f t="shared" si="144"/>
        <v>128.24</v>
      </c>
      <c r="AM1509">
        <f t="shared" si="145"/>
        <v>21.76</v>
      </c>
      <c r="AN1509" s="4">
        <f t="shared" si="146"/>
        <v>0.145066666666667</v>
      </c>
      <c r="AO1509" t="s">
        <v>221</v>
      </c>
      <c r="AQ1509" t="s">
        <v>217</v>
      </c>
    </row>
    <row r="1510" ht="15.75" customHeight="1" spans="1:43">
      <c r="A1510" t="s">
        <v>2339</v>
      </c>
      <c r="B1510" t="s">
        <v>131</v>
      </c>
      <c r="C1510" t="s">
        <v>2210</v>
      </c>
      <c r="D1510" t="s">
        <v>2313</v>
      </c>
      <c r="E1510" t="s">
        <v>1022</v>
      </c>
      <c r="F1510" t="s">
        <v>2340</v>
      </c>
      <c r="H1510" t="s">
        <v>2341</v>
      </c>
      <c r="I1510">
        <v>180</v>
      </c>
      <c r="J1510" t="s">
        <v>53</v>
      </c>
      <c r="K1510" t="s">
        <v>2342</v>
      </c>
      <c r="Q1510" t="s">
        <v>57</v>
      </c>
      <c r="Y1510" t="s">
        <v>2343</v>
      </c>
      <c r="Z1510">
        <v>680520</v>
      </c>
      <c r="AE1510">
        <v>150</v>
      </c>
      <c r="AF1510" s="4">
        <v>0.37</v>
      </c>
      <c r="AG1510">
        <f t="shared" si="147"/>
        <v>94.5</v>
      </c>
      <c r="AH1510" s="4">
        <v>0.18</v>
      </c>
      <c r="AI1510">
        <f t="shared" si="142"/>
        <v>111.51</v>
      </c>
      <c r="AJ1510" s="4">
        <v>0.15</v>
      </c>
      <c r="AK1510">
        <f t="shared" si="143"/>
        <v>16.73</v>
      </c>
      <c r="AL1510">
        <f t="shared" si="144"/>
        <v>128.24</v>
      </c>
      <c r="AM1510">
        <f t="shared" si="145"/>
        <v>21.76</v>
      </c>
      <c r="AN1510" s="4">
        <f t="shared" si="146"/>
        <v>0.145066666666667</v>
      </c>
      <c r="AO1510" t="s">
        <v>221</v>
      </c>
      <c r="AQ1510" t="s">
        <v>217</v>
      </c>
    </row>
    <row r="1511" ht="15.75" customHeight="1" spans="1:43">
      <c r="A1511" t="s">
        <v>2339</v>
      </c>
      <c r="B1511" t="s">
        <v>133</v>
      </c>
      <c r="C1511" t="s">
        <v>2210</v>
      </c>
      <c r="D1511" t="s">
        <v>2313</v>
      </c>
      <c r="E1511" t="s">
        <v>1022</v>
      </c>
      <c r="F1511" t="s">
        <v>2340</v>
      </c>
      <c r="H1511" t="s">
        <v>2341</v>
      </c>
      <c r="I1511">
        <v>200</v>
      </c>
      <c r="J1511" t="s">
        <v>53</v>
      </c>
      <c r="K1511" t="s">
        <v>2342</v>
      </c>
      <c r="Q1511" t="s">
        <v>57</v>
      </c>
      <c r="Y1511" t="s">
        <v>2343</v>
      </c>
      <c r="Z1511">
        <v>680520</v>
      </c>
      <c r="AE1511">
        <v>150</v>
      </c>
      <c r="AF1511" s="4">
        <v>0.37</v>
      </c>
      <c r="AG1511">
        <f t="shared" si="147"/>
        <v>94.5</v>
      </c>
      <c r="AH1511" s="4">
        <v>0.18</v>
      </c>
      <c r="AI1511">
        <f t="shared" si="142"/>
        <v>111.51</v>
      </c>
      <c r="AJ1511" s="4">
        <v>0.15</v>
      </c>
      <c r="AK1511">
        <f t="shared" si="143"/>
        <v>16.73</v>
      </c>
      <c r="AL1511">
        <f t="shared" si="144"/>
        <v>128.24</v>
      </c>
      <c r="AM1511">
        <f t="shared" si="145"/>
        <v>21.76</v>
      </c>
      <c r="AN1511" s="4">
        <f t="shared" si="146"/>
        <v>0.145066666666667</v>
      </c>
      <c r="AO1511" t="s">
        <v>221</v>
      </c>
      <c r="AQ1511" t="s">
        <v>217</v>
      </c>
    </row>
    <row r="1512" ht="15.75" customHeight="1" spans="1:43">
      <c r="A1512" t="s">
        <v>2344</v>
      </c>
      <c r="B1512" t="s">
        <v>46</v>
      </c>
      <c r="C1512" t="s">
        <v>2210</v>
      </c>
      <c r="D1512" t="s">
        <v>2313</v>
      </c>
      <c r="E1512" t="s">
        <v>1022</v>
      </c>
      <c r="F1512" t="s">
        <v>2345</v>
      </c>
      <c r="H1512" t="s">
        <v>2341</v>
      </c>
      <c r="I1512">
        <v>40</v>
      </c>
      <c r="J1512" t="s">
        <v>53</v>
      </c>
      <c r="K1512" t="s">
        <v>2342</v>
      </c>
      <c r="Q1512" t="s">
        <v>57</v>
      </c>
      <c r="Y1512" t="s">
        <v>2346</v>
      </c>
      <c r="Z1512">
        <v>680520</v>
      </c>
      <c r="AE1512">
        <v>150</v>
      </c>
      <c r="AF1512" s="4">
        <v>0.37</v>
      </c>
      <c r="AG1512">
        <f t="shared" si="147"/>
        <v>94.5</v>
      </c>
      <c r="AH1512" s="4">
        <v>0.18</v>
      </c>
      <c r="AI1512">
        <f t="shared" si="142"/>
        <v>111.51</v>
      </c>
      <c r="AJ1512" s="4">
        <v>0.15</v>
      </c>
      <c r="AK1512">
        <f t="shared" si="143"/>
        <v>16.73</v>
      </c>
      <c r="AL1512">
        <f t="shared" si="144"/>
        <v>128.24</v>
      </c>
      <c r="AM1512">
        <f t="shared" si="145"/>
        <v>21.76</v>
      </c>
      <c r="AN1512" s="4">
        <f t="shared" si="146"/>
        <v>0.145066666666667</v>
      </c>
      <c r="AO1512" t="s">
        <v>221</v>
      </c>
      <c r="AQ1512" t="s">
        <v>217</v>
      </c>
    </row>
    <row r="1513" ht="15.75" customHeight="1" spans="1:43">
      <c r="A1513" t="s">
        <v>2344</v>
      </c>
      <c r="B1513" t="s">
        <v>67</v>
      </c>
      <c r="C1513" t="s">
        <v>2210</v>
      </c>
      <c r="D1513" t="s">
        <v>2313</v>
      </c>
      <c r="E1513" t="s">
        <v>1022</v>
      </c>
      <c r="F1513" t="s">
        <v>2345</v>
      </c>
      <c r="H1513" t="s">
        <v>2341</v>
      </c>
      <c r="I1513">
        <v>60</v>
      </c>
      <c r="J1513" t="s">
        <v>53</v>
      </c>
      <c r="K1513" t="s">
        <v>2342</v>
      </c>
      <c r="Q1513" t="s">
        <v>57</v>
      </c>
      <c r="Y1513" t="s">
        <v>2346</v>
      </c>
      <c r="Z1513">
        <v>680520</v>
      </c>
      <c r="AE1513">
        <v>150</v>
      </c>
      <c r="AF1513" s="4">
        <v>0.37</v>
      </c>
      <c r="AG1513">
        <f t="shared" si="147"/>
        <v>94.5</v>
      </c>
      <c r="AH1513" s="4">
        <v>0.18</v>
      </c>
      <c r="AI1513">
        <f t="shared" si="142"/>
        <v>111.51</v>
      </c>
      <c r="AJ1513" s="4">
        <v>0.15</v>
      </c>
      <c r="AK1513">
        <f t="shared" si="143"/>
        <v>16.73</v>
      </c>
      <c r="AL1513">
        <f t="shared" si="144"/>
        <v>128.24</v>
      </c>
      <c r="AM1513">
        <f t="shared" si="145"/>
        <v>21.76</v>
      </c>
      <c r="AN1513" s="4">
        <f t="shared" si="146"/>
        <v>0.145066666666667</v>
      </c>
      <c r="AO1513" t="s">
        <v>221</v>
      </c>
      <c r="AQ1513" t="s">
        <v>217</v>
      </c>
    </row>
    <row r="1514" ht="15.75" customHeight="1" spans="1:43">
      <c r="A1514" t="s">
        <v>2344</v>
      </c>
      <c r="B1514" t="s">
        <v>71</v>
      </c>
      <c r="C1514" t="s">
        <v>2210</v>
      </c>
      <c r="D1514" t="s">
        <v>2313</v>
      </c>
      <c r="E1514" t="s">
        <v>1022</v>
      </c>
      <c r="F1514" t="s">
        <v>2345</v>
      </c>
      <c r="H1514" t="s">
        <v>2341</v>
      </c>
      <c r="I1514">
        <v>80</v>
      </c>
      <c r="J1514" t="s">
        <v>53</v>
      </c>
      <c r="K1514" t="s">
        <v>2342</v>
      </c>
      <c r="Q1514" t="s">
        <v>57</v>
      </c>
      <c r="Y1514" t="s">
        <v>2346</v>
      </c>
      <c r="Z1514">
        <v>680520</v>
      </c>
      <c r="AE1514">
        <v>150</v>
      </c>
      <c r="AF1514" s="4">
        <v>0.37</v>
      </c>
      <c r="AG1514">
        <f t="shared" si="147"/>
        <v>94.5</v>
      </c>
      <c r="AH1514" s="4">
        <v>0.18</v>
      </c>
      <c r="AI1514">
        <f t="shared" si="142"/>
        <v>111.51</v>
      </c>
      <c r="AJ1514" s="4">
        <v>0.15</v>
      </c>
      <c r="AK1514">
        <f t="shared" si="143"/>
        <v>16.73</v>
      </c>
      <c r="AL1514">
        <f t="shared" si="144"/>
        <v>128.24</v>
      </c>
      <c r="AM1514">
        <f t="shared" si="145"/>
        <v>21.76</v>
      </c>
      <c r="AN1514" s="4">
        <f t="shared" si="146"/>
        <v>0.145066666666667</v>
      </c>
      <c r="AO1514" t="s">
        <v>221</v>
      </c>
      <c r="AQ1514" t="s">
        <v>217</v>
      </c>
    </row>
    <row r="1515" ht="15.75" customHeight="1" spans="1:43">
      <c r="A1515" t="s">
        <v>2344</v>
      </c>
      <c r="B1515" t="s">
        <v>75</v>
      </c>
      <c r="C1515" t="s">
        <v>2210</v>
      </c>
      <c r="D1515" t="s">
        <v>2313</v>
      </c>
      <c r="E1515" t="s">
        <v>1022</v>
      </c>
      <c r="F1515" t="s">
        <v>2345</v>
      </c>
      <c r="H1515" t="s">
        <v>2341</v>
      </c>
      <c r="I1515">
        <v>100</v>
      </c>
      <c r="J1515" t="s">
        <v>53</v>
      </c>
      <c r="K1515" t="s">
        <v>2342</v>
      </c>
      <c r="Q1515" t="s">
        <v>57</v>
      </c>
      <c r="Y1515" t="s">
        <v>2346</v>
      </c>
      <c r="Z1515">
        <v>680520</v>
      </c>
      <c r="AE1515">
        <v>150</v>
      </c>
      <c r="AF1515" s="4">
        <v>0.37</v>
      </c>
      <c r="AG1515">
        <f t="shared" si="147"/>
        <v>94.5</v>
      </c>
      <c r="AH1515" s="4">
        <v>0.18</v>
      </c>
      <c r="AI1515">
        <f t="shared" si="142"/>
        <v>111.51</v>
      </c>
      <c r="AJ1515" s="4">
        <v>0.15</v>
      </c>
      <c r="AK1515">
        <f t="shared" si="143"/>
        <v>16.73</v>
      </c>
      <c r="AL1515">
        <f t="shared" si="144"/>
        <v>128.24</v>
      </c>
      <c r="AM1515">
        <f t="shared" si="145"/>
        <v>21.76</v>
      </c>
      <c r="AN1515" s="4">
        <f t="shared" si="146"/>
        <v>0.145066666666667</v>
      </c>
      <c r="AO1515" t="s">
        <v>221</v>
      </c>
      <c r="AQ1515" t="s">
        <v>217</v>
      </c>
    </row>
    <row r="1516" ht="15.75" customHeight="1" spans="1:43">
      <c r="A1516" t="s">
        <v>2344</v>
      </c>
      <c r="B1516" t="s">
        <v>79</v>
      </c>
      <c r="C1516" t="s">
        <v>2210</v>
      </c>
      <c r="D1516" t="s">
        <v>2313</v>
      </c>
      <c r="E1516" t="s">
        <v>1022</v>
      </c>
      <c r="F1516" t="s">
        <v>2345</v>
      </c>
      <c r="H1516" t="s">
        <v>2341</v>
      </c>
      <c r="I1516">
        <v>120</v>
      </c>
      <c r="J1516" t="s">
        <v>53</v>
      </c>
      <c r="K1516" t="s">
        <v>2342</v>
      </c>
      <c r="Q1516" t="s">
        <v>57</v>
      </c>
      <c r="Y1516" t="s">
        <v>2346</v>
      </c>
      <c r="Z1516">
        <v>680520</v>
      </c>
      <c r="AE1516">
        <v>150</v>
      </c>
      <c r="AF1516" s="4">
        <v>0.37</v>
      </c>
      <c r="AG1516">
        <f t="shared" si="147"/>
        <v>94.5</v>
      </c>
      <c r="AH1516" s="4">
        <v>0.18</v>
      </c>
      <c r="AI1516">
        <f t="shared" si="142"/>
        <v>111.51</v>
      </c>
      <c r="AJ1516" s="4">
        <v>0.15</v>
      </c>
      <c r="AK1516">
        <f t="shared" si="143"/>
        <v>16.73</v>
      </c>
      <c r="AL1516">
        <f t="shared" si="144"/>
        <v>128.24</v>
      </c>
      <c r="AM1516">
        <f t="shared" si="145"/>
        <v>21.76</v>
      </c>
      <c r="AN1516" s="4">
        <f t="shared" si="146"/>
        <v>0.145066666666667</v>
      </c>
      <c r="AO1516" t="s">
        <v>221</v>
      </c>
      <c r="AQ1516" t="s">
        <v>217</v>
      </c>
    </row>
    <row r="1517" ht="15.75" customHeight="1" spans="1:43">
      <c r="A1517" t="s">
        <v>2344</v>
      </c>
      <c r="B1517" t="s">
        <v>83</v>
      </c>
      <c r="C1517" t="s">
        <v>2210</v>
      </c>
      <c r="D1517" t="s">
        <v>2313</v>
      </c>
      <c r="E1517" t="s">
        <v>1022</v>
      </c>
      <c r="F1517" t="s">
        <v>2345</v>
      </c>
      <c r="H1517" t="s">
        <v>2341</v>
      </c>
      <c r="I1517">
        <v>150</v>
      </c>
      <c r="J1517" t="s">
        <v>53</v>
      </c>
      <c r="K1517" t="s">
        <v>2342</v>
      </c>
      <c r="Q1517" t="s">
        <v>57</v>
      </c>
      <c r="Y1517" t="s">
        <v>2346</v>
      </c>
      <c r="Z1517">
        <v>680520</v>
      </c>
      <c r="AE1517">
        <v>150</v>
      </c>
      <c r="AF1517" s="4">
        <v>0.37</v>
      </c>
      <c r="AG1517">
        <f t="shared" si="147"/>
        <v>94.5</v>
      </c>
      <c r="AH1517" s="4">
        <v>0.18</v>
      </c>
      <c r="AI1517">
        <f t="shared" si="142"/>
        <v>111.51</v>
      </c>
      <c r="AJ1517" s="4">
        <v>0.15</v>
      </c>
      <c r="AK1517">
        <f t="shared" si="143"/>
        <v>16.73</v>
      </c>
      <c r="AL1517">
        <f t="shared" si="144"/>
        <v>128.24</v>
      </c>
      <c r="AM1517">
        <f t="shared" si="145"/>
        <v>21.76</v>
      </c>
      <c r="AN1517" s="4">
        <f t="shared" si="146"/>
        <v>0.145066666666667</v>
      </c>
      <c r="AO1517" t="s">
        <v>221</v>
      </c>
      <c r="AQ1517" t="s">
        <v>217</v>
      </c>
    </row>
    <row r="1518" ht="15.75" customHeight="1" spans="1:43">
      <c r="A1518" t="s">
        <v>2344</v>
      </c>
      <c r="B1518" t="s">
        <v>131</v>
      </c>
      <c r="C1518" t="s">
        <v>2210</v>
      </c>
      <c r="D1518" t="s">
        <v>2313</v>
      </c>
      <c r="E1518" t="s">
        <v>1022</v>
      </c>
      <c r="F1518" t="s">
        <v>2345</v>
      </c>
      <c r="H1518" t="s">
        <v>2341</v>
      </c>
      <c r="I1518">
        <v>180</v>
      </c>
      <c r="J1518" t="s">
        <v>53</v>
      </c>
      <c r="K1518" t="s">
        <v>2342</v>
      </c>
      <c r="Q1518" t="s">
        <v>57</v>
      </c>
      <c r="Y1518" t="s">
        <v>2346</v>
      </c>
      <c r="Z1518">
        <v>680520</v>
      </c>
      <c r="AE1518">
        <v>150</v>
      </c>
      <c r="AF1518" s="4">
        <v>0.37</v>
      </c>
      <c r="AG1518">
        <f t="shared" si="147"/>
        <v>94.5</v>
      </c>
      <c r="AH1518" s="4">
        <v>0.18</v>
      </c>
      <c r="AI1518">
        <f t="shared" si="142"/>
        <v>111.51</v>
      </c>
      <c r="AJ1518" s="4">
        <v>0.15</v>
      </c>
      <c r="AK1518">
        <f t="shared" si="143"/>
        <v>16.73</v>
      </c>
      <c r="AL1518">
        <f t="shared" si="144"/>
        <v>128.24</v>
      </c>
      <c r="AM1518">
        <f t="shared" si="145"/>
        <v>21.76</v>
      </c>
      <c r="AN1518" s="4">
        <f t="shared" si="146"/>
        <v>0.145066666666667</v>
      </c>
      <c r="AO1518" t="s">
        <v>221</v>
      </c>
      <c r="AQ1518" t="s">
        <v>217</v>
      </c>
    </row>
    <row r="1519" ht="15.75" customHeight="1" spans="1:43">
      <c r="A1519" t="s">
        <v>2344</v>
      </c>
      <c r="B1519" t="s">
        <v>133</v>
      </c>
      <c r="C1519" t="s">
        <v>2210</v>
      </c>
      <c r="D1519" t="s">
        <v>2313</v>
      </c>
      <c r="E1519" t="s">
        <v>1022</v>
      </c>
      <c r="F1519" t="s">
        <v>2345</v>
      </c>
      <c r="H1519" t="s">
        <v>2341</v>
      </c>
      <c r="I1519">
        <v>200</v>
      </c>
      <c r="J1519" t="s">
        <v>53</v>
      </c>
      <c r="K1519" t="s">
        <v>2342</v>
      </c>
      <c r="Q1519" t="s">
        <v>57</v>
      </c>
      <c r="Y1519" t="s">
        <v>2346</v>
      </c>
      <c r="Z1519">
        <v>680520</v>
      </c>
      <c r="AE1519">
        <v>150</v>
      </c>
      <c r="AF1519" s="4">
        <v>0.37</v>
      </c>
      <c r="AG1519">
        <f t="shared" si="147"/>
        <v>94.5</v>
      </c>
      <c r="AH1519" s="4">
        <v>0.18</v>
      </c>
      <c r="AI1519">
        <f t="shared" si="142"/>
        <v>111.51</v>
      </c>
      <c r="AJ1519" s="4">
        <v>0.15</v>
      </c>
      <c r="AK1519">
        <f t="shared" si="143"/>
        <v>16.73</v>
      </c>
      <c r="AL1519">
        <f t="shared" si="144"/>
        <v>128.24</v>
      </c>
      <c r="AM1519">
        <f t="shared" si="145"/>
        <v>21.76</v>
      </c>
      <c r="AN1519" s="4">
        <f t="shared" si="146"/>
        <v>0.145066666666667</v>
      </c>
      <c r="AO1519" t="s">
        <v>221</v>
      </c>
      <c r="AQ1519" t="s">
        <v>217</v>
      </c>
    </row>
    <row r="1520" ht="15.75" customHeight="1" spans="1:43">
      <c r="A1520" t="s">
        <v>2347</v>
      </c>
      <c r="B1520" t="s">
        <v>46</v>
      </c>
      <c r="C1520" t="s">
        <v>2210</v>
      </c>
      <c r="D1520" t="s">
        <v>2313</v>
      </c>
      <c r="E1520" t="s">
        <v>1022</v>
      </c>
      <c r="F1520" t="s">
        <v>2348</v>
      </c>
      <c r="Q1520" t="s">
        <v>57</v>
      </c>
      <c r="Y1520" t="s">
        <v>2349</v>
      </c>
      <c r="Z1520">
        <v>680520</v>
      </c>
      <c r="AE1520">
        <v>40</v>
      </c>
      <c r="AF1520" s="4">
        <v>0.37</v>
      </c>
      <c r="AG1520">
        <f t="shared" si="147"/>
        <v>25.2</v>
      </c>
      <c r="AH1520" s="4">
        <v>0.18</v>
      </c>
      <c r="AI1520">
        <f t="shared" si="142"/>
        <v>29.74</v>
      </c>
      <c r="AJ1520" s="4">
        <v>0.15</v>
      </c>
      <c r="AK1520">
        <f t="shared" si="143"/>
        <v>4.46</v>
      </c>
      <c r="AL1520">
        <f t="shared" si="144"/>
        <v>34.2</v>
      </c>
      <c r="AM1520">
        <f t="shared" si="145"/>
        <v>5.8</v>
      </c>
      <c r="AN1520" s="4">
        <f t="shared" si="146"/>
        <v>0.145</v>
      </c>
      <c r="AO1520" t="s">
        <v>221</v>
      </c>
      <c r="AQ1520" t="s">
        <v>217</v>
      </c>
    </row>
    <row r="1521" ht="15.75" customHeight="1" spans="1:46">
      <c r="A1521" t="s">
        <v>2350</v>
      </c>
      <c r="B1521" t="s">
        <v>46</v>
      </c>
      <c r="C1521" t="s">
        <v>2351</v>
      </c>
      <c r="D1521" t="s">
        <v>2352</v>
      </c>
      <c r="E1521" t="s">
        <v>2353</v>
      </c>
      <c r="F1521" t="s">
        <v>2354</v>
      </c>
      <c r="H1521" t="s">
        <v>2355</v>
      </c>
      <c r="I1521" t="s">
        <v>2356</v>
      </c>
      <c r="J1521" t="s">
        <v>1340</v>
      </c>
      <c r="K1521" t="s">
        <v>2357</v>
      </c>
      <c r="Q1521" t="s">
        <v>57</v>
      </c>
      <c r="R1521" t="s">
        <v>2358</v>
      </c>
      <c r="Y1521" t="s">
        <v>2359</v>
      </c>
      <c r="Z1521">
        <v>680520</v>
      </c>
      <c r="AE1521">
        <v>353</v>
      </c>
      <c r="AF1521" s="4">
        <v>0.5</v>
      </c>
      <c r="AG1521">
        <f t="shared" si="147"/>
        <v>176.5</v>
      </c>
      <c r="AH1521" s="4">
        <v>0.18</v>
      </c>
      <c r="AI1521">
        <f t="shared" si="142"/>
        <v>208.27</v>
      </c>
      <c r="AJ1521" s="4">
        <v>0.2</v>
      </c>
      <c r="AK1521">
        <f t="shared" si="143"/>
        <v>41.65</v>
      </c>
      <c r="AL1521">
        <f t="shared" si="144"/>
        <v>249.92</v>
      </c>
      <c r="AM1521">
        <f t="shared" si="145"/>
        <v>103.08</v>
      </c>
      <c r="AN1521" s="4">
        <f t="shared" si="146"/>
        <v>0.292011331444759</v>
      </c>
      <c r="AO1521" t="s">
        <v>221</v>
      </c>
      <c r="AQ1521" t="s">
        <v>217</v>
      </c>
      <c r="AT1521" t="s">
        <v>1662</v>
      </c>
    </row>
    <row r="1522" ht="15.75" customHeight="1" spans="1:46">
      <c r="A1522" t="s">
        <v>2350</v>
      </c>
      <c r="B1522" t="s">
        <v>67</v>
      </c>
      <c r="C1522" t="s">
        <v>2351</v>
      </c>
      <c r="D1522" t="s">
        <v>2352</v>
      </c>
      <c r="E1522" t="s">
        <v>2353</v>
      </c>
      <c r="F1522" t="s">
        <v>2354</v>
      </c>
      <c r="H1522" t="s">
        <v>2355</v>
      </c>
      <c r="I1522" t="s">
        <v>2360</v>
      </c>
      <c r="J1522" t="s">
        <v>1340</v>
      </c>
      <c r="K1522" t="s">
        <v>2357</v>
      </c>
      <c r="Q1522" t="s">
        <v>57</v>
      </c>
      <c r="R1522" t="s">
        <v>2361</v>
      </c>
      <c r="Y1522" t="s">
        <v>2359</v>
      </c>
      <c r="Z1522">
        <v>680520</v>
      </c>
      <c r="AC1522" t="s">
        <v>2362</v>
      </c>
      <c r="AE1522">
        <v>473</v>
      </c>
      <c r="AF1522" s="4">
        <v>0.5</v>
      </c>
      <c r="AG1522">
        <f t="shared" si="147"/>
        <v>236.5</v>
      </c>
      <c r="AH1522" s="4">
        <v>0.18</v>
      </c>
      <c r="AI1522">
        <f t="shared" si="142"/>
        <v>279.07</v>
      </c>
      <c r="AJ1522" s="4">
        <v>0.2</v>
      </c>
      <c r="AK1522">
        <f t="shared" si="143"/>
        <v>55.81</v>
      </c>
      <c r="AL1522">
        <f t="shared" si="144"/>
        <v>334.88</v>
      </c>
      <c r="AM1522">
        <f t="shared" si="145"/>
        <v>138.12</v>
      </c>
      <c r="AN1522" s="4">
        <f t="shared" si="146"/>
        <v>0.292008456659619</v>
      </c>
      <c r="AO1522" t="s">
        <v>221</v>
      </c>
      <c r="AQ1522" t="s">
        <v>217</v>
      </c>
      <c r="AT1522" t="s">
        <v>1662</v>
      </c>
    </row>
    <row r="1523" ht="15.75" customHeight="1" spans="1:46">
      <c r="A1523" t="s">
        <v>2350</v>
      </c>
      <c r="B1523" t="s">
        <v>71</v>
      </c>
      <c r="C1523" t="s">
        <v>2351</v>
      </c>
      <c r="D1523" t="s">
        <v>2352</v>
      </c>
      <c r="E1523" t="s">
        <v>2353</v>
      </c>
      <c r="F1523" t="s">
        <v>2354</v>
      </c>
      <c r="H1523" t="s">
        <v>2355</v>
      </c>
      <c r="I1523" t="s">
        <v>2363</v>
      </c>
      <c r="J1523" t="s">
        <v>1340</v>
      </c>
      <c r="K1523" t="s">
        <v>2357</v>
      </c>
      <c r="Q1523" t="s">
        <v>57</v>
      </c>
      <c r="R1523" t="s">
        <v>2364</v>
      </c>
      <c r="Y1523" t="s">
        <v>2359</v>
      </c>
      <c r="Z1523">
        <v>680520</v>
      </c>
      <c r="AE1523">
        <v>731</v>
      </c>
      <c r="AF1523" s="4">
        <v>0.5</v>
      </c>
      <c r="AG1523">
        <f t="shared" si="147"/>
        <v>365.5</v>
      </c>
      <c r="AH1523" s="4">
        <v>0.18</v>
      </c>
      <c r="AI1523">
        <f t="shared" si="142"/>
        <v>431.29</v>
      </c>
      <c r="AJ1523" s="4">
        <v>0.2</v>
      </c>
      <c r="AK1523">
        <f t="shared" si="143"/>
        <v>86.26</v>
      </c>
      <c r="AL1523">
        <f t="shared" si="144"/>
        <v>517.55</v>
      </c>
      <c r="AM1523">
        <f t="shared" si="145"/>
        <v>213.45</v>
      </c>
      <c r="AN1523" s="4">
        <f t="shared" si="146"/>
        <v>0.291997264021888</v>
      </c>
      <c r="AO1523" t="s">
        <v>221</v>
      </c>
      <c r="AQ1523" t="s">
        <v>217</v>
      </c>
      <c r="AT1523" t="s">
        <v>1662</v>
      </c>
    </row>
    <row r="1524" ht="15.75" customHeight="1" spans="1:46">
      <c r="A1524" t="s">
        <v>2350</v>
      </c>
      <c r="B1524" t="s">
        <v>75</v>
      </c>
      <c r="C1524" t="s">
        <v>2351</v>
      </c>
      <c r="D1524" t="s">
        <v>2352</v>
      </c>
      <c r="E1524" t="s">
        <v>2353</v>
      </c>
      <c r="F1524" t="s">
        <v>2354</v>
      </c>
      <c r="H1524" t="s">
        <v>2355</v>
      </c>
      <c r="I1524" t="s">
        <v>2365</v>
      </c>
      <c r="J1524" t="s">
        <v>1340</v>
      </c>
      <c r="K1524" t="s">
        <v>2357</v>
      </c>
      <c r="Q1524" t="s">
        <v>57</v>
      </c>
      <c r="R1524" t="s">
        <v>2366</v>
      </c>
      <c r="Y1524" t="s">
        <v>2359</v>
      </c>
      <c r="Z1524">
        <v>52081210</v>
      </c>
      <c r="AE1524">
        <v>1251</v>
      </c>
      <c r="AF1524" s="4">
        <v>0.5</v>
      </c>
      <c r="AG1524">
        <f t="shared" si="147"/>
        <v>625.5</v>
      </c>
      <c r="AH1524" s="4">
        <v>0.18</v>
      </c>
      <c r="AI1524">
        <f t="shared" si="142"/>
        <v>738.09</v>
      </c>
      <c r="AJ1524" s="4">
        <v>0.2</v>
      </c>
      <c r="AK1524">
        <f t="shared" si="143"/>
        <v>147.62</v>
      </c>
      <c r="AL1524">
        <f t="shared" si="144"/>
        <v>885.71</v>
      </c>
      <c r="AM1524">
        <f t="shared" si="145"/>
        <v>365.29</v>
      </c>
      <c r="AN1524" s="4">
        <f t="shared" si="146"/>
        <v>0.291998401278977</v>
      </c>
      <c r="AO1524" t="s">
        <v>221</v>
      </c>
      <c r="AQ1524" t="s">
        <v>217</v>
      </c>
      <c r="AT1524" t="s">
        <v>1662</v>
      </c>
    </row>
    <row r="1525" ht="15.75" customHeight="1" spans="1:46">
      <c r="A1525" t="s">
        <v>2350</v>
      </c>
      <c r="B1525" t="s">
        <v>79</v>
      </c>
      <c r="C1525" t="s">
        <v>2351</v>
      </c>
      <c r="D1525" t="s">
        <v>2352</v>
      </c>
      <c r="E1525" t="s">
        <v>2353</v>
      </c>
      <c r="F1525" t="s">
        <v>2354</v>
      </c>
      <c r="H1525" t="s">
        <v>2355</v>
      </c>
      <c r="I1525" t="s">
        <v>2367</v>
      </c>
      <c r="J1525" t="s">
        <v>1340</v>
      </c>
      <c r="K1525" t="s">
        <v>2357</v>
      </c>
      <c r="Q1525" t="s">
        <v>57</v>
      </c>
      <c r="R1525" t="s">
        <v>2368</v>
      </c>
      <c r="Y1525" t="s">
        <v>2359</v>
      </c>
      <c r="Z1525">
        <v>3917</v>
      </c>
      <c r="AE1525">
        <v>1717</v>
      </c>
      <c r="AF1525" s="4">
        <v>0.5</v>
      </c>
      <c r="AG1525">
        <f t="shared" si="147"/>
        <v>858.5</v>
      </c>
      <c r="AH1525" s="4">
        <v>0.18</v>
      </c>
      <c r="AI1525">
        <f t="shared" si="142"/>
        <v>1013.03</v>
      </c>
      <c r="AJ1525" s="4">
        <v>0.2</v>
      </c>
      <c r="AK1525">
        <f t="shared" si="143"/>
        <v>202.61</v>
      </c>
      <c r="AL1525">
        <f t="shared" si="144"/>
        <v>1215.64</v>
      </c>
      <c r="AM1525">
        <f t="shared" si="145"/>
        <v>501.36</v>
      </c>
      <c r="AN1525" s="4">
        <f t="shared" si="146"/>
        <v>0.291997670355271</v>
      </c>
      <c r="AO1525" t="s">
        <v>221</v>
      </c>
      <c r="AQ1525" t="s">
        <v>217</v>
      </c>
      <c r="AT1525" t="s">
        <v>1662</v>
      </c>
    </row>
    <row r="1526" ht="15.75" customHeight="1" spans="1:46">
      <c r="A1526" t="s">
        <v>2350</v>
      </c>
      <c r="B1526" t="s">
        <v>83</v>
      </c>
      <c r="C1526" t="s">
        <v>2351</v>
      </c>
      <c r="D1526" t="s">
        <v>2352</v>
      </c>
      <c r="E1526" t="s">
        <v>2353</v>
      </c>
      <c r="F1526" t="s">
        <v>2354</v>
      </c>
      <c r="H1526" t="s">
        <v>2355</v>
      </c>
      <c r="I1526" t="s">
        <v>2369</v>
      </c>
      <c r="J1526" t="s">
        <v>1340</v>
      </c>
      <c r="K1526" t="s">
        <v>2357</v>
      </c>
      <c r="Q1526" t="s">
        <v>57</v>
      </c>
      <c r="R1526" t="s">
        <v>2370</v>
      </c>
      <c r="Y1526" t="s">
        <v>2359</v>
      </c>
      <c r="Z1526">
        <v>3917</v>
      </c>
      <c r="AE1526">
        <v>2980</v>
      </c>
      <c r="AF1526" s="4">
        <v>0.5</v>
      </c>
      <c r="AG1526">
        <f t="shared" si="147"/>
        <v>1490</v>
      </c>
      <c r="AH1526" s="4">
        <v>0.18</v>
      </c>
      <c r="AI1526">
        <f t="shared" si="142"/>
        <v>1758.2</v>
      </c>
      <c r="AJ1526" s="4">
        <v>0.2</v>
      </c>
      <c r="AK1526">
        <f t="shared" si="143"/>
        <v>351.64</v>
      </c>
      <c r="AL1526">
        <f t="shared" si="144"/>
        <v>2109.84</v>
      </c>
      <c r="AM1526">
        <f t="shared" si="145"/>
        <v>870.16</v>
      </c>
      <c r="AN1526" s="4">
        <f t="shared" si="146"/>
        <v>0.292</v>
      </c>
      <c r="AO1526" t="s">
        <v>221</v>
      </c>
      <c r="AQ1526" t="s">
        <v>217</v>
      </c>
      <c r="AT1526" t="s">
        <v>1662</v>
      </c>
    </row>
    <row r="1527" ht="15.75" customHeight="1" spans="1:46">
      <c r="A1527" t="s">
        <v>2350</v>
      </c>
      <c r="B1527" t="s">
        <v>131</v>
      </c>
      <c r="C1527" t="s">
        <v>2351</v>
      </c>
      <c r="D1527" t="s">
        <v>2352</v>
      </c>
      <c r="E1527" t="s">
        <v>2353</v>
      </c>
      <c r="F1527" t="s">
        <v>2354</v>
      </c>
      <c r="H1527" t="s">
        <v>2355</v>
      </c>
      <c r="I1527" t="s">
        <v>2356</v>
      </c>
      <c r="J1527" t="s">
        <v>1340</v>
      </c>
      <c r="K1527" t="s">
        <v>2371</v>
      </c>
      <c r="Q1527" t="s">
        <v>57</v>
      </c>
      <c r="R1527" t="s">
        <v>2372</v>
      </c>
      <c r="Y1527" t="s">
        <v>2359</v>
      </c>
      <c r="Z1527">
        <v>3917</v>
      </c>
      <c r="AE1527">
        <v>588</v>
      </c>
      <c r="AF1527" s="4">
        <v>0.5</v>
      </c>
      <c r="AG1527">
        <f t="shared" si="147"/>
        <v>294</v>
      </c>
      <c r="AH1527" s="4">
        <v>0.18</v>
      </c>
      <c r="AI1527">
        <f t="shared" si="142"/>
        <v>346.92</v>
      </c>
      <c r="AJ1527" s="4">
        <v>0.2</v>
      </c>
      <c r="AK1527">
        <f t="shared" si="143"/>
        <v>69.38</v>
      </c>
      <c r="AL1527">
        <f t="shared" si="144"/>
        <v>416.3</v>
      </c>
      <c r="AM1527">
        <f t="shared" si="145"/>
        <v>171.7</v>
      </c>
      <c r="AN1527" s="4">
        <f t="shared" si="146"/>
        <v>0.292006802721088</v>
      </c>
      <c r="AO1527" t="s">
        <v>221</v>
      </c>
      <c r="AQ1527" t="s">
        <v>217</v>
      </c>
      <c r="AT1527" t="s">
        <v>1662</v>
      </c>
    </row>
    <row r="1528" ht="15.75" customHeight="1" spans="1:46">
      <c r="A1528" t="s">
        <v>2350</v>
      </c>
      <c r="B1528" t="s">
        <v>133</v>
      </c>
      <c r="C1528" t="s">
        <v>2351</v>
      </c>
      <c r="D1528" t="s">
        <v>2352</v>
      </c>
      <c r="E1528" t="s">
        <v>2353</v>
      </c>
      <c r="F1528" t="s">
        <v>2354</v>
      </c>
      <c r="H1528" t="s">
        <v>2355</v>
      </c>
      <c r="I1528" t="s">
        <v>2360</v>
      </c>
      <c r="J1528" t="s">
        <v>1340</v>
      </c>
      <c r="K1528" t="s">
        <v>2371</v>
      </c>
      <c r="Q1528" t="s">
        <v>57</v>
      </c>
      <c r="R1528" t="s">
        <v>2373</v>
      </c>
      <c r="Y1528" t="s">
        <v>2359</v>
      </c>
      <c r="Z1528">
        <v>3917</v>
      </c>
      <c r="AE1528">
        <v>788</v>
      </c>
      <c r="AF1528" s="4">
        <v>0.5</v>
      </c>
      <c r="AG1528">
        <f t="shared" si="147"/>
        <v>394</v>
      </c>
      <c r="AH1528" s="4">
        <v>0.18</v>
      </c>
      <c r="AI1528">
        <f t="shared" si="142"/>
        <v>464.92</v>
      </c>
      <c r="AJ1528" s="4">
        <v>0.2</v>
      </c>
      <c r="AK1528">
        <f t="shared" si="143"/>
        <v>92.98</v>
      </c>
      <c r="AL1528">
        <f t="shared" si="144"/>
        <v>557.9</v>
      </c>
      <c r="AM1528">
        <f t="shared" si="145"/>
        <v>230.1</v>
      </c>
      <c r="AN1528" s="4">
        <f t="shared" si="146"/>
        <v>0.292005076142132</v>
      </c>
      <c r="AO1528" t="s">
        <v>221</v>
      </c>
      <c r="AQ1528" t="s">
        <v>217</v>
      </c>
      <c r="AT1528" t="s">
        <v>1662</v>
      </c>
    </row>
    <row r="1529" ht="15.75" customHeight="1" spans="1:46">
      <c r="A1529" t="s">
        <v>2350</v>
      </c>
      <c r="B1529" t="s">
        <v>135</v>
      </c>
      <c r="C1529" t="s">
        <v>2351</v>
      </c>
      <c r="D1529" t="s">
        <v>2352</v>
      </c>
      <c r="E1529" t="s">
        <v>2353</v>
      </c>
      <c r="F1529" t="s">
        <v>2354</v>
      </c>
      <c r="H1529" t="s">
        <v>2355</v>
      </c>
      <c r="I1529" t="s">
        <v>2363</v>
      </c>
      <c r="J1529" t="s">
        <v>1340</v>
      </c>
      <c r="K1529" t="s">
        <v>2371</v>
      </c>
      <c r="Q1529" t="s">
        <v>57</v>
      </c>
      <c r="R1529" t="s">
        <v>2374</v>
      </c>
      <c r="Y1529" t="s">
        <v>2359</v>
      </c>
      <c r="Z1529">
        <v>3917</v>
      </c>
      <c r="AE1529">
        <v>1218</v>
      </c>
      <c r="AF1529" s="4">
        <v>0.5</v>
      </c>
      <c r="AG1529">
        <f t="shared" si="147"/>
        <v>609</v>
      </c>
      <c r="AH1529" s="4">
        <v>0.18</v>
      </c>
      <c r="AI1529">
        <f t="shared" si="142"/>
        <v>718.62</v>
      </c>
      <c r="AJ1529" s="4">
        <v>0.2</v>
      </c>
      <c r="AK1529">
        <f t="shared" si="143"/>
        <v>143.72</v>
      </c>
      <c r="AL1529">
        <f t="shared" si="144"/>
        <v>862.34</v>
      </c>
      <c r="AM1529">
        <f t="shared" si="145"/>
        <v>355.66</v>
      </c>
      <c r="AN1529" s="4">
        <f t="shared" si="146"/>
        <v>0.29200328407225</v>
      </c>
      <c r="AO1529" t="s">
        <v>221</v>
      </c>
      <c r="AQ1529" t="s">
        <v>217</v>
      </c>
      <c r="AT1529" t="s">
        <v>1662</v>
      </c>
    </row>
    <row r="1530" ht="15.75" customHeight="1" spans="1:46">
      <c r="A1530" t="s">
        <v>2350</v>
      </c>
      <c r="B1530" t="s">
        <v>137</v>
      </c>
      <c r="C1530" t="s">
        <v>2351</v>
      </c>
      <c r="D1530" t="s">
        <v>2352</v>
      </c>
      <c r="E1530" t="s">
        <v>2353</v>
      </c>
      <c r="F1530" t="s">
        <v>2354</v>
      </c>
      <c r="H1530" t="s">
        <v>2355</v>
      </c>
      <c r="I1530" t="s">
        <v>2365</v>
      </c>
      <c r="J1530" t="s">
        <v>1340</v>
      </c>
      <c r="K1530" t="s">
        <v>2371</v>
      </c>
      <c r="Q1530" t="s">
        <v>57</v>
      </c>
      <c r="R1530" t="s">
        <v>2375</v>
      </c>
      <c r="Y1530" t="s">
        <v>2359</v>
      </c>
      <c r="Z1530">
        <v>3917</v>
      </c>
      <c r="AE1530">
        <v>2085</v>
      </c>
      <c r="AF1530" s="4">
        <v>0.5</v>
      </c>
      <c r="AG1530">
        <f t="shared" si="147"/>
        <v>1042.5</v>
      </c>
      <c r="AH1530" s="4">
        <v>0.18</v>
      </c>
      <c r="AI1530">
        <f t="shared" si="142"/>
        <v>1230.15</v>
      </c>
      <c r="AJ1530" s="4">
        <v>0.2</v>
      </c>
      <c r="AK1530">
        <f t="shared" si="143"/>
        <v>246.03</v>
      </c>
      <c r="AL1530">
        <f t="shared" si="144"/>
        <v>1476.18</v>
      </c>
      <c r="AM1530">
        <f t="shared" si="145"/>
        <v>608.82</v>
      </c>
      <c r="AN1530" s="4">
        <f t="shared" si="146"/>
        <v>0.292</v>
      </c>
      <c r="AO1530" t="s">
        <v>221</v>
      </c>
      <c r="AQ1530" t="s">
        <v>217</v>
      </c>
      <c r="AT1530" t="s">
        <v>1662</v>
      </c>
    </row>
    <row r="1531" ht="15.75" customHeight="1" spans="1:46">
      <c r="A1531" t="s">
        <v>2350</v>
      </c>
      <c r="B1531" t="s">
        <v>138</v>
      </c>
      <c r="C1531" t="s">
        <v>2351</v>
      </c>
      <c r="D1531" t="s">
        <v>2352</v>
      </c>
      <c r="E1531" t="s">
        <v>2353</v>
      </c>
      <c r="F1531" t="s">
        <v>2354</v>
      </c>
      <c r="H1531" t="s">
        <v>2355</v>
      </c>
      <c r="I1531" t="s">
        <v>2367</v>
      </c>
      <c r="J1531" t="s">
        <v>1340</v>
      </c>
      <c r="K1531" t="s">
        <v>2371</v>
      </c>
      <c r="Q1531" t="s">
        <v>57</v>
      </c>
      <c r="R1531" t="s">
        <v>2376</v>
      </c>
      <c r="Y1531" t="s">
        <v>2359</v>
      </c>
      <c r="Z1531">
        <v>3917</v>
      </c>
      <c r="AE1531">
        <v>2862</v>
      </c>
      <c r="AF1531" s="4">
        <v>0.5</v>
      </c>
      <c r="AG1531">
        <f t="shared" si="147"/>
        <v>1431</v>
      </c>
      <c r="AH1531" s="4">
        <v>0.18</v>
      </c>
      <c r="AI1531">
        <f t="shared" si="142"/>
        <v>1688.58</v>
      </c>
      <c r="AJ1531" s="4">
        <v>0.2</v>
      </c>
      <c r="AK1531">
        <f t="shared" si="143"/>
        <v>337.72</v>
      </c>
      <c r="AL1531">
        <f t="shared" si="144"/>
        <v>2026.3</v>
      </c>
      <c r="AM1531">
        <f t="shared" si="145"/>
        <v>835.7</v>
      </c>
      <c r="AN1531" s="4">
        <f t="shared" si="146"/>
        <v>0.291998602375961</v>
      </c>
      <c r="AO1531" t="s">
        <v>221</v>
      </c>
      <c r="AQ1531" t="s">
        <v>217</v>
      </c>
      <c r="AT1531" t="s">
        <v>1662</v>
      </c>
    </row>
    <row r="1532" ht="15.75" customHeight="1" spans="1:46">
      <c r="A1532" t="s">
        <v>2350</v>
      </c>
      <c r="B1532" t="s">
        <v>140</v>
      </c>
      <c r="C1532" t="s">
        <v>2351</v>
      </c>
      <c r="D1532" t="s">
        <v>2352</v>
      </c>
      <c r="E1532" t="s">
        <v>2353</v>
      </c>
      <c r="F1532" t="s">
        <v>2354</v>
      </c>
      <c r="H1532" t="s">
        <v>2355</v>
      </c>
      <c r="I1532" t="s">
        <v>2369</v>
      </c>
      <c r="J1532" t="s">
        <v>1340</v>
      </c>
      <c r="K1532" t="s">
        <v>2371</v>
      </c>
      <c r="Q1532" t="s">
        <v>57</v>
      </c>
      <c r="R1532" t="s">
        <v>2377</v>
      </c>
      <c r="Y1532" t="s">
        <v>2359</v>
      </c>
      <c r="Z1532">
        <v>3917</v>
      </c>
      <c r="AE1532">
        <v>4967</v>
      </c>
      <c r="AF1532" s="4">
        <v>0.5</v>
      </c>
      <c r="AG1532">
        <f t="shared" si="147"/>
        <v>2483.5</v>
      </c>
      <c r="AH1532" s="4">
        <v>0.18</v>
      </c>
      <c r="AI1532">
        <f t="shared" si="142"/>
        <v>2930.53</v>
      </c>
      <c r="AJ1532" s="4">
        <v>0.2</v>
      </c>
      <c r="AK1532">
        <f t="shared" si="143"/>
        <v>586.11</v>
      </c>
      <c r="AL1532">
        <f t="shared" si="144"/>
        <v>3516.64</v>
      </c>
      <c r="AM1532">
        <f t="shared" si="145"/>
        <v>1450.36</v>
      </c>
      <c r="AN1532" s="4">
        <f t="shared" si="146"/>
        <v>0.29199919468492</v>
      </c>
      <c r="AO1532" t="s">
        <v>221</v>
      </c>
      <c r="AQ1532" t="s">
        <v>217</v>
      </c>
      <c r="AT1532" t="s">
        <v>1662</v>
      </c>
    </row>
    <row r="1533" ht="15.75" customHeight="1" spans="1:46">
      <c r="A1533" t="s">
        <v>2378</v>
      </c>
      <c r="B1533" t="s">
        <v>46</v>
      </c>
      <c r="C1533" t="s">
        <v>2351</v>
      </c>
      <c r="D1533" t="s">
        <v>2352</v>
      </c>
      <c r="E1533" t="s">
        <v>2353</v>
      </c>
      <c r="F1533" t="s">
        <v>2379</v>
      </c>
      <c r="H1533" t="s">
        <v>2355</v>
      </c>
      <c r="I1533" t="s">
        <v>2380</v>
      </c>
      <c r="J1533" t="s">
        <v>1340</v>
      </c>
      <c r="K1533" t="s">
        <v>2357</v>
      </c>
      <c r="Q1533" t="s">
        <v>57</v>
      </c>
      <c r="R1533" t="s">
        <v>2381</v>
      </c>
      <c r="Y1533" t="s">
        <v>2382</v>
      </c>
      <c r="Z1533">
        <v>3917</v>
      </c>
      <c r="AE1533">
        <v>7000</v>
      </c>
      <c r="AF1533" s="4">
        <v>0.5</v>
      </c>
      <c r="AG1533">
        <f t="shared" si="147"/>
        <v>3500</v>
      </c>
      <c r="AH1533" s="4">
        <v>0.18</v>
      </c>
      <c r="AI1533">
        <f t="shared" si="142"/>
        <v>4130</v>
      </c>
      <c r="AJ1533" s="4">
        <v>0.15</v>
      </c>
      <c r="AK1533">
        <f t="shared" si="143"/>
        <v>619.5</v>
      </c>
      <c r="AL1533">
        <f t="shared" si="144"/>
        <v>4749.5</v>
      </c>
      <c r="AM1533">
        <f t="shared" si="145"/>
        <v>2250.5</v>
      </c>
      <c r="AN1533" s="4">
        <f t="shared" si="146"/>
        <v>0.3215</v>
      </c>
      <c r="AO1533" t="s">
        <v>221</v>
      </c>
      <c r="AQ1533" t="s">
        <v>217</v>
      </c>
      <c r="AT1533" t="s">
        <v>1662</v>
      </c>
    </row>
    <row r="1534" ht="15.75" customHeight="1" spans="1:46">
      <c r="A1534" t="s">
        <v>2378</v>
      </c>
      <c r="B1534" t="s">
        <v>67</v>
      </c>
      <c r="C1534" t="s">
        <v>2351</v>
      </c>
      <c r="D1534" t="s">
        <v>2352</v>
      </c>
      <c r="E1534" t="s">
        <v>2353</v>
      </c>
      <c r="F1534" t="s">
        <v>2379</v>
      </c>
      <c r="H1534" t="s">
        <v>2355</v>
      </c>
      <c r="I1534" t="s">
        <v>2383</v>
      </c>
      <c r="J1534" t="s">
        <v>1340</v>
      </c>
      <c r="K1534" t="s">
        <v>2357</v>
      </c>
      <c r="Q1534" t="s">
        <v>57</v>
      </c>
      <c r="R1534" t="s">
        <v>2384</v>
      </c>
      <c r="Y1534" t="s">
        <v>2382</v>
      </c>
      <c r="Z1534">
        <v>3917</v>
      </c>
      <c r="AE1534">
        <v>9406</v>
      </c>
      <c r="AF1534" s="4">
        <v>0.5</v>
      </c>
      <c r="AG1534">
        <f t="shared" si="147"/>
        <v>4703</v>
      </c>
      <c r="AH1534" s="4">
        <v>0.18</v>
      </c>
      <c r="AI1534">
        <f t="shared" si="142"/>
        <v>5549.54</v>
      </c>
      <c r="AJ1534" s="4">
        <v>0.15</v>
      </c>
      <c r="AK1534">
        <f t="shared" si="143"/>
        <v>832.43</v>
      </c>
      <c r="AL1534">
        <f t="shared" si="144"/>
        <v>6381.97</v>
      </c>
      <c r="AM1534">
        <f t="shared" si="145"/>
        <v>3024.03</v>
      </c>
      <c r="AN1534" s="4">
        <f t="shared" si="146"/>
        <v>0.321500106315118</v>
      </c>
      <c r="AO1534" t="s">
        <v>221</v>
      </c>
      <c r="AQ1534" t="s">
        <v>217</v>
      </c>
      <c r="AT1534" t="s">
        <v>1662</v>
      </c>
    </row>
    <row r="1535" ht="15.75" customHeight="1" spans="1:46">
      <c r="A1535" t="s">
        <v>2378</v>
      </c>
      <c r="B1535" t="s">
        <v>71</v>
      </c>
      <c r="C1535" t="s">
        <v>2351</v>
      </c>
      <c r="D1535" t="s">
        <v>2352</v>
      </c>
      <c r="E1535" t="s">
        <v>2353</v>
      </c>
      <c r="F1535" t="s">
        <v>2379</v>
      </c>
      <c r="H1535" t="s">
        <v>2355</v>
      </c>
      <c r="I1535" t="s">
        <v>2385</v>
      </c>
      <c r="J1535" t="s">
        <v>1340</v>
      </c>
      <c r="K1535" t="s">
        <v>2357</v>
      </c>
      <c r="Q1535" t="s">
        <v>57</v>
      </c>
      <c r="R1535" t="s">
        <v>2386</v>
      </c>
      <c r="Y1535" t="s">
        <v>2382</v>
      </c>
      <c r="Z1535">
        <v>3917</v>
      </c>
      <c r="AE1535">
        <v>13980</v>
      </c>
      <c r="AF1535" s="4">
        <v>0.5</v>
      </c>
      <c r="AG1535">
        <f t="shared" si="147"/>
        <v>6990</v>
      </c>
      <c r="AH1535" s="4">
        <v>0.18</v>
      </c>
      <c r="AI1535">
        <f t="shared" si="142"/>
        <v>8248.2</v>
      </c>
      <c r="AJ1535" s="4">
        <v>0.15</v>
      </c>
      <c r="AK1535">
        <f t="shared" si="143"/>
        <v>1237.23</v>
      </c>
      <c r="AL1535">
        <f t="shared" si="144"/>
        <v>9485.43</v>
      </c>
      <c r="AM1535">
        <f t="shared" si="145"/>
        <v>4494.57</v>
      </c>
      <c r="AN1535" s="4">
        <f t="shared" si="146"/>
        <v>0.3215</v>
      </c>
      <c r="AO1535" t="s">
        <v>221</v>
      </c>
      <c r="AQ1535" t="s">
        <v>217</v>
      </c>
      <c r="AT1535" t="s">
        <v>1662</v>
      </c>
    </row>
    <row r="1536" ht="15.75" customHeight="1" spans="1:46">
      <c r="A1536" t="s">
        <v>2378</v>
      </c>
      <c r="B1536" t="s">
        <v>75</v>
      </c>
      <c r="C1536" t="s">
        <v>2351</v>
      </c>
      <c r="D1536" t="s">
        <v>2352</v>
      </c>
      <c r="E1536" t="s">
        <v>2353</v>
      </c>
      <c r="F1536" t="s">
        <v>2379</v>
      </c>
      <c r="H1536" t="s">
        <v>2355</v>
      </c>
      <c r="I1536" t="s">
        <v>2387</v>
      </c>
      <c r="J1536" t="s">
        <v>1340</v>
      </c>
      <c r="K1536" t="s">
        <v>2357</v>
      </c>
      <c r="Q1536" t="s">
        <v>57</v>
      </c>
      <c r="R1536" t="s">
        <v>2388</v>
      </c>
      <c r="Y1536" t="s">
        <v>2382</v>
      </c>
      <c r="Z1536">
        <v>3917</v>
      </c>
      <c r="AE1536">
        <v>2951</v>
      </c>
      <c r="AF1536" s="4">
        <v>0.5</v>
      </c>
      <c r="AG1536">
        <f t="shared" si="147"/>
        <v>1475.5</v>
      </c>
      <c r="AH1536" s="4">
        <v>0.18</v>
      </c>
      <c r="AI1536">
        <f t="shared" si="142"/>
        <v>1741.09</v>
      </c>
      <c r="AJ1536" s="4">
        <v>0.15</v>
      </c>
      <c r="AK1536">
        <f t="shared" si="143"/>
        <v>261.16</v>
      </c>
      <c r="AL1536">
        <f t="shared" si="144"/>
        <v>2002.25</v>
      </c>
      <c r="AM1536">
        <f t="shared" si="145"/>
        <v>948.75</v>
      </c>
      <c r="AN1536" s="4">
        <f t="shared" si="146"/>
        <v>0.321501186038631</v>
      </c>
      <c r="AO1536" t="s">
        <v>221</v>
      </c>
      <c r="AQ1536" t="s">
        <v>217</v>
      </c>
      <c r="AT1536" t="s">
        <v>1662</v>
      </c>
    </row>
    <row r="1537" ht="15.75" customHeight="1" spans="1:46">
      <c r="A1537" t="s">
        <v>2378</v>
      </c>
      <c r="B1537" t="s">
        <v>79</v>
      </c>
      <c r="C1537" t="s">
        <v>2351</v>
      </c>
      <c r="D1537" t="s">
        <v>2352</v>
      </c>
      <c r="E1537" t="s">
        <v>2353</v>
      </c>
      <c r="F1537" t="s">
        <v>2379</v>
      </c>
      <c r="H1537" t="s">
        <v>2355</v>
      </c>
      <c r="I1537" t="s">
        <v>2389</v>
      </c>
      <c r="J1537" t="s">
        <v>1340</v>
      </c>
      <c r="K1537" t="s">
        <v>2357</v>
      </c>
      <c r="Q1537" t="s">
        <v>57</v>
      </c>
      <c r="R1537" t="s">
        <v>2390</v>
      </c>
      <c r="Y1537" t="s">
        <v>2382</v>
      </c>
      <c r="Z1537">
        <v>3917</v>
      </c>
      <c r="AE1537">
        <v>46365</v>
      </c>
      <c r="AF1537" s="4">
        <v>0.5</v>
      </c>
      <c r="AG1537">
        <f t="shared" si="147"/>
        <v>23182.5</v>
      </c>
      <c r="AH1537" s="4">
        <v>0.18</v>
      </c>
      <c r="AI1537">
        <f t="shared" si="142"/>
        <v>27355.35</v>
      </c>
      <c r="AJ1537" s="4">
        <v>0.15</v>
      </c>
      <c r="AK1537">
        <f t="shared" si="143"/>
        <v>4103.3</v>
      </c>
      <c r="AL1537">
        <f t="shared" si="144"/>
        <v>31458.65</v>
      </c>
      <c r="AM1537">
        <f t="shared" si="145"/>
        <v>14906.35</v>
      </c>
      <c r="AN1537" s="4">
        <f t="shared" si="146"/>
        <v>0.321500053919983</v>
      </c>
      <c r="AO1537" t="s">
        <v>221</v>
      </c>
      <c r="AQ1537" t="s">
        <v>217</v>
      </c>
      <c r="AT1537" t="s">
        <v>1662</v>
      </c>
    </row>
    <row r="1538" ht="15.75" customHeight="1" spans="1:46">
      <c r="A1538" t="s">
        <v>2378</v>
      </c>
      <c r="B1538" t="s">
        <v>83</v>
      </c>
      <c r="C1538" t="s">
        <v>2351</v>
      </c>
      <c r="D1538" t="s">
        <v>2352</v>
      </c>
      <c r="E1538" t="s">
        <v>2353</v>
      </c>
      <c r="F1538" t="s">
        <v>2379</v>
      </c>
      <c r="H1538" t="s">
        <v>2355</v>
      </c>
      <c r="I1538" t="s">
        <v>2380</v>
      </c>
      <c r="J1538" t="s">
        <v>1340</v>
      </c>
      <c r="K1538" t="s">
        <v>2371</v>
      </c>
      <c r="Q1538" t="s">
        <v>57</v>
      </c>
      <c r="R1538" t="s">
        <v>2391</v>
      </c>
      <c r="Y1538" t="s">
        <v>2382</v>
      </c>
      <c r="Z1538">
        <v>3917</v>
      </c>
      <c r="AE1538">
        <v>11666</v>
      </c>
      <c r="AF1538" s="4">
        <v>0.5</v>
      </c>
      <c r="AG1538">
        <f t="shared" si="147"/>
        <v>5833</v>
      </c>
      <c r="AH1538" s="4">
        <v>0.18</v>
      </c>
      <c r="AI1538">
        <f t="shared" ref="AI1538:AI1601" si="148">ROUND(AG1538+(AG1538*AH1538),2)</f>
        <v>6882.94</v>
      </c>
      <c r="AJ1538" s="4">
        <v>0.15</v>
      </c>
      <c r="AK1538">
        <f t="shared" ref="AK1538:AK1601" si="149">ROUND(AI1538*AJ1538,2)</f>
        <v>1032.44</v>
      </c>
      <c r="AL1538">
        <f t="shared" ref="AL1538:AL1601" si="150">AI1538+AK1538</f>
        <v>7915.38</v>
      </c>
      <c r="AM1538">
        <f t="shared" ref="AM1538:AM1601" si="151">AE1538-AL1538</f>
        <v>3750.62</v>
      </c>
      <c r="AN1538" s="4">
        <f t="shared" ref="AN1538:AN1601" si="152">AM1538/AE1538</f>
        <v>0.321500085719184</v>
      </c>
      <c r="AO1538" t="s">
        <v>221</v>
      </c>
      <c r="AQ1538" t="s">
        <v>217</v>
      </c>
      <c r="AT1538" t="s">
        <v>1662</v>
      </c>
    </row>
    <row r="1539" ht="15.75" customHeight="1" spans="1:46">
      <c r="A1539" t="s">
        <v>2378</v>
      </c>
      <c r="B1539" t="s">
        <v>131</v>
      </c>
      <c r="C1539" t="s">
        <v>2351</v>
      </c>
      <c r="D1539" t="s">
        <v>2352</v>
      </c>
      <c r="E1539" t="s">
        <v>2353</v>
      </c>
      <c r="F1539" t="s">
        <v>2379</v>
      </c>
      <c r="H1539" t="s">
        <v>2355</v>
      </c>
      <c r="I1539" t="s">
        <v>2383</v>
      </c>
      <c r="J1539" t="s">
        <v>1340</v>
      </c>
      <c r="K1539" t="s">
        <v>2371</v>
      </c>
      <c r="Q1539" t="s">
        <v>57</v>
      </c>
      <c r="R1539" t="s">
        <v>2392</v>
      </c>
      <c r="Y1539" t="s">
        <v>2382</v>
      </c>
      <c r="Z1539">
        <v>3917</v>
      </c>
      <c r="AE1539">
        <v>15677</v>
      </c>
      <c r="AF1539" s="4">
        <v>0.5</v>
      </c>
      <c r="AG1539">
        <f t="shared" si="147"/>
        <v>7838.5</v>
      </c>
      <c r="AH1539" s="4">
        <v>0.18</v>
      </c>
      <c r="AI1539">
        <f t="shared" si="148"/>
        <v>9249.43</v>
      </c>
      <c r="AJ1539" s="4">
        <v>0.15</v>
      </c>
      <c r="AK1539">
        <f t="shared" si="149"/>
        <v>1387.41</v>
      </c>
      <c r="AL1539">
        <f t="shared" si="150"/>
        <v>10636.84</v>
      </c>
      <c r="AM1539">
        <f t="shared" si="151"/>
        <v>5040.16</v>
      </c>
      <c r="AN1539" s="4">
        <f t="shared" si="152"/>
        <v>0.321500287044715</v>
      </c>
      <c r="AO1539" t="s">
        <v>221</v>
      </c>
      <c r="AQ1539" t="s">
        <v>217</v>
      </c>
      <c r="AT1539" t="s">
        <v>1662</v>
      </c>
    </row>
    <row r="1540" ht="15.75" customHeight="1" spans="1:46">
      <c r="A1540" t="s">
        <v>2378</v>
      </c>
      <c r="B1540" t="s">
        <v>133</v>
      </c>
      <c r="C1540" t="s">
        <v>2351</v>
      </c>
      <c r="D1540" t="s">
        <v>2352</v>
      </c>
      <c r="E1540" t="s">
        <v>2353</v>
      </c>
      <c r="F1540" t="s">
        <v>2379</v>
      </c>
      <c r="H1540" t="s">
        <v>2355</v>
      </c>
      <c r="I1540" t="s">
        <v>2385</v>
      </c>
      <c r="J1540" t="s">
        <v>1340</v>
      </c>
      <c r="K1540" t="s">
        <v>2371</v>
      </c>
      <c r="Q1540" t="s">
        <v>57</v>
      </c>
      <c r="R1540" t="s">
        <v>2393</v>
      </c>
      <c r="Y1540" t="s">
        <v>2382</v>
      </c>
      <c r="Z1540">
        <v>3917</v>
      </c>
      <c r="AE1540">
        <v>23300</v>
      </c>
      <c r="AF1540" s="4">
        <v>0.5</v>
      </c>
      <c r="AG1540">
        <f t="shared" ref="AG1540:AG1603" si="153">ROUND(AE1540-(AE1540*AF1540),2)</f>
        <v>11650</v>
      </c>
      <c r="AH1540" s="4">
        <v>0.18</v>
      </c>
      <c r="AI1540">
        <f t="shared" si="148"/>
        <v>13747</v>
      </c>
      <c r="AJ1540" s="4">
        <v>0.15</v>
      </c>
      <c r="AK1540">
        <f t="shared" si="149"/>
        <v>2062.05</v>
      </c>
      <c r="AL1540">
        <f t="shared" si="150"/>
        <v>15809.05</v>
      </c>
      <c r="AM1540">
        <f t="shared" si="151"/>
        <v>7490.95</v>
      </c>
      <c r="AN1540" s="4">
        <f t="shared" si="152"/>
        <v>0.3215</v>
      </c>
      <c r="AO1540" t="s">
        <v>221</v>
      </c>
      <c r="AQ1540" t="s">
        <v>217</v>
      </c>
      <c r="AT1540" t="s">
        <v>1662</v>
      </c>
    </row>
    <row r="1541" ht="15.75" customHeight="1" spans="1:46">
      <c r="A1541" t="s">
        <v>2378</v>
      </c>
      <c r="B1541" t="s">
        <v>135</v>
      </c>
      <c r="C1541" t="s">
        <v>2351</v>
      </c>
      <c r="D1541" t="s">
        <v>2352</v>
      </c>
      <c r="E1541" t="s">
        <v>2353</v>
      </c>
      <c r="F1541" t="s">
        <v>2379</v>
      </c>
      <c r="H1541" t="s">
        <v>2355</v>
      </c>
      <c r="I1541" t="s">
        <v>2387</v>
      </c>
      <c r="J1541" t="s">
        <v>1340</v>
      </c>
      <c r="K1541" t="s">
        <v>2371</v>
      </c>
      <c r="Q1541" t="s">
        <v>57</v>
      </c>
      <c r="R1541" t="s">
        <v>2394</v>
      </c>
      <c r="Y1541" t="s">
        <v>2382</v>
      </c>
      <c r="Z1541">
        <v>3917</v>
      </c>
      <c r="AE1541">
        <v>48752</v>
      </c>
      <c r="AF1541" s="4">
        <v>0.5</v>
      </c>
      <c r="AG1541">
        <f t="shared" si="153"/>
        <v>24376</v>
      </c>
      <c r="AH1541" s="4">
        <v>0.18</v>
      </c>
      <c r="AI1541">
        <f t="shared" si="148"/>
        <v>28763.68</v>
      </c>
      <c r="AJ1541" s="4">
        <v>0.15</v>
      </c>
      <c r="AK1541">
        <f t="shared" si="149"/>
        <v>4314.55</v>
      </c>
      <c r="AL1541">
        <f t="shared" si="150"/>
        <v>33078.23</v>
      </c>
      <c r="AM1541">
        <f t="shared" si="151"/>
        <v>15673.77</v>
      </c>
      <c r="AN1541" s="4">
        <f t="shared" si="152"/>
        <v>0.321500041023958</v>
      </c>
      <c r="AO1541" t="s">
        <v>221</v>
      </c>
      <c r="AQ1541" t="s">
        <v>217</v>
      </c>
      <c r="AT1541" t="s">
        <v>1662</v>
      </c>
    </row>
    <row r="1542" ht="15.75" customHeight="1" spans="1:46">
      <c r="A1542" t="s">
        <v>2378</v>
      </c>
      <c r="B1542" t="s">
        <v>137</v>
      </c>
      <c r="C1542" t="s">
        <v>2351</v>
      </c>
      <c r="D1542" t="s">
        <v>2352</v>
      </c>
      <c r="E1542" t="s">
        <v>2353</v>
      </c>
      <c r="F1542" t="s">
        <v>2379</v>
      </c>
      <c r="H1542" t="s">
        <v>2355</v>
      </c>
      <c r="I1542" t="s">
        <v>2389</v>
      </c>
      <c r="J1542" t="s">
        <v>1340</v>
      </c>
      <c r="K1542" t="s">
        <v>2371</v>
      </c>
      <c r="Q1542" t="s">
        <v>57</v>
      </c>
      <c r="R1542" t="s">
        <v>2395</v>
      </c>
      <c r="Y1542" t="s">
        <v>2382</v>
      </c>
      <c r="Z1542">
        <v>3917</v>
      </c>
      <c r="AE1542">
        <v>77275</v>
      </c>
      <c r="AF1542" s="4">
        <v>0.5</v>
      </c>
      <c r="AG1542">
        <f t="shared" si="153"/>
        <v>38637.5</v>
      </c>
      <c r="AH1542" s="4">
        <v>0.18</v>
      </c>
      <c r="AI1542">
        <f t="shared" si="148"/>
        <v>45592.25</v>
      </c>
      <c r="AJ1542" s="4">
        <v>0.15</v>
      </c>
      <c r="AK1542">
        <f t="shared" si="149"/>
        <v>6838.84</v>
      </c>
      <c r="AL1542">
        <f t="shared" si="150"/>
        <v>52431.09</v>
      </c>
      <c r="AM1542">
        <f t="shared" si="151"/>
        <v>24843.91</v>
      </c>
      <c r="AN1542" s="4">
        <f t="shared" si="152"/>
        <v>0.32149996764801</v>
      </c>
      <c r="AO1542" t="s">
        <v>221</v>
      </c>
      <c r="AQ1542" t="s">
        <v>217</v>
      </c>
      <c r="AT1542" t="s">
        <v>1662</v>
      </c>
    </row>
    <row r="1543" ht="15.75" customHeight="1" spans="1:46">
      <c r="A1543" t="s">
        <v>2396</v>
      </c>
      <c r="B1543" t="s">
        <v>46</v>
      </c>
      <c r="C1543" t="s">
        <v>2351</v>
      </c>
      <c r="D1543" t="s">
        <v>2352</v>
      </c>
      <c r="E1543" t="s">
        <v>2353</v>
      </c>
      <c r="F1543" t="s">
        <v>2397</v>
      </c>
      <c r="H1543" t="s">
        <v>2355</v>
      </c>
      <c r="I1543" t="s">
        <v>2356</v>
      </c>
      <c r="J1543" t="s">
        <v>1340</v>
      </c>
      <c r="K1543" t="s">
        <v>2357</v>
      </c>
      <c r="Q1543" t="s">
        <v>57</v>
      </c>
      <c r="R1543" t="s">
        <v>2398</v>
      </c>
      <c r="Y1543" t="s">
        <v>2399</v>
      </c>
      <c r="Z1543">
        <v>3917</v>
      </c>
      <c r="AE1543">
        <v>309</v>
      </c>
      <c r="AF1543" s="4">
        <v>0.5</v>
      </c>
      <c r="AG1543">
        <f t="shared" si="153"/>
        <v>154.5</v>
      </c>
      <c r="AH1543" s="4">
        <v>0.18</v>
      </c>
      <c r="AI1543">
        <f t="shared" si="148"/>
        <v>182.31</v>
      </c>
      <c r="AJ1543" s="4">
        <v>0.15</v>
      </c>
      <c r="AK1543">
        <f t="shared" si="149"/>
        <v>27.35</v>
      </c>
      <c r="AL1543">
        <f t="shared" si="150"/>
        <v>209.66</v>
      </c>
      <c r="AM1543">
        <f t="shared" si="151"/>
        <v>99.34</v>
      </c>
      <c r="AN1543" s="4">
        <f t="shared" si="152"/>
        <v>0.321488673139159</v>
      </c>
      <c r="AO1543" t="s">
        <v>221</v>
      </c>
      <c r="AQ1543" t="s">
        <v>217</v>
      </c>
      <c r="AT1543" t="s">
        <v>1662</v>
      </c>
    </row>
    <row r="1544" ht="15.75" customHeight="1" spans="1:46">
      <c r="A1544" t="s">
        <v>2396</v>
      </c>
      <c r="B1544" t="s">
        <v>67</v>
      </c>
      <c r="C1544" t="s">
        <v>2351</v>
      </c>
      <c r="D1544" t="s">
        <v>2352</v>
      </c>
      <c r="E1544" t="s">
        <v>2353</v>
      </c>
      <c r="F1544" t="s">
        <v>2397</v>
      </c>
      <c r="H1544" t="s">
        <v>2355</v>
      </c>
      <c r="I1544" t="s">
        <v>2360</v>
      </c>
      <c r="J1544" t="s">
        <v>1340</v>
      </c>
      <c r="K1544" t="s">
        <v>2357</v>
      </c>
      <c r="Q1544" t="s">
        <v>57</v>
      </c>
      <c r="R1544" t="s">
        <v>2400</v>
      </c>
      <c r="Y1544" t="s">
        <v>2399</v>
      </c>
      <c r="Z1544">
        <v>3917</v>
      </c>
      <c r="AE1544">
        <v>445</v>
      </c>
      <c r="AF1544" s="4">
        <v>0.5</v>
      </c>
      <c r="AG1544">
        <f t="shared" si="153"/>
        <v>222.5</v>
      </c>
      <c r="AH1544" s="4">
        <v>0.18</v>
      </c>
      <c r="AI1544">
        <f t="shared" si="148"/>
        <v>262.55</v>
      </c>
      <c r="AJ1544" s="4">
        <v>0.15</v>
      </c>
      <c r="AK1544">
        <f t="shared" si="149"/>
        <v>39.38</v>
      </c>
      <c r="AL1544">
        <f t="shared" si="150"/>
        <v>301.93</v>
      </c>
      <c r="AM1544">
        <f t="shared" si="151"/>
        <v>143.07</v>
      </c>
      <c r="AN1544" s="4">
        <f t="shared" si="152"/>
        <v>0.321505617977528</v>
      </c>
      <c r="AO1544" t="s">
        <v>221</v>
      </c>
      <c r="AQ1544" t="s">
        <v>217</v>
      </c>
      <c r="AT1544" t="s">
        <v>1662</v>
      </c>
    </row>
    <row r="1545" ht="15.75" customHeight="1" spans="1:46">
      <c r="A1545" t="s">
        <v>2396</v>
      </c>
      <c r="B1545" t="s">
        <v>71</v>
      </c>
      <c r="C1545" t="s">
        <v>2351</v>
      </c>
      <c r="D1545" t="s">
        <v>2352</v>
      </c>
      <c r="E1545" t="s">
        <v>2353</v>
      </c>
      <c r="F1545" t="s">
        <v>2397</v>
      </c>
      <c r="H1545" t="s">
        <v>2355</v>
      </c>
      <c r="I1545" t="s">
        <v>2363</v>
      </c>
      <c r="J1545" t="s">
        <v>1340</v>
      </c>
      <c r="K1545" t="s">
        <v>2357</v>
      </c>
      <c r="Q1545" t="s">
        <v>57</v>
      </c>
      <c r="R1545" t="s">
        <v>2401</v>
      </c>
      <c r="Y1545" t="s">
        <v>2399</v>
      </c>
      <c r="Z1545">
        <v>3917</v>
      </c>
      <c r="AE1545">
        <v>649</v>
      </c>
      <c r="AF1545" s="4">
        <v>0.5</v>
      </c>
      <c r="AG1545">
        <f t="shared" si="153"/>
        <v>324.5</v>
      </c>
      <c r="AH1545" s="4">
        <v>0.18</v>
      </c>
      <c r="AI1545">
        <f t="shared" si="148"/>
        <v>382.91</v>
      </c>
      <c r="AJ1545" s="4">
        <v>0.15</v>
      </c>
      <c r="AK1545">
        <f t="shared" si="149"/>
        <v>57.44</v>
      </c>
      <c r="AL1545">
        <f t="shared" si="150"/>
        <v>440.35</v>
      </c>
      <c r="AM1545">
        <f t="shared" si="151"/>
        <v>208.65</v>
      </c>
      <c r="AN1545" s="4">
        <f t="shared" si="152"/>
        <v>0.321494607087827</v>
      </c>
      <c r="AO1545" t="s">
        <v>221</v>
      </c>
      <c r="AQ1545" t="s">
        <v>217</v>
      </c>
      <c r="AT1545" t="s">
        <v>1662</v>
      </c>
    </row>
    <row r="1546" ht="15.75" customHeight="1" spans="1:46">
      <c r="A1546" t="s">
        <v>2396</v>
      </c>
      <c r="B1546" t="s">
        <v>75</v>
      </c>
      <c r="C1546" t="s">
        <v>2351</v>
      </c>
      <c r="D1546" t="s">
        <v>2352</v>
      </c>
      <c r="E1546" t="s">
        <v>2353</v>
      </c>
      <c r="F1546" t="s">
        <v>2397</v>
      </c>
      <c r="H1546" t="s">
        <v>2355</v>
      </c>
      <c r="I1546" t="s">
        <v>2365</v>
      </c>
      <c r="J1546" t="s">
        <v>1340</v>
      </c>
      <c r="K1546" t="s">
        <v>2357</v>
      </c>
      <c r="Q1546" t="s">
        <v>57</v>
      </c>
      <c r="R1546" t="s">
        <v>2402</v>
      </c>
      <c r="Y1546" t="s">
        <v>2399</v>
      </c>
      <c r="Z1546">
        <v>3917</v>
      </c>
      <c r="AE1546">
        <v>1068</v>
      </c>
      <c r="AF1546" s="4">
        <v>0.5</v>
      </c>
      <c r="AG1546">
        <f t="shared" si="153"/>
        <v>534</v>
      </c>
      <c r="AH1546" s="4">
        <v>0.18</v>
      </c>
      <c r="AI1546">
        <f t="shared" si="148"/>
        <v>630.12</v>
      </c>
      <c r="AJ1546" s="4">
        <v>0.15</v>
      </c>
      <c r="AK1546">
        <f t="shared" si="149"/>
        <v>94.52</v>
      </c>
      <c r="AL1546">
        <f t="shared" si="150"/>
        <v>724.64</v>
      </c>
      <c r="AM1546">
        <f t="shared" si="151"/>
        <v>343.36</v>
      </c>
      <c r="AN1546" s="4">
        <f t="shared" si="152"/>
        <v>0.321498127340824</v>
      </c>
      <c r="AO1546" t="s">
        <v>221</v>
      </c>
      <c r="AQ1546" t="s">
        <v>217</v>
      </c>
      <c r="AT1546" t="s">
        <v>1662</v>
      </c>
    </row>
    <row r="1547" ht="15.75" customHeight="1" spans="1:46">
      <c r="A1547" t="s">
        <v>2396</v>
      </c>
      <c r="B1547" t="s">
        <v>79</v>
      </c>
      <c r="C1547" t="s">
        <v>2351</v>
      </c>
      <c r="D1547" t="s">
        <v>2352</v>
      </c>
      <c r="E1547" t="s">
        <v>2353</v>
      </c>
      <c r="F1547" t="s">
        <v>2397</v>
      </c>
      <c r="H1547" t="s">
        <v>2355</v>
      </c>
      <c r="I1547" t="s">
        <v>2367</v>
      </c>
      <c r="J1547" t="s">
        <v>1340</v>
      </c>
      <c r="K1547" t="s">
        <v>2357</v>
      </c>
      <c r="Q1547" t="s">
        <v>57</v>
      </c>
      <c r="R1547" t="s">
        <v>2403</v>
      </c>
      <c r="Y1547" t="s">
        <v>2399</v>
      </c>
      <c r="Z1547">
        <v>3917</v>
      </c>
      <c r="AE1547">
        <v>1478</v>
      </c>
      <c r="AF1547" s="4">
        <v>0.5</v>
      </c>
      <c r="AG1547">
        <f t="shared" si="153"/>
        <v>739</v>
      </c>
      <c r="AH1547" s="4">
        <v>0.18</v>
      </c>
      <c r="AI1547">
        <f t="shared" si="148"/>
        <v>872.02</v>
      </c>
      <c r="AJ1547" s="4">
        <v>0.15</v>
      </c>
      <c r="AK1547">
        <f t="shared" si="149"/>
        <v>130.8</v>
      </c>
      <c r="AL1547">
        <f t="shared" si="150"/>
        <v>1002.82</v>
      </c>
      <c r="AM1547">
        <f t="shared" si="151"/>
        <v>475.18</v>
      </c>
      <c r="AN1547" s="4">
        <f t="shared" si="152"/>
        <v>0.321502029769959</v>
      </c>
      <c r="AO1547" t="s">
        <v>221</v>
      </c>
      <c r="AQ1547" t="s">
        <v>217</v>
      </c>
      <c r="AT1547" t="s">
        <v>1662</v>
      </c>
    </row>
    <row r="1548" ht="15.75" customHeight="1" spans="1:46">
      <c r="A1548" t="s">
        <v>2396</v>
      </c>
      <c r="B1548" t="s">
        <v>83</v>
      </c>
      <c r="C1548" t="s">
        <v>2351</v>
      </c>
      <c r="D1548" t="s">
        <v>2352</v>
      </c>
      <c r="E1548" t="s">
        <v>2353</v>
      </c>
      <c r="F1548" t="s">
        <v>2397</v>
      </c>
      <c r="H1548" t="s">
        <v>2355</v>
      </c>
      <c r="I1548" t="s">
        <v>2369</v>
      </c>
      <c r="J1548" t="s">
        <v>1340</v>
      </c>
      <c r="K1548" t="s">
        <v>2357</v>
      </c>
      <c r="Q1548" t="s">
        <v>57</v>
      </c>
      <c r="R1548" t="s">
        <v>2404</v>
      </c>
      <c r="Y1548" t="s">
        <v>2399</v>
      </c>
      <c r="Z1548">
        <v>3917</v>
      </c>
      <c r="AE1548">
        <v>2508</v>
      </c>
      <c r="AF1548" s="4">
        <v>0.5</v>
      </c>
      <c r="AG1548">
        <f t="shared" si="153"/>
        <v>1254</v>
      </c>
      <c r="AH1548" s="4">
        <v>0.18</v>
      </c>
      <c r="AI1548">
        <f t="shared" si="148"/>
        <v>1479.72</v>
      </c>
      <c r="AJ1548" s="4">
        <v>0.15</v>
      </c>
      <c r="AK1548">
        <f t="shared" si="149"/>
        <v>221.96</v>
      </c>
      <c r="AL1548">
        <f t="shared" si="150"/>
        <v>1701.68</v>
      </c>
      <c r="AM1548">
        <f t="shared" si="151"/>
        <v>806.32</v>
      </c>
      <c r="AN1548" s="4">
        <f t="shared" si="152"/>
        <v>0.321499202551834</v>
      </c>
      <c r="AO1548" t="s">
        <v>221</v>
      </c>
      <c r="AQ1548" t="s">
        <v>217</v>
      </c>
      <c r="AT1548" t="s">
        <v>1662</v>
      </c>
    </row>
    <row r="1549" ht="15.75" customHeight="1" spans="1:46">
      <c r="A1549" t="s">
        <v>2396</v>
      </c>
      <c r="B1549" t="s">
        <v>131</v>
      </c>
      <c r="C1549" t="s">
        <v>2351</v>
      </c>
      <c r="D1549" t="s">
        <v>2352</v>
      </c>
      <c r="E1549" t="s">
        <v>2353</v>
      </c>
      <c r="F1549" t="s">
        <v>2397</v>
      </c>
      <c r="H1549" t="s">
        <v>2355</v>
      </c>
      <c r="I1549" t="s">
        <v>2356</v>
      </c>
      <c r="J1549" t="s">
        <v>1340</v>
      </c>
      <c r="K1549" t="s">
        <v>2371</v>
      </c>
      <c r="Q1549" t="s">
        <v>57</v>
      </c>
      <c r="R1549" t="s">
        <v>2405</v>
      </c>
      <c r="Y1549" t="s">
        <v>2399</v>
      </c>
      <c r="Z1549">
        <v>3917</v>
      </c>
      <c r="AE1549">
        <v>515</v>
      </c>
      <c r="AF1549" s="4">
        <v>0.5</v>
      </c>
      <c r="AG1549">
        <f t="shared" si="153"/>
        <v>257.5</v>
      </c>
      <c r="AH1549" s="4">
        <v>0.18</v>
      </c>
      <c r="AI1549">
        <f t="shared" si="148"/>
        <v>303.85</v>
      </c>
      <c r="AJ1549" s="4">
        <v>0.15</v>
      </c>
      <c r="AK1549">
        <f t="shared" si="149"/>
        <v>45.58</v>
      </c>
      <c r="AL1549">
        <f t="shared" si="150"/>
        <v>349.43</v>
      </c>
      <c r="AM1549">
        <f t="shared" si="151"/>
        <v>165.57</v>
      </c>
      <c r="AN1549" s="4">
        <f t="shared" si="152"/>
        <v>0.321495145631068</v>
      </c>
      <c r="AO1549" t="s">
        <v>221</v>
      </c>
      <c r="AQ1549" t="s">
        <v>217</v>
      </c>
      <c r="AT1549" t="s">
        <v>1662</v>
      </c>
    </row>
    <row r="1550" ht="15.75" customHeight="1" spans="1:46">
      <c r="A1550" t="s">
        <v>2396</v>
      </c>
      <c r="B1550" t="s">
        <v>133</v>
      </c>
      <c r="C1550" t="s">
        <v>2351</v>
      </c>
      <c r="D1550" t="s">
        <v>2352</v>
      </c>
      <c r="E1550" t="s">
        <v>2353</v>
      </c>
      <c r="F1550" t="s">
        <v>2397</v>
      </c>
      <c r="H1550" t="s">
        <v>2355</v>
      </c>
      <c r="I1550" t="s">
        <v>2360</v>
      </c>
      <c r="J1550" t="s">
        <v>1340</v>
      </c>
      <c r="K1550" t="s">
        <v>2371</v>
      </c>
      <c r="Q1550" t="s">
        <v>57</v>
      </c>
      <c r="R1550" t="s">
        <v>2406</v>
      </c>
      <c r="Y1550" t="s">
        <v>2399</v>
      </c>
      <c r="Z1550">
        <v>3917</v>
      </c>
      <c r="AE1550">
        <v>741</v>
      </c>
      <c r="AF1550" s="4">
        <v>0.5</v>
      </c>
      <c r="AG1550">
        <f t="shared" si="153"/>
        <v>370.5</v>
      </c>
      <c r="AH1550" s="4">
        <v>0.18</v>
      </c>
      <c r="AI1550">
        <f t="shared" si="148"/>
        <v>437.19</v>
      </c>
      <c r="AJ1550" s="4">
        <v>0.15</v>
      </c>
      <c r="AK1550">
        <f t="shared" si="149"/>
        <v>65.58</v>
      </c>
      <c r="AL1550">
        <f t="shared" si="150"/>
        <v>502.77</v>
      </c>
      <c r="AM1550">
        <f t="shared" si="151"/>
        <v>238.23</v>
      </c>
      <c r="AN1550" s="4">
        <f t="shared" si="152"/>
        <v>0.321497975708502</v>
      </c>
      <c r="AO1550" t="s">
        <v>221</v>
      </c>
      <c r="AQ1550" t="s">
        <v>217</v>
      </c>
      <c r="AT1550" t="s">
        <v>1662</v>
      </c>
    </row>
    <row r="1551" ht="15.75" customHeight="1" spans="1:46">
      <c r="A1551" t="s">
        <v>2396</v>
      </c>
      <c r="B1551" t="s">
        <v>135</v>
      </c>
      <c r="C1551" t="s">
        <v>2351</v>
      </c>
      <c r="D1551" t="s">
        <v>2352</v>
      </c>
      <c r="E1551" t="s">
        <v>2353</v>
      </c>
      <c r="F1551" t="s">
        <v>2397</v>
      </c>
      <c r="H1551" t="s">
        <v>2355</v>
      </c>
      <c r="I1551" t="s">
        <v>2363</v>
      </c>
      <c r="J1551" t="s">
        <v>1340</v>
      </c>
      <c r="K1551" t="s">
        <v>2371</v>
      </c>
      <c r="Q1551" t="s">
        <v>57</v>
      </c>
      <c r="R1551" t="s">
        <v>2407</v>
      </c>
      <c r="Y1551" t="s">
        <v>2399</v>
      </c>
      <c r="Z1551">
        <v>3917</v>
      </c>
      <c r="AE1551">
        <v>1082</v>
      </c>
      <c r="AF1551" s="4">
        <v>0.5</v>
      </c>
      <c r="AG1551">
        <f t="shared" si="153"/>
        <v>541</v>
      </c>
      <c r="AH1551" s="4">
        <v>0.18</v>
      </c>
      <c r="AI1551">
        <f t="shared" si="148"/>
        <v>638.38</v>
      </c>
      <c r="AJ1551" s="4">
        <v>0.15</v>
      </c>
      <c r="AK1551">
        <f t="shared" si="149"/>
        <v>95.76</v>
      </c>
      <c r="AL1551">
        <f t="shared" si="150"/>
        <v>734.14</v>
      </c>
      <c r="AM1551">
        <f t="shared" si="151"/>
        <v>347.86</v>
      </c>
      <c r="AN1551" s="4">
        <f t="shared" si="152"/>
        <v>0.321497227356747</v>
      </c>
      <c r="AO1551" t="s">
        <v>221</v>
      </c>
      <c r="AQ1551" t="s">
        <v>217</v>
      </c>
      <c r="AT1551" t="s">
        <v>1662</v>
      </c>
    </row>
    <row r="1552" ht="15.75" customHeight="1" spans="1:46">
      <c r="A1552" t="s">
        <v>2396</v>
      </c>
      <c r="B1552" t="s">
        <v>137</v>
      </c>
      <c r="C1552" t="s">
        <v>2351</v>
      </c>
      <c r="D1552" t="s">
        <v>2352</v>
      </c>
      <c r="E1552" t="s">
        <v>2353</v>
      </c>
      <c r="F1552" t="s">
        <v>2397</v>
      </c>
      <c r="H1552" t="s">
        <v>2355</v>
      </c>
      <c r="I1552" t="s">
        <v>2365</v>
      </c>
      <c r="J1552" t="s">
        <v>1340</v>
      </c>
      <c r="K1552" t="s">
        <v>2371</v>
      </c>
      <c r="Q1552" t="s">
        <v>57</v>
      </c>
      <c r="R1552" t="s">
        <v>2408</v>
      </c>
      <c r="Y1552" t="s">
        <v>2399</v>
      </c>
      <c r="Z1552">
        <v>3917</v>
      </c>
      <c r="AE1552">
        <v>1780</v>
      </c>
      <c r="AF1552" s="4">
        <v>0.5</v>
      </c>
      <c r="AG1552">
        <f t="shared" si="153"/>
        <v>890</v>
      </c>
      <c r="AH1552" s="4">
        <v>0.18</v>
      </c>
      <c r="AI1552">
        <f t="shared" si="148"/>
        <v>1050.2</v>
      </c>
      <c r="AJ1552" s="4">
        <v>0.15</v>
      </c>
      <c r="AK1552">
        <f t="shared" si="149"/>
        <v>157.53</v>
      </c>
      <c r="AL1552">
        <f t="shared" si="150"/>
        <v>1207.73</v>
      </c>
      <c r="AM1552">
        <f t="shared" si="151"/>
        <v>572.27</v>
      </c>
      <c r="AN1552" s="4">
        <f t="shared" si="152"/>
        <v>0.3215</v>
      </c>
      <c r="AO1552" t="s">
        <v>221</v>
      </c>
      <c r="AQ1552" t="s">
        <v>217</v>
      </c>
      <c r="AT1552" t="s">
        <v>1662</v>
      </c>
    </row>
    <row r="1553" ht="15.75" customHeight="1" spans="1:46">
      <c r="A1553" t="s">
        <v>2396</v>
      </c>
      <c r="B1553" t="s">
        <v>138</v>
      </c>
      <c r="C1553" t="s">
        <v>2351</v>
      </c>
      <c r="D1553" t="s">
        <v>2352</v>
      </c>
      <c r="E1553" t="s">
        <v>2353</v>
      </c>
      <c r="F1553" t="s">
        <v>2397</v>
      </c>
      <c r="H1553" t="s">
        <v>2355</v>
      </c>
      <c r="I1553" t="s">
        <v>2367</v>
      </c>
      <c r="J1553" t="s">
        <v>1340</v>
      </c>
      <c r="K1553" t="s">
        <v>2371</v>
      </c>
      <c r="Q1553" t="s">
        <v>57</v>
      </c>
      <c r="R1553" t="s">
        <v>2409</v>
      </c>
      <c r="Y1553" t="s">
        <v>2399</v>
      </c>
      <c r="Z1553">
        <v>3917</v>
      </c>
      <c r="AE1553">
        <v>2463</v>
      </c>
      <c r="AF1553" s="4">
        <v>0.5</v>
      </c>
      <c r="AG1553">
        <f t="shared" si="153"/>
        <v>1231.5</v>
      </c>
      <c r="AH1553" s="4">
        <v>0.18</v>
      </c>
      <c r="AI1553">
        <f t="shared" si="148"/>
        <v>1453.17</v>
      </c>
      <c r="AJ1553" s="4">
        <v>0.15</v>
      </c>
      <c r="AK1553">
        <f t="shared" si="149"/>
        <v>217.98</v>
      </c>
      <c r="AL1553">
        <f t="shared" si="150"/>
        <v>1671.15</v>
      </c>
      <c r="AM1553">
        <f t="shared" si="151"/>
        <v>791.85</v>
      </c>
      <c r="AN1553" s="4">
        <f t="shared" si="152"/>
        <v>0.321498172959805</v>
      </c>
      <c r="AO1553" t="s">
        <v>221</v>
      </c>
      <c r="AQ1553" t="s">
        <v>217</v>
      </c>
      <c r="AT1553" t="s">
        <v>1662</v>
      </c>
    </row>
    <row r="1554" ht="15.75" customHeight="1" spans="1:46">
      <c r="A1554" t="s">
        <v>2396</v>
      </c>
      <c r="B1554" t="s">
        <v>140</v>
      </c>
      <c r="C1554" t="s">
        <v>2351</v>
      </c>
      <c r="D1554" t="s">
        <v>2352</v>
      </c>
      <c r="E1554" t="s">
        <v>2353</v>
      </c>
      <c r="F1554" t="s">
        <v>2397</v>
      </c>
      <c r="H1554" t="s">
        <v>2355</v>
      </c>
      <c r="I1554" t="s">
        <v>2369</v>
      </c>
      <c r="J1554" t="s">
        <v>1340</v>
      </c>
      <c r="K1554" t="s">
        <v>2371</v>
      </c>
      <c r="Q1554" t="s">
        <v>57</v>
      </c>
      <c r="R1554" t="s">
        <v>2410</v>
      </c>
      <c r="Y1554" t="s">
        <v>2399</v>
      </c>
      <c r="Z1554">
        <v>3917</v>
      </c>
      <c r="AE1554">
        <v>4179</v>
      </c>
      <c r="AF1554" s="4">
        <v>0.5</v>
      </c>
      <c r="AG1554">
        <f t="shared" si="153"/>
        <v>2089.5</v>
      </c>
      <c r="AH1554" s="4">
        <v>0.18</v>
      </c>
      <c r="AI1554">
        <f t="shared" si="148"/>
        <v>2465.61</v>
      </c>
      <c r="AJ1554" s="4">
        <v>0.15</v>
      </c>
      <c r="AK1554">
        <f t="shared" si="149"/>
        <v>369.84</v>
      </c>
      <c r="AL1554">
        <f t="shared" si="150"/>
        <v>2835.45</v>
      </c>
      <c r="AM1554">
        <f t="shared" si="151"/>
        <v>1343.55</v>
      </c>
      <c r="AN1554" s="4">
        <f t="shared" si="152"/>
        <v>0.321500358937545</v>
      </c>
      <c r="AO1554" t="s">
        <v>221</v>
      </c>
      <c r="AQ1554" t="s">
        <v>217</v>
      </c>
      <c r="AT1554" t="s">
        <v>1662</v>
      </c>
    </row>
    <row r="1555" ht="15.75" customHeight="1" spans="1:46">
      <c r="A1555" t="s">
        <v>2411</v>
      </c>
      <c r="B1555" t="s">
        <v>46</v>
      </c>
      <c r="C1555" t="s">
        <v>2351</v>
      </c>
      <c r="D1555" t="s">
        <v>2352</v>
      </c>
      <c r="E1555" t="s">
        <v>2353</v>
      </c>
      <c r="F1555" t="s">
        <v>2412</v>
      </c>
      <c r="H1555" t="s">
        <v>2355</v>
      </c>
      <c r="I1555" t="s">
        <v>2380</v>
      </c>
      <c r="J1555" t="s">
        <v>1340</v>
      </c>
      <c r="K1555" t="s">
        <v>2357</v>
      </c>
      <c r="Q1555" t="s">
        <v>57</v>
      </c>
      <c r="R1555" t="s">
        <v>2413</v>
      </c>
      <c r="Y1555" t="s">
        <v>2414</v>
      </c>
      <c r="Z1555">
        <v>3917</v>
      </c>
      <c r="AE1555">
        <v>5119</v>
      </c>
      <c r="AF1555" s="4">
        <v>0.5</v>
      </c>
      <c r="AG1555">
        <f t="shared" si="153"/>
        <v>2559.5</v>
      </c>
      <c r="AH1555" s="4">
        <v>0.18</v>
      </c>
      <c r="AI1555">
        <f t="shared" si="148"/>
        <v>3020.21</v>
      </c>
      <c r="AJ1555" s="4">
        <v>0.15</v>
      </c>
      <c r="AK1555">
        <f t="shared" si="149"/>
        <v>453.03</v>
      </c>
      <c r="AL1555">
        <f t="shared" si="150"/>
        <v>3473.24</v>
      </c>
      <c r="AM1555">
        <f t="shared" si="151"/>
        <v>1645.76</v>
      </c>
      <c r="AN1555" s="4">
        <f t="shared" si="152"/>
        <v>0.321500293025982</v>
      </c>
      <c r="AO1555" t="s">
        <v>221</v>
      </c>
      <c r="AQ1555" t="s">
        <v>217</v>
      </c>
      <c r="AT1555" t="s">
        <v>1662</v>
      </c>
    </row>
    <row r="1556" ht="15.75" customHeight="1" spans="1:46">
      <c r="A1556" t="s">
        <v>2411</v>
      </c>
      <c r="B1556" t="s">
        <v>67</v>
      </c>
      <c r="C1556" t="s">
        <v>2351</v>
      </c>
      <c r="D1556" t="s">
        <v>2352</v>
      </c>
      <c r="E1556" t="s">
        <v>2353</v>
      </c>
      <c r="F1556" t="s">
        <v>2412</v>
      </c>
      <c r="H1556" t="s">
        <v>2355</v>
      </c>
      <c r="I1556" t="s">
        <v>2383</v>
      </c>
      <c r="J1556" t="s">
        <v>1340</v>
      </c>
      <c r="K1556" t="s">
        <v>2357</v>
      </c>
      <c r="Q1556" t="s">
        <v>57</v>
      </c>
      <c r="R1556" t="s">
        <v>2415</v>
      </c>
      <c r="Y1556" t="s">
        <v>2414</v>
      </c>
      <c r="Z1556">
        <v>3917</v>
      </c>
      <c r="AE1556">
        <v>6924</v>
      </c>
      <c r="AF1556" s="4">
        <v>0.5</v>
      </c>
      <c r="AG1556">
        <f t="shared" si="153"/>
        <v>3462</v>
      </c>
      <c r="AH1556" s="4">
        <v>0.18</v>
      </c>
      <c r="AI1556">
        <f t="shared" si="148"/>
        <v>4085.16</v>
      </c>
      <c r="AJ1556" s="4">
        <v>0.15</v>
      </c>
      <c r="AK1556">
        <f t="shared" si="149"/>
        <v>612.77</v>
      </c>
      <c r="AL1556">
        <f t="shared" si="150"/>
        <v>4697.93</v>
      </c>
      <c r="AM1556">
        <f t="shared" si="151"/>
        <v>2226.07</v>
      </c>
      <c r="AN1556" s="4">
        <f t="shared" si="152"/>
        <v>0.321500577700751</v>
      </c>
      <c r="AO1556" t="s">
        <v>221</v>
      </c>
      <c r="AQ1556" t="s">
        <v>217</v>
      </c>
      <c r="AT1556" t="s">
        <v>1662</v>
      </c>
    </row>
    <row r="1557" ht="15.75" customHeight="1" spans="1:46">
      <c r="A1557" t="s">
        <v>2411</v>
      </c>
      <c r="B1557" t="s">
        <v>71</v>
      </c>
      <c r="C1557" t="s">
        <v>2351</v>
      </c>
      <c r="D1557" t="s">
        <v>2352</v>
      </c>
      <c r="E1557" t="s">
        <v>2353</v>
      </c>
      <c r="F1557" t="s">
        <v>2412</v>
      </c>
      <c r="H1557" t="s">
        <v>2355</v>
      </c>
      <c r="I1557" t="s">
        <v>2385</v>
      </c>
      <c r="J1557" t="s">
        <v>1340</v>
      </c>
      <c r="K1557" t="s">
        <v>2357</v>
      </c>
      <c r="Q1557" t="s">
        <v>57</v>
      </c>
      <c r="R1557" t="s">
        <v>2416</v>
      </c>
      <c r="Y1557" t="s">
        <v>2414</v>
      </c>
      <c r="Z1557">
        <v>3917</v>
      </c>
      <c r="AE1557">
        <v>10046</v>
      </c>
      <c r="AF1557" s="4">
        <v>0.5</v>
      </c>
      <c r="AG1557">
        <f t="shared" si="153"/>
        <v>5023</v>
      </c>
      <c r="AH1557" s="4">
        <v>0.18</v>
      </c>
      <c r="AI1557">
        <f t="shared" si="148"/>
        <v>5927.14</v>
      </c>
      <c r="AJ1557" s="4">
        <v>0.15</v>
      </c>
      <c r="AK1557">
        <f t="shared" si="149"/>
        <v>889.07</v>
      </c>
      <c r="AL1557">
        <f t="shared" si="150"/>
        <v>6816.21</v>
      </c>
      <c r="AM1557">
        <f t="shared" si="151"/>
        <v>3229.79</v>
      </c>
      <c r="AN1557" s="4">
        <f t="shared" si="152"/>
        <v>0.321500099542106</v>
      </c>
      <c r="AO1557" t="s">
        <v>221</v>
      </c>
      <c r="AQ1557" t="s">
        <v>217</v>
      </c>
      <c r="AT1557" t="s">
        <v>1662</v>
      </c>
    </row>
    <row r="1558" ht="15.75" customHeight="1" spans="1:46">
      <c r="A1558" t="s">
        <v>2411</v>
      </c>
      <c r="B1558" t="s">
        <v>75</v>
      </c>
      <c r="C1558" t="s">
        <v>2351</v>
      </c>
      <c r="D1558" t="s">
        <v>2352</v>
      </c>
      <c r="E1558" t="s">
        <v>2353</v>
      </c>
      <c r="F1558" t="s">
        <v>2412</v>
      </c>
      <c r="H1558" t="s">
        <v>2355</v>
      </c>
      <c r="I1558" t="s">
        <v>2387</v>
      </c>
      <c r="J1558" t="s">
        <v>1340</v>
      </c>
      <c r="K1558" t="s">
        <v>2357</v>
      </c>
      <c r="Q1558" t="s">
        <v>57</v>
      </c>
      <c r="R1558" t="s">
        <v>2417</v>
      </c>
      <c r="Y1558" t="s">
        <v>2414</v>
      </c>
      <c r="Z1558">
        <v>3917</v>
      </c>
      <c r="AE1558">
        <v>18995</v>
      </c>
      <c r="AF1558" s="4">
        <v>0.5</v>
      </c>
      <c r="AG1558">
        <f t="shared" si="153"/>
        <v>9497.5</v>
      </c>
      <c r="AH1558" s="4">
        <v>0.18</v>
      </c>
      <c r="AI1558">
        <f t="shared" si="148"/>
        <v>11207.05</v>
      </c>
      <c r="AJ1558" s="4">
        <v>0.15</v>
      </c>
      <c r="AK1558">
        <f t="shared" si="149"/>
        <v>1681.06</v>
      </c>
      <c r="AL1558">
        <f t="shared" si="150"/>
        <v>12888.11</v>
      </c>
      <c r="AM1558">
        <f t="shared" si="151"/>
        <v>6106.89</v>
      </c>
      <c r="AN1558" s="4">
        <f t="shared" si="152"/>
        <v>0.321499868386418</v>
      </c>
      <c r="AO1558" t="s">
        <v>221</v>
      </c>
      <c r="AQ1558" t="s">
        <v>217</v>
      </c>
      <c r="AT1558" t="s">
        <v>1662</v>
      </c>
    </row>
    <row r="1559" ht="15.75" customHeight="1" spans="1:46">
      <c r="A1559" t="s">
        <v>2411</v>
      </c>
      <c r="B1559" t="s">
        <v>79</v>
      </c>
      <c r="C1559" t="s">
        <v>2351</v>
      </c>
      <c r="D1559" t="s">
        <v>2352</v>
      </c>
      <c r="E1559" t="s">
        <v>2353</v>
      </c>
      <c r="F1559" t="s">
        <v>2412</v>
      </c>
      <c r="H1559" t="s">
        <v>2355</v>
      </c>
      <c r="I1559" t="s">
        <v>2380</v>
      </c>
      <c r="J1559" t="s">
        <v>1340</v>
      </c>
      <c r="K1559" t="s">
        <v>2371</v>
      </c>
      <c r="Q1559" t="s">
        <v>57</v>
      </c>
      <c r="R1559" t="s">
        <v>2418</v>
      </c>
      <c r="Y1559" t="s">
        <v>2414</v>
      </c>
      <c r="Z1559">
        <v>3917</v>
      </c>
      <c r="AE1559">
        <v>8532</v>
      </c>
      <c r="AF1559" s="4">
        <v>0.5</v>
      </c>
      <c r="AG1559">
        <f t="shared" si="153"/>
        <v>4266</v>
      </c>
      <c r="AH1559" s="4">
        <v>0.18</v>
      </c>
      <c r="AI1559">
        <f t="shared" si="148"/>
        <v>5033.88</v>
      </c>
      <c r="AJ1559" s="4">
        <v>0.15</v>
      </c>
      <c r="AK1559">
        <f t="shared" si="149"/>
        <v>755.08</v>
      </c>
      <c r="AL1559">
        <f t="shared" si="150"/>
        <v>5788.96</v>
      </c>
      <c r="AM1559">
        <f t="shared" si="151"/>
        <v>2743.04</v>
      </c>
      <c r="AN1559" s="4">
        <f t="shared" si="152"/>
        <v>0.321500234411627</v>
      </c>
      <c r="AO1559" t="s">
        <v>221</v>
      </c>
      <c r="AQ1559" t="s">
        <v>217</v>
      </c>
      <c r="AT1559" t="s">
        <v>1662</v>
      </c>
    </row>
    <row r="1560" ht="15.75" customHeight="1" spans="1:46">
      <c r="A1560" t="s">
        <v>2411</v>
      </c>
      <c r="B1560" t="s">
        <v>83</v>
      </c>
      <c r="C1560" t="s">
        <v>2351</v>
      </c>
      <c r="D1560" t="s">
        <v>2352</v>
      </c>
      <c r="E1560" t="s">
        <v>2353</v>
      </c>
      <c r="F1560" t="s">
        <v>2412</v>
      </c>
      <c r="H1560" t="s">
        <v>2355</v>
      </c>
      <c r="I1560" t="s">
        <v>2383</v>
      </c>
      <c r="J1560" t="s">
        <v>1340</v>
      </c>
      <c r="K1560" t="s">
        <v>2371</v>
      </c>
      <c r="Q1560" t="s">
        <v>57</v>
      </c>
      <c r="R1560" t="s">
        <v>2419</v>
      </c>
      <c r="Y1560" t="s">
        <v>2414</v>
      </c>
      <c r="Z1560">
        <v>3917</v>
      </c>
      <c r="AE1560">
        <v>11540</v>
      </c>
      <c r="AF1560" s="4">
        <v>0.5</v>
      </c>
      <c r="AG1560">
        <f t="shared" si="153"/>
        <v>5770</v>
      </c>
      <c r="AH1560" s="4">
        <v>0.18</v>
      </c>
      <c r="AI1560">
        <f t="shared" si="148"/>
        <v>6808.6</v>
      </c>
      <c r="AJ1560" s="4">
        <v>0.15</v>
      </c>
      <c r="AK1560">
        <f t="shared" si="149"/>
        <v>1021.29</v>
      </c>
      <c r="AL1560">
        <f t="shared" si="150"/>
        <v>7829.89</v>
      </c>
      <c r="AM1560">
        <f t="shared" si="151"/>
        <v>3710.11</v>
      </c>
      <c r="AN1560" s="4">
        <f t="shared" si="152"/>
        <v>0.3215</v>
      </c>
      <c r="AO1560" t="s">
        <v>221</v>
      </c>
      <c r="AQ1560" t="s">
        <v>217</v>
      </c>
      <c r="AT1560" t="s">
        <v>1662</v>
      </c>
    </row>
    <row r="1561" ht="15.75" customHeight="1" spans="1:46">
      <c r="A1561" t="s">
        <v>2411</v>
      </c>
      <c r="B1561" t="s">
        <v>131</v>
      </c>
      <c r="C1561" t="s">
        <v>2351</v>
      </c>
      <c r="D1561" t="s">
        <v>2352</v>
      </c>
      <c r="E1561" t="s">
        <v>2353</v>
      </c>
      <c r="F1561" t="s">
        <v>2412</v>
      </c>
      <c r="H1561" t="s">
        <v>2355</v>
      </c>
      <c r="I1561" t="s">
        <v>2385</v>
      </c>
      <c r="J1561" t="s">
        <v>1340</v>
      </c>
      <c r="K1561" t="s">
        <v>2371</v>
      </c>
      <c r="Q1561" t="s">
        <v>57</v>
      </c>
      <c r="R1561" t="s">
        <v>2420</v>
      </c>
      <c r="Y1561" t="s">
        <v>2414</v>
      </c>
      <c r="Z1561">
        <v>3917</v>
      </c>
      <c r="AE1561">
        <v>16743</v>
      </c>
      <c r="AF1561" s="4">
        <v>0.5</v>
      </c>
      <c r="AG1561">
        <f t="shared" si="153"/>
        <v>8371.5</v>
      </c>
      <c r="AH1561" s="4">
        <v>0.18</v>
      </c>
      <c r="AI1561">
        <f t="shared" si="148"/>
        <v>9878.37</v>
      </c>
      <c r="AJ1561" s="4">
        <v>0.15</v>
      </c>
      <c r="AK1561">
        <f t="shared" si="149"/>
        <v>1481.76</v>
      </c>
      <c r="AL1561">
        <f t="shared" si="150"/>
        <v>11360.13</v>
      </c>
      <c r="AM1561">
        <f t="shared" si="151"/>
        <v>5382.87</v>
      </c>
      <c r="AN1561" s="4">
        <f t="shared" si="152"/>
        <v>0.321499731230962</v>
      </c>
      <c r="AO1561" t="s">
        <v>221</v>
      </c>
      <c r="AQ1561" t="s">
        <v>217</v>
      </c>
      <c r="AT1561" t="s">
        <v>1662</v>
      </c>
    </row>
    <row r="1562" ht="15.75" customHeight="1" spans="1:46">
      <c r="A1562" t="s">
        <v>2411</v>
      </c>
      <c r="B1562" t="s">
        <v>133</v>
      </c>
      <c r="C1562" t="s">
        <v>2351</v>
      </c>
      <c r="D1562" t="s">
        <v>2352</v>
      </c>
      <c r="E1562" t="s">
        <v>2353</v>
      </c>
      <c r="F1562" t="s">
        <v>2412</v>
      </c>
      <c r="H1562" t="s">
        <v>2355</v>
      </c>
      <c r="I1562" t="s">
        <v>2387</v>
      </c>
      <c r="J1562" t="s">
        <v>1340</v>
      </c>
      <c r="K1562" t="s">
        <v>2371</v>
      </c>
      <c r="Q1562" t="s">
        <v>57</v>
      </c>
      <c r="R1562" t="s">
        <v>2421</v>
      </c>
      <c r="Y1562" t="s">
        <v>2414</v>
      </c>
      <c r="Z1562">
        <v>3917</v>
      </c>
      <c r="AE1562">
        <v>31658</v>
      </c>
      <c r="AF1562" s="4">
        <v>0.5</v>
      </c>
      <c r="AG1562">
        <f t="shared" si="153"/>
        <v>15829</v>
      </c>
      <c r="AH1562" s="4">
        <v>0.18</v>
      </c>
      <c r="AI1562">
        <f t="shared" si="148"/>
        <v>18678.22</v>
      </c>
      <c r="AJ1562" s="4">
        <v>0.15</v>
      </c>
      <c r="AK1562">
        <f t="shared" si="149"/>
        <v>2801.73</v>
      </c>
      <c r="AL1562">
        <f t="shared" si="150"/>
        <v>21479.95</v>
      </c>
      <c r="AM1562">
        <f t="shared" si="151"/>
        <v>10178.05</v>
      </c>
      <c r="AN1562" s="4">
        <f t="shared" si="152"/>
        <v>0.321500094762777</v>
      </c>
      <c r="AO1562" t="s">
        <v>221</v>
      </c>
      <c r="AQ1562" t="s">
        <v>217</v>
      </c>
      <c r="AT1562" t="s">
        <v>1662</v>
      </c>
    </row>
    <row r="1563" ht="15.75" customHeight="1" spans="1:46">
      <c r="A1563" t="s">
        <v>2422</v>
      </c>
      <c r="B1563" t="s">
        <v>46</v>
      </c>
      <c r="C1563" t="s">
        <v>2351</v>
      </c>
      <c r="D1563" t="s">
        <v>2352</v>
      </c>
      <c r="E1563" t="s">
        <v>2423</v>
      </c>
      <c r="F1563" t="s">
        <v>2424</v>
      </c>
      <c r="H1563" t="s">
        <v>2355</v>
      </c>
      <c r="I1563" t="s">
        <v>2356</v>
      </c>
      <c r="J1563" t="s">
        <v>1340</v>
      </c>
      <c r="K1563" t="s">
        <v>2357</v>
      </c>
      <c r="Q1563" t="s">
        <v>57</v>
      </c>
      <c r="R1563" t="s">
        <v>2425</v>
      </c>
      <c r="Y1563" t="s">
        <v>2426</v>
      </c>
      <c r="Z1563">
        <v>3917</v>
      </c>
      <c r="AE1563">
        <v>273</v>
      </c>
      <c r="AF1563" s="4">
        <v>0.37</v>
      </c>
      <c r="AG1563">
        <f t="shared" si="153"/>
        <v>171.99</v>
      </c>
      <c r="AH1563" s="4">
        <v>0.18</v>
      </c>
      <c r="AI1563">
        <f t="shared" si="148"/>
        <v>202.95</v>
      </c>
      <c r="AJ1563" s="4">
        <v>0.15</v>
      </c>
      <c r="AK1563">
        <f t="shared" si="149"/>
        <v>30.44</v>
      </c>
      <c r="AL1563">
        <f t="shared" si="150"/>
        <v>233.39</v>
      </c>
      <c r="AM1563">
        <f t="shared" si="151"/>
        <v>39.61</v>
      </c>
      <c r="AN1563" s="4">
        <f t="shared" si="152"/>
        <v>0.145091575091575</v>
      </c>
      <c r="AO1563" t="s">
        <v>221</v>
      </c>
      <c r="AQ1563" t="s">
        <v>217</v>
      </c>
      <c r="AT1563" t="s">
        <v>558</v>
      </c>
    </row>
    <row r="1564" ht="15.75" customHeight="1" spans="1:46">
      <c r="A1564" t="s">
        <v>2422</v>
      </c>
      <c r="B1564" t="s">
        <v>67</v>
      </c>
      <c r="C1564" t="s">
        <v>2351</v>
      </c>
      <c r="D1564" t="s">
        <v>2352</v>
      </c>
      <c r="E1564" t="s">
        <v>2423</v>
      </c>
      <c r="F1564" t="s">
        <v>2424</v>
      </c>
      <c r="H1564" t="s">
        <v>2355</v>
      </c>
      <c r="I1564" t="s">
        <v>2360</v>
      </c>
      <c r="J1564" t="s">
        <v>1340</v>
      </c>
      <c r="K1564" t="s">
        <v>2357</v>
      </c>
      <c r="Q1564" t="s">
        <v>57</v>
      </c>
      <c r="R1564" t="s">
        <v>2427</v>
      </c>
      <c r="Y1564" t="s">
        <v>2426</v>
      </c>
      <c r="Z1564">
        <v>3917</v>
      </c>
      <c r="AE1564">
        <v>363</v>
      </c>
      <c r="AF1564" s="4">
        <v>0.37</v>
      </c>
      <c r="AG1564">
        <f t="shared" si="153"/>
        <v>228.69</v>
      </c>
      <c r="AH1564" s="4">
        <v>0.18</v>
      </c>
      <c r="AI1564">
        <f t="shared" si="148"/>
        <v>269.85</v>
      </c>
      <c r="AJ1564" s="4">
        <v>0.15</v>
      </c>
      <c r="AK1564">
        <f t="shared" si="149"/>
        <v>40.48</v>
      </c>
      <c r="AL1564">
        <f t="shared" si="150"/>
        <v>310.33</v>
      </c>
      <c r="AM1564">
        <f t="shared" si="151"/>
        <v>52.67</v>
      </c>
      <c r="AN1564" s="4">
        <f t="shared" si="152"/>
        <v>0.145096418732782</v>
      </c>
      <c r="AO1564" t="s">
        <v>221</v>
      </c>
      <c r="AQ1564" t="s">
        <v>217</v>
      </c>
      <c r="AT1564" t="s">
        <v>558</v>
      </c>
    </row>
    <row r="1565" ht="15.75" customHeight="1" spans="1:46">
      <c r="A1565" t="s">
        <v>2422</v>
      </c>
      <c r="B1565" t="s">
        <v>71</v>
      </c>
      <c r="C1565" t="s">
        <v>2351</v>
      </c>
      <c r="D1565" t="s">
        <v>2352</v>
      </c>
      <c r="E1565" t="s">
        <v>2423</v>
      </c>
      <c r="F1565" t="s">
        <v>2424</v>
      </c>
      <c r="H1565" t="s">
        <v>2355</v>
      </c>
      <c r="I1565" t="s">
        <v>2363</v>
      </c>
      <c r="J1565" t="s">
        <v>1340</v>
      </c>
      <c r="K1565" t="s">
        <v>2357</v>
      </c>
      <c r="Q1565" t="s">
        <v>57</v>
      </c>
      <c r="R1565" t="s">
        <v>2428</v>
      </c>
      <c r="Y1565" t="s">
        <v>2426</v>
      </c>
      <c r="Z1565">
        <v>3917</v>
      </c>
      <c r="AE1565">
        <v>564</v>
      </c>
      <c r="AF1565" s="4">
        <v>0.37</v>
      </c>
      <c r="AG1565">
        <f t="shared" si="153"/>
        <v>355.32</v>
      </c>
      <c r="AH1565" s="4">
        <v>0.18</v>
      </c>
      <c r="AI1565">
        <f t="shared" si="148"/>
        <v>419.28</v>
      </c>
      <c r="AJ1565" s="4">
        <v>0.15</v>
      </c>
      <c r="AK1565">
        <f t="shared" si="149"/>
        <v>62.89</v>
      </c>
      <c r="AL1565">
        <f t="shared" si="150"/>
        <v>482.17</v>
      </c>
      <c r="AM1565">
        <f t="shared" si="151"/>
        <v>81.83</v>
      </c>
      <c r="AN1565" s="4">
        <f t="shared" si="152"/>
        <v>0.14508865248227</v>
      </c>
      <c r="AO1565" t="s">
        <v>221</v>
      </c>
      <c r="AQ1565" t="s">
        <v>217</v>
      </c>
      <c r="AT1565" t="s">
        <v>558</v>
      </c>
    </row>
    <row r="1566" ht="15.75" customHeight="1" spans="1:46">
      <c r="A1566" t="s">
        <v>2422</v>
      </c>
      <c r="B1566" t="s">
        <v>75</v>
      </c>
      <c r="C1566" t="s">
        <v>2351</v>
      </c>
      <c r="D1566" t="s">
        <v>2352</v>
      </c>
      <c r="E1566" t="s">
        <v>2423</v>
      </c>
      <c r="F1566" t="s">
        <v>2424</v>
      </c>
      <c r="H1566" t="s">
        <v>2355</v>
      </c>
      <c r="I1566" t="s">
        <v>2365</v>
      </c>
      <c r="J1566" t="s">
        <v>1340</v>
      </c>
      <c r="K1566" t="s">
        <v>2357</v>
      </c>
      <c r="Q1566" t="s">
        <v>57</v>
      </c>
      <c r="R1566" t="s">
        <v>2429</v>
      </c>
      <c r="Y1566" t="s">
        <v>2426</v>
      </c>
      <c r="Z1566">
        <v>3917</v>
      </c>
      <c r="AE1566">
        <v>963</v>
      </c>
      <c r="AF1566" s="4">
        <v>0.37</v>
      </c>
      <c r="AG1566">
        <f t="shared" si="153"/>
        <v>606.69</v>
      </c>
      <c r="AH1566" s="4">
        <v>0.18</v>
      </c>
      <c r="AI1566">
        <f t="shared" si="148"/>
        <v>715.89</v>
      </c>
      <c r="AJ1566" s="4">
        <v>0.15</v>
      </c>
      <c r="AK1566">
        <f t="shared" si="149"/>
        <v>107.38</v>
      </c>
      <c r="AL1566">
        <f t="shared" si="150"/>
        <v>823.27</v>
      </c>
      <c r="AM1566">
        <f t="shared" si="151"/>
        <v>139.73</v>
      </c>
      <c r="AN1566" s="4">
        <f t="shared" si="152"/>
        <v>0.145098650051921</v>
      </c>
      <c r="AO1566" t="s">
        <v>221</v>
      </c>
      <c r="AQ1566" t="s">
        <v>217</v>
      </c>
      <c r="AT1566" t="s">
        <v>558</v>
      </c>
    </row>
    <row r="1567" ht="15.75" customHeight="1" spans="1:46">
      <c r="A1567" t="s">
        <v>2422</v>
      </c>
      <c r="B1567" t="s">
        <v>79</v>
      </c>
      <c r="C1567" t="s">
        <v>2351</v>
      </c>
      <c r="D1567" t="s">
        <v>2352</v>
      </c>
      <c r="E1567" t="s">
        <v>2423</v>
      </c>
      <c r="F1567" t="s">
        <v>2424</v>
      </c>
      <c r="H1567" t="s">
        <v>2355</v>
      </c>
      <c r="I1567" t="s">
        <v>2367</v>
      </c>
      <c r="J1567" t="s">
        <v>1340</v>
      </c>
      <c r="K1567" t="s">
        <v>2357</v>
      </c>
      <c r="Q1567" t="s">
        <v>57</v>
      </c>
      <c r="R1567" t="s">
        <v>2430</v>
      </c>
      <c r="Y1567" t="s">
        <v>2426</v>
      </c>
      <c r="Z1567">
        <v>3917</v>
      </c>
      <c r="AE1567">
        <v>1320</v>
      </c>
      <c r="AF1567" s="4">
        <v>0.37</v>
      </c>
      <c r="AG1567">
        <f t="shared" si="153"/>
        <v>831.6</v>
      </c>
      <c r="AH1567" s="4">
        <v>0.18</v>
      </c>
      <c r="AI1567">
        <f t="shared" si="148"/>
        <v>981.29</v>
      </c>
      <c r="AJ1567" s="4">
        <v>0.15</v>
      </c>
      <c r="AK1567">
        <f t="shared" si="149"/>
        <v>147.19</v>
      </c>
      <c r="AL1567">
        <f t="shared" si="150"/>
        <v>1128.48</v>
      </c>
      <c r="AM1567">
        <f t="shared" si="151"/>
        <v>191.52</v>
      </c>
      <c r="AN1567" s="4">
        <f t="shared" si="152"/>
        <v>0.145090909090909</v>
      </c>
      <c r="AO1567" t="s">
        <v>221</v>
      </c>
      <c r="AQ1567" t="s">
        <v>217</v>
      </c>
      <c r="AT1567" t="s">
        <v>558</v>
      </c>
    </row>
    <row r="1568" ht="15.75" customHeight="1" spans="1:46">
      <c r="A1568" t="s">
        <v>2422</v>
      </c>
      <c r="B1568" t="s">
        <v>83</v>
      </c>
      <c r="C1568" t="s">
        <v>2351</v>
      </c>
      <c r="D1568" t="s">
        <v>2352</v>
      </c>
      <c r="E1568" t="s">
        <v>2423</v>
      </c>
      <c r="F1568" t="s">
        <v>2424</v>
      </c>
      <c r="H1568" t="s">
        <v>2355</v>
      </c>
      <c r="I1568" t="s">
        <v>2369</v>
      </c>
      <c r="J1568" t="s">
        <v>1340</v>
      </c>
      <c r="K1568" t="s">
        <v>2357</v>
      </c>
      <c r="Q1568" t="s">
        <v>57</v>
      </c>
      <c r="R1568" t="s">
        <v>2431</v>
      </c>
      <c r="Y1568" t="s">
        <v>2426</v>
      </c>
      <c r="Z1568">
        <v>3917</v>
      </c>
      <c r="AE1568">
        <v>2289</v>
      </c>
      <c r="AF1568" s="4">
        <v>0.37</v>
      </c>
      <c r="AG1568">
        <f t="shared" si="153"/>
        <v>1442.07</v>
      </c>
      <c r="AH1568" s="4">
        <v>0.18</v>
      </c>
      <c r="AI1568">
        <f t="shared" si="148"/>
        <v>1701.64</v>
      </c>
      <c r="AJ1568" s="4">
        <v>0.15</v>
      </c>
      <c r="AK1568">
        <f t="shared" si="149"/>
        <v>255.25</v>
      </c>
      <c r="AL1568">
        <f t="shared" si="150"/>
        <v>1956.89</v>
      </c>
      <c r="AM1568">
        <f t="shared" si="151"/>
        <v>332.11</v>
      </c>
      <c r="AN1568" s="4">
        <f t="shared" si="152"/>
        <v>0.145089558759283</v>
      </c>
      <c r="AO1568" t="s">
        <v>221</v>
      </c>
      <c r="AQ1568" t="s">
        <v>217</v>
      </c>
      <c r="AT1568" t="s">
        <v>558</v>
      </c>
    </row>
    <row r="1569" ht="15.75" customHeight="1" spans="1:46">
      <c r="A1569" t="s">
        <v>2422</v>
      </c>
      <c r="B1569" t="s">
        <v>131</v>
      </c>
      <c r="C1569" t="s">
        <v>2351</v>
      </c>
      <c r="D1569" t="s">
        <v>2352</v>
      </c>
      <c r="E1569" t="s">
        <v>2423</v>
      </c>
      <c r="F1569" t="s">
        <v>2424</v>
      </c>
      <c r="H1569" t="s">
        <v>2355</v>
      </c>
      <c r="I1569" t="s">
        <v>2356</v>
      </c>
      <c r="J1569" t="s">
        <v>1340</v>
      </c>
      <c r="K1569" t="s">
        <v>2371</v>
      </c>
      <c r="Q1569" t="s">
        <v>57</v>
      </c>
      <c r="R1569" t="s">
        <v>2432</v>
      </c>
      <c r="Y1569" t="s">
        <v>2426</v>
      </c>
      <c r="Z1569">
        <v>3917</v>
      </c>
      <c r="AE1569">
        <v>455</v>
      </c>
      <c r="AF1569" s="4">
        <v>0.37</v>
      </c>
      <c r="AG1569">
        <f t="shared" si="153"/>
        <v>286.65</v>
      </c>
      <c r="AH1569" s="4">
        <v>0.18</v>
      </c>
      <c r="AI1569">
        <f t="shared" si="148"/>
        <v>338.25</v>
      </c>
      <c r="AJ1569" s="4">
        <v>0.15</v>
      </c>
      <c r="AK1569">
        <f t="shared" si="149"/>
        <v>50.74</v>
      </c>
      <c r="AL1569">
        <f t="shared" si="150"/>
        <v>388.99</v>
      </c>
      <c r="AM1569">
        <f t="shared" si="151"/>
        <v>66.01</v>
      </c>
      <c r="AN1569" s="4">
        <f t="shared" si="152"/>
        <v>0.145076923076923</v>
      </c>
      <c r="AO1569" t="s">
        <v>221</v>
      </c>
      <c r="AQ1569" t="s">
        <v>217</v>
      </c>
      <c r="AT1569" t="s">
        <v>558</v>
      </c>
    </row>
    <row r="1570" ht="15.75" customHeight="1" spans="1:46">
      <c r="A1570" t="s">
        <v>2422</v>
      </c>
      <c r="B1570" t="s">
        <v>133</v>
      </c>
      <c r="C1570" t="s">
        <v>2351</v>
      </c>
      <c r="D1570" t="s">
        <v>2352</v>
      </c>
      <c r="E1570" t="s">
        <v>2423</v>
      </c>
      <c r="F1570" t="s">
        <v>2424</v>
      </c>
      <c r="H1570" t="s">
        <v>2355</v>
      </c>
      <c r="I1570" t="s">
        <v>2360</v>
      </c>
      <c r="J1570" t="s">
        <v>1340</v>
      </c>
      <c r="K1570" t="s">
        <v>2371</v>
      </c>
      <c r="Q1570" t="s">
        <v>57</v>
      </c>
      <c r="R1570" t="s">
        <v>2433</v>
      </c>
      <c r="Y1570" t="s">
        <v>2426</v>
      </c>
      <c r="Z1570">
        <v>3917</v>
      </c>
      <c r="AE1570">
        <v>605</v>
      </c>
      <c r="AF1570" s="4">
        <v>0.37</v>
      </c>
      <c r="AG1570">
        <f t="shared" si="153"/>
        <v>381.15</v>
      </c>
      <c r="AH1570" s="4">
        <v>0.18</v>
      </c>
      <c r="AI1570">
        <f t="shared" si="148"/>
        <v>449.76</v>
      </c>
      <c r="AJ1570" s="4">
        <v>0.15</v>
      </c>
      <c r="AK1570">
        <f t="shared" si="149"/>
        <v>67.46</v>
      </c>
      <c r="AL1570">
        <f t="shared" si="150"/>
        <v>517.22</v>
      </c>
      <c r="AM1570">
        <f t="shared" si="151"/>
        <v>87.78</v>
      </c>
      <c r="AN1570" s="4">
        <f t="shared" si="152"/>
        <v>0.145090909090909</v>
      </c>
      <c r="AO1570" t="s">
        <v>221</v>
      </c>
      <c r="AQ1570" t="s">
        <v>217</v>
      </c>
      <c r="AT1570" t="s">
        <v>558</v>
      </c>
    </row>
    <row r="1571" ht="15.75" customHeight="1" spans="1:46">
      <c r="A1571" t="s">
        <v>2422</v>
      </c>
      <c r="B1571" t="s">
        <v>135</v>
      </c>
      <c r="C1571" t="s">
        <v>2351</v>
      </c>
      <c r="D1571" t="s">
        <v>2352</v>
      </c>
      <c r="E1571" t="s">
        <v>2423</v>
      </c>
      <c r="F1571" t="s">
        <v>2424</v>
      </c>
      <c r="H1571" t="s">
        <v>2355</v>
      </c>
      <c r="I1571" t="s">
        <v>2363</v>
      </c>
      <c r="J1571" t="s">
        <v>1340</v>
      </c>
      <c r="K1571" t="s">
        <v>2371</v>
      </c>
      <c r="Q1571" t="s">
        <v>57</v>
      </c>
      <c r="R1571" t="s">
        <v>2434</v>
      </c>
      <c r="Y1571" t="s">
        <v>2426</v>
      </c>
      <c r="Z1571">
        <v>3917</v>
      </c>
      <c r="AE1571">
        <v>940</v>
      </c>
      <c r="AF1571" s="4">
        <v>0.37</v>
      </c>
      <c r="AG1571">
        <f t="shared" si="153"/>
        <v>592.2</v>
      </c>
      <c r="AH1571" s="4">
        <v>0.18</v>
      </c>
      <c r="AI1571">
        <f t="shared" si="148"/>
        <v>698.8</v>
      </c>
      <c r="AJ1571" s="4">
        <v>0.15</v>
      </c>
      <c r="AK1571">
        <f t="shared" si="149"/>
        <v>104.82</v>
      </c>
      <c r="AL1571">
        <f t="shared" si="150"/>
        <v>803.62</v>
      </c>
      <c r="AM1571">
        <f t="shared" si="151"/>
        <v>136.38</v>
      </c>
      <c r="AN1571" s="4">
        <f t="shared" si="152"/>
        <v>0.145085106382979</v>
      </c>
      <c r="AO1571" t="s">
        <v>221</v>
      </c>
      <c r="AQ1571" t="s">
        <v>217</v>
      </c>
      <c r="AT1571" t="s">
        <v>558</v>
      </c>
    </row>
    <row r="1572" ht="15.75" customHeight="1" spans="1:46">
      <c r="A1572" t="s">
        <v>2422</v>
      </c>
      <c r="B1572" t="s">
        <v>137</v>
      </c>
      <c r="C1572" t="s">
        <v>2351</v>
      </c>
      <c r="D1572" t="s">
        <v>2352</v>
      </c>
      <c r="E1572" t="s">
        <v>2423</v>
      </c>
      <c r="F1572" t="s">
        <v>2424</v>
      </c>
      <c r="H1572" t="s">
        <v>2355</v>
      </c>
      <c r="I1572" t="s">
        <v>2365</v>
      </c>
      <c r="J1572" t="s">
        <v>1340</v>
      </c>
      <c r="K1572" t="s">
        <v>2371</v>
      </c>
      <c r="Q1572" t="s">
        <v>57</v>
      </c>
      <c r="R1572" t="s">
        <v>2435</v>
      </c>
      <c r="Y1572" t="s">
        <v>2426</v>
      </c>
      <c r="Z1572">
        <v>3917</v>
      </c>
      <c r="AE1572">
        <v>1605</v>
      </c>
      <c r="AF1572" s="4">
        <v>0.37</v>
      </c>
      <c r="AG1572">
        <f t="shared" si="153"/>
        <v>1011.15</v>
      </c>
      <c r="AH1572" s="4">
        <v>0.18</v>
      </c>
      <c r="AI1572">
        <f t="shared" si="148"/>
        <v>1193.16</v>
      </c>
      <c r="AJ1572" s="4">
        <v>0.15</v>
      </c>
      <c r="AK1572">
        <f t="shared" si="149"/>
        <v>178.97</v>
      </c>
      <c r="AL1572">
        <f t="shared" si="150"/>
        <v>1372.13</v>
      </c>
      <c r="AM1572">
        <f t="shared" si="151"/>
        <v>232.87</v>
      </c>
      <c r="AN1572" s="4">
        <f t="shared" si="152"/>
        <v>0.145090342679128</v>
      </c>
      <c r="AO1572" t="s">
        <v>221</v>
      </c>
      <c r="AQ1572" t="s">
        <v>217</v>
      </c>
      <c r="AT1572" t="s">
        <v>558</v>
      </c>
    </row>
    <row r="1573" ht="15.75" customHeight="1" spans="1:46">
      <c r="A1573" t="s">
        <v>2422</v>
      </c>
      <c r="B1573" t="s">
        <v>138</v>
      </c>
      <c r="C1573" t="s">
        <v>2351</v>
      </c>
      <c r="D1573" t="s">
        <v>2352</v>
      </c>
      <c r="E1573" t="s">
        <v>2423</v>
      </c>
      <c r="F1573" t="s">
        <v>2424</v>
      </c>
      <c r="H1573" t="s">
        <v>2355</v>
      </c>
      <c r="I1573" t="s">
        <v>2367</v>
      </c>
      <c r="J1573" t="s">
        <v>1340</v>
      </c>
      <c r="K1573" t="s">
        <v>2371</v>
      </c>
      <c r="Q1573" t="s">
        <v>57</v>
      </c>
      <c r="R1573" t="s">
        <v>2436</v>
      </c>
      <c r="Y1573" t="s">
        <v>2426</v>
      </c>
      <c r="Z1573">
        <v>3917</v>
      </c>
      <c r="AE1573">
        <v>2200</v>
      </c>
      <c r="AF1573" s="4">
        <v>0.37</v>
      </c>
      <c r="AG1573">
        <f t="shared" si="153"/>
        <v>1386</v>
      </c>
      <c r="AH1573" s="4">
        <v>0.18</v>
      </c>
      <c r="AI1573">
        <f t="shared" si="148"/>
        <v>1635.48</v>
      </c>
      <c r="AJ1573" s="4">
        <v>0.15</v>
      </c>
      <c r="AK1573">
        <f t="shared" si="149"/>
        <v>245.32</v>
      </c>
      <c r="AL1573">
        <f t="shared" si="150"/>
        <v>1880.8</v>
      </c>
      <c r="AM1573">
        <f t="shared" si="151"/>
        <v>319.2</v>
      </c>
      <c r="AN1573" s="4">
        <f t="shared" si="152"/>
        <v>0.145090909090909</v>
      </c>
      <c r="AO1573" t="s">
        <v>221</v>
      </c>
      <c r="AQ1573" t="s">
        <v>217</v>
      </c>
      <c r="AT1573" t="s">
        <v>558</v>
      </c>
    </row>
    <row r="1574" ht="15.75" customHeight="1" spans="1:46">
      <c r="A1574" t="s">
        <v>2422</v>
      </c>
      <c r="B1574" t="s">
        <v>140</v>
      </c>
      <c r="C1574" t="s">
        <v>2351</v>
      </c>
      <c r="D1574" t="s">
        <v>2352</v>
      </c>
      <c r="E1574" t="s">
        <v>2423</v>
      </c>
      <c r="F1574" t="s">
        <v>2424</v>
      </c>
      <c r="H1574" t="s">
        <v>2355</v>
      </c>
      <c r="I1574" t="s">
        <v>2369</v>
      </c>
      <c r="J1574" t="s">
        <v>1340</v>
      </c>
      <c r="K1574" t="s">
        <v>2371</v>
      </c>
      <c r="Q1574" t="s">
        <v>57</v>
      </c>
      <c r="R1574" t="s">
        <v>2437</v>
      </c>
      <c r="Y1574" t="s">
        <v>2426</v>
      </c>
      <c r="Z1574">
        <v>3917</v>
      </c>
      <c r="AE1574">
        <v>3815</v>
      </c>
      <c r="AF1574" s="4">
        <v>0.37</v>
      </c>
      <c r="AG1574">
        <f t="shared" si="153"/>
        <v>2403.45</v>
      </c>
      <c r="AH1574" s="4">
        <v>0.18</v>
      </c>
      <c r="AI1574">
        <f t="shared" si="148"/>
        <v>2836.07</v>
      </c>
      <c r="AJ1574" s="4">
        <v>0.15</v>
      </c>
      <c r="AK1574">
        <f t="shared" si="149"/>
        <v>425.41</v>
      </c>
      <c r="AL1574">
        <f t="shared" si="150"/>
        <v>3261.48</v>
      </c>
      <c r="AM1574">
        <f t="shared" si="151"/>
        <v>553.52</v>
      </c>
      <c r="AN1574" s="4">
        <f t="shared" si="152"/>
        <v>0.145090432503277</v>
      </c>
      <c r="AO1574" t="s">
        <v>221</v>
      </c>
      <c r="AQ1574" t="s">
        <v>217</v>
      </c>
      <c r="AT1574" t="s">
        <v>558</v>
      </c>
    </row>
    <row r="1575" ht="15.75" customHeight="1" spans="1:46">
      <c r="A1575" t="s">
        <v>2438</v>
      </c>
      <c r="B1575" t="s">
        <v>46</v>
      </c>
      <c r="C1575" t="s">
        <v>2351</v>
      </c>
      <c r="D1575" t="s">
        <v>2352</v>
      </c>
      <c r="E1575" t="s">
        <v>2423</v>
      </c>
      <c r="F1575" t="s">
        <v>2439</v>
      </c>
      <c r="H1575" t="s">
        <v>2355</v>
      </c>
      <c r="I1575" t="s">
        <v>2356</v>
      </c>
      <c r="J1575" t="s">
        <v>1340</v>
      </c>
      <c r="K1575" t="s">
        <v>2357</v>
      </c>
      <c r="Q1575" t="s">
        <v>57</v>
      </c>
      <c r="R1575" t="s">
        <v>2440</v>
      </c>
      <c r="Y1575" t="s">
        <v>2426</v>
      </c>
      <c r="Z1575">
        <v>3917</v>
      </c>
      <c r="AE1575">
        <v>237</v>
      </c>
      <c r="AF1575" s="4">
        <v>0.37</v>
      </c>
      <c r="AG1575">
        <f t="shared" si="153"/>
        <v>149.31</v>
      </c>
      <c r="AH1575" s="4">
        <v>0.18</v>
      </c>
      <c r="AI1575">
        <f t="shared" si="148"/>
        <v>176.19</v>
      </c>
      <c r="AJ1575" s="4">
        <v>0.15</v>
      </c>
      <c r="AK1575">
        <f t="shared" si="149"/>
        <v>26.43</v>
      </c>
      <c r="AL1575">
        <f t="shared" si="150"/>
        <v>202.62</v>
      </c>
      <c r="AM1575">
        <f t="shared" si="151"/>
        <v>34.38</v>
      </c>
      <c r="AN1575" s="4">
        <f t="shared" si="152"/>
        <v>0.14506329113924</v>
      </c>
      <c r="AO1575" t="s">
        <v>221</v>
      </c>
      <c r="AQ1575" t="s">
        <v>217</v>
      </c>
      <c r="AT1575" t="s">
        <v>558</v>
      </c>
    </row>
    <row r="1576" ht="15.75" customHeight="1" spans="1:46">
      <c r="A1576" t="s">
        <v>2438</v>
      </c>
      <c r="B1576" t="s">
        <v>67</v>
      </c>
      <c r="C1576" t="s">
        <v>2351</v>
      </c>
      <c r="D1576" t="s">
        <v>2352</v>
      </c>
      <c r="E1576" t="s">
        <v>2423</v>
      </c>
      <c r="F1576" t="s">
        <v>2439</v>
      </c>
      <c r="H1576" t="s">
        <v>2355</v>
      </c>
      <c r="I1576" t="s">
        <v>2360</v>
      </c>
      <c r="J1576" t="s">
        <v>1340</v>
      </c>
      <c r="K1576" t="s">
        <v>2357</v>
      </c>
      <c r="Q1576" t="s">
        <v>57</v>
      </c>
      <c r="R1576" t="s">
        <v>2441</v>
      </c>
      <c r="Y1576" t="s">
        <v>2426</v>
      </c>
      <c r="Z1576">
        <v>3917</v>
      </c>
      <c r="AE1576">
        <v>342</v>
      </c>
      <c r="AF1576" s="4">
        <v>0.37</v>
      </c>
      <c r="AG1576">
        <f t="shared" si="153"/>
        <v>215.46</v>
      </c>
      <c r="AH1576" s="4">
        <v>0.18</v>
      </c>
      <c r="AI1576">
        <f t="shared" si="148"/>
        <v>254.24</v>
      </c>
      <c r="AJ1576" s="4">
        <v>0.15</v>
      </c>
      <c r="AK1576">
        <f t="shared" si="149"/>
        <v>38.14</v>
      </c>
      <c r="AL1576">
        <f t="shared" si="150"/>
        <v>292.38</v>
      </c>
      <c r="AM1576">
        <f t="shared" si="151"/>
        <v>49.62</v>
      </c>
      <c r="AN1576" s="4">
        <f t="shared" si="152"/>
        <v>0.145087719298246</v>
      </c>
      <c r="AO1576" t="s">
        <v>221</v>
      </c>
      <c r="AQ1576" t="s">
        <v>217</v>
      </c>
      <c r="AT1576" t="s">
        <v>558</v>
      </c>
    </row>
    <row r="1577" ht="15.75" customHeight="1" spans="1:46">
      <c r="A1577" t="s">
        <v>2438</v>
      </c>
      <c r="B1577" t="s">
        <v>71</v>
      </c>
      <c r="C1577" t="s">
        <v>2351</v>
      </c>
      <c r="D1577" t="s">
        <v>2352</v>
      </c>
      <c r="E1577" t="s">
        <v>2423</v>
      </c>
      <c r="F1577" t="s">
        <v>2439</v>
      </c>
      <c r="H1577" t="s">
        <v>2355</v>
      </c>
      <c r="I1577" t="s">
        <v>2363</v>
      </c>
      <c r="J1577" t="s">
        <v>1340</v>
      </c>
      <c r="K1577" t="s">
        <v>2357</v>
      </c>
      <c r="Q1577" t="s">
        <v>57</v>
      </c>
      <c r="R1577" t="s">
        <v>2442</v>
      </c>
      <c r="Y1577" t="s">
        <v>2426</v>
      </c>
      <c r="Z1577">
        <v>3917</v>
      </c>
      <c r="AE1577">
        <v>504</v>
      </c>
      <c r="AF1577" s="4">
        <v>0.37</v>
      </c>
      <c r="AG1577">
        <f t="shared" si="153"/>
        <v>317.52</v>
      </c>
      <c r="AH1577" s="4">
        <v>0.18</v>
      </c>
      <c r="AI1577">
        <f t="shared" si="148"/>
        <v>374.67</v>
      </c>
      <c r="AJ1577" s="4">
        <v>0.15</v>
      </c>
      <c r="AK1577">
        <f t="shared" si="149"/>
        <v>56.2</v>
      </c>
      <c r="AL1577">
        <f t="shared" si="150"/>
        <v>430.87</v>
      </c>
      <c r="AM1577">
        <f t="shared" si="151"/>
        <v>73.13</v>
      </c>
      <c r="AN1577" s="4">
        <f t="shared" si="152"/>
        <v>0.145099206349206</v>
      </c>
      <c r="AO1577" t="s">
        <v>221</v>
      </c>
      <c r="AQ1577" t="s">
        <v>217</v>
      </c>
      <c r="AT1577" t="s">
        <v>558</v>
      </c>
    </row>
    <row r="1578" ht="15.75" customHeight="1" spans="1:46">
      <c r="A1578" t="s">
        <v>2438</v>
      </c>
      <c r="B1578" t="s">
        <v>75</v>
      </c>
      <c r="C1578" t="s">
        <v>2351</v>
      </c>
      <c r="D1578" t="s">
        <v>2352</v>
      </c>
      <c r="E1578" t="s">
        <v>2423</v>
      </c>
      <c r="F1578" t="s">
        <v>2439</v>
      </c>
      <c r="H1578" t="s">
        <v>2355</v>
      </c>
      <c r="I1578" t="s">
        <v>2365</v>
      </c>
      <c r="J1578" t="s">
        <v>1340</v>
      </c>
      <c r="K1578" t="s">
        <v>2357</v>
      </c>
      <c r="Q1578" t="s">
        <v>57</v>
      </c>
      <c r="R1578" t="s">
        <v>2443</v>
      </c>
      <c r="Y1578" t="s">
        <v>2426</v>
      </c>
      <c r="Z1578">
        <v>3917</v>
      </c>
      <c r="AE1578">
        <v>822</v>
      </c>
      <c r="AF1578" s="4">
        <v>0.37</v>
      </c>
      <c r="AG1578">
        <f t="shared" si="153"/>
        <v>517.86</v>
      </c>
      <c r="AH1578" s="4">
        <v>0.18</v>
      </c>
      <c r="AI1578">
        <f t="shared" si="148"/>
        <v>611.07</v>
      </c>
      <c r="AJ1578" s="4">
        <v>0.15</v>
      </c>
      <c r="AK1578">
        <f t="shared" si="149"/>
        <v>91.66</v>
      </c>
      <c r="AL1578">
        <f t="shared" si="150"/>
        <v>702.73</v>
      </c>
      <c r="AM1578">
        <f t="shared" si="151"/>
        <v>119.27</v>
      </c>
      <c r="AN1578" s="4">
        <f t="shared" si="152"/>
        <v>0.145097323600973</v>
      </c>
      <c r="AO1578" t="s">
        <v>221</v>
      </c>
      <c r="AQ1578" t="s">
        <v>217</v>
      </c>
      <c r="AT1578" t="s">
        <v>558</v>
      </c>
    </row>
    <row r="1579" ht="15.75" customHeight="1" spans="1:46">
      <c r="A1579" t="s">
        <v>2438</v>
      </c>
      <c r="B1579" t="s">
        <v>79</v>
      </c>
      <c r="C1579" t="s">
        <v>2351</v>
      </c>
      <c r="D1579" t="s">
        <v>2352</v>
      </c>
      <c r="E1579" t="s">
        <v>2423</v>
      </c>
      <c r="F1579" t="s">
        <v>2439</v>
      </c>
      <c r="H1579" t="s">
        <v>2355</v>
      </c>
      <c r="I1579" t="s">
        <v>2367</v>
      </c>
      <c r="J1579" t="s">
        <v>1340</v>
      </c>
      <c r="K1579" t="s">
        <v>2357</v>
      </c>
      <c r="Q1579" t="s">
        <v>57</v>
      </c>
      <c r="R1579" t="s">
        <v>2444</v>
      </c>
      <c r="Y1579" t="s">
        <v>2426</v>
      </c>
      <c r="Z1579">
        <v>3917</v>
      </c>
      <c r="AE1579">
        <v>1134</v>
      </c>
      <c r="AF1579" s="4">
        <v>0.37</v>
      </c>
      <c r="AG1579">
        <f t="shared" si="153"/>
        <v>714.42</v>
      </c>
      <c r="AH1579" s="4">
        <v>0.18</v>
      </c>
      <c r="AI1579">
        <f t="shared" si="148"/>
        <v>843.02</v>
      </c>
      <c r="AJ1579" s="4">
        <v>0.15</v>
      </c>
      <c r="AK1579">
        <f t="shared" si="149"/>
        <v>126.45</v>
      </c>
      <c r="AL1579">
        <f t="shared" si="150"/>
        <v>969.47</v>
      </c>
      <c r="AM1579">
        <f t="shared" si="151"/>
        <v>164.53</v>
      </c>
      <c r="AN1579" s="4">
        <f t="shared" si="152"/>
        <v>0.145088183421517</v>
      </c>
      <c r="AO1579" t="s">
        <v>221</v>
      </c>
      <c r="AQ1579" t="s">
        <v>217</v>
      </c>
      <c r="AT1579" t="s">
        <v>558</v>
      </c>
    </row>
    <row r="1580" ht="15.75" customHeight="1" spans="1:46">
      <c r="A1580" t="s">
        <v>2438</v>
      </c>
      <c r="B1580" t="s">
        <v>83</v>
      </c>
      <c r="C1580" t="s">
        <v>2351</v>
      </c>
      <c r="D1580" t="s">
        <v>2352</v>
      </c>
      <c r="E1580" t="s">
        <v>2423</v>
      </c>
      <c r="F1580" t="s">
        <v>2439</v>
      </c>
      <c r="H1580" t="s">
        <v>2355</v>
      </c>
      <c r="I1580" t="s">
        <v>2369</v>
      </c>
      <c r="J1580" t="s">
        <v>1340</v>
      </c>
      <c r="K1580" t="s">
        <v>2357</v>
      </c>
      <c r="Q1580" t="s">
        <v>57</v>
      </c>
      <c r="R1580" t="s">
        <v>2445</v>
      </c>
      <c r="Y1580" t="s">
        <v>2426</v>
      </c>
      <c r="Z1580">
        <v>3917</v>
      </c>
      <c r="AE1580">
        <v>1929</v>
      </c>
      <c r="AF1580" s="4">
        <v>0.37</v>
      </c>
      <c r="AG1580">
        <f t="shared" si="153"/>
        <v>1215.27</v>
      </c>
      <c r="AH1580" s="4">
        <v>0.18</v>
      </c>
      <c r="AI1580">
        <f t="shared" si="148"/>
        <v>1434.02</v>
      </c>
      <c r="AJ1580" s="4">
        <v>0.15</v>
      </c>
      <c r="AK1580">
        <f t="shared" si="149"/>
        <v>215.1</v>
      </c>
      <c r="AL1580">
        <f t="shared" si="150"/>
        <v>1649.12</v>
      </c>
      <c r="AM1580">
        <f t="shared" si="151"/>
        <v>279.88</v>
      </c>
      <c r="AN1580" s="4">
        <f t="shared" si="152"/>
        <v>0.145090720580612</v>
      </c>
      <c r="AO1580" t="s">
        <v>221</v>
      </c>
      <c r="AQ1580" t="s">
        <v>217</v>
      </c>
      <c r="AT1580" t="s">
        <v>558</v>
      </c>
    </row>
    <row r="1581" ht="15.75" customHeight="1" spans="1:46">
      <c r="A1581" t="s">
        <v>2438</v>
      </c>
      <c r="B1581" t="s">
        <v>131</v>
      </c>
      <c r="C1581" t="s">
        <v>2351</v>
      </c>
      <c r="D1581" t="s">
        <v>2352</v>
      </c>
      <c r="E1581" t="s">
        <v>2423</v>
      </c>
      <c r="F1581" t="s">
        <v>2439</v>
      </c>
      <c r="H1581" t="s">
        <v>2355</v>
      </c>
      <c r="I1581" t="s">
        <v>2356</v>
      </c>
      <c r="J1581" t="s">
        <v>1340</v>
      </c>
      <c r="K1581" t="s">
        <v>2371</v>
      </c>
      <c r="Q1581" t="s">
        <v>57</v>
      </c>
      <c r="R1581" t="s">
        <v>2446</v>
      </c>
      <c r="Y1581" t="s">
        <v>2426</v>
      </c>
      <c r="Z1581">
        <v>3917</v>
      </c>
      <c r="AE1581">
        <v>395</v>
      </c>
      <c r="AF1581" s="4">
        <v>0.37</v>
      </c>
      <c r="AG1581">
        <f t="shared" si="153"/>
        <v>248.85</v>
      </c>
      <c r="AH1581" s="4">
        <v>0.18</v>
      </c>
      <c r="AI1581">
        <f t="shared" si="148"/>
        <v>293.64</v>
      </c>
      <c r="AJ1581" s="4">
        <v>0.15</v>
      </c>
      <c r="AK1581">
        <f t="shared" si="149"/>
        <v>44.05</v>
      </c>
      <c r="AL1581">
        <f t="shared" si="150"/>
        <v>337.69</v>
      </c>
      <c r="AM1581">
        <f t="shared" si="151"/>
        <v>57.31</v>
      </c>
      <c r="AN1581" s="4">
        <f t="shared" si="152"/>
        <v>0.145088607594937</v>
      </c>
      <c r="AO1581" t="s">
        <v>221</v>
      </c>
      <c r="AQ1581" t="s">
        <v>217</v>
      </c>
      <c r="AT1581" t="s">
        <v>558</v>
      </c>
    </row>
    <row r="1582" ht="15.75" customHeight="1" spans="1:46">
      <c r="A1582" t="s">
        <v>2438</v>
      </c>
      <c r="B1582" t="s">
        <v>133</v>
      </c>
      <c r="C1582" t="s">
        <v>2351</v>
      </c>
      <c r="D1582" t="s">
        <v>2352</v>
      </c>
      <c r="E1582" t="s">
        <v>2423</v>
      </c>
      <c r="F1582" t="s">
        <v>2439</v>
      </c>
      <c r="H1582" t="s">
        <v>2355</v>
      </c>
      <c r="I1582" t="s">
        <v>2360</v>
      </c>
      <c r="J1582" t="s">
        <v>1340</v>
      </c>
      <c r="K1582" t="s">
        <v>2371</v>
      </c>
      <c r="Q1582" t="s">
        <v>57</v>
      </c>
      <c r="R1582" t="s">
        <v>2447</v>
      </c>
      <c r="Y1582" t="s">
        <v>2426</v>
      </c>
      <c r="Z1582">
        <v>3917</v>
      </c>
      <c r="AE1582">
        <v>570</v>
      </c>
      <c r="AF1582" s="4">
        <v>0.37</v>
      </c>
      <c r="AG1582">
        <f t="shared" si="153"/>
        <v>359.1</v>
      </c>
      <c r="AH1582" s="4">
        <v>0.18</v>
      </c>
      <c r="AI1582">
        <f t="shared" si="148"/>
        <v>423.74</v>
      </c>
      <c r="AJ1582" s="4">
        <v>0.15</v>
      </c>
      <c r="AK1582">
        <f t="shared" si="149"/>
        <v>63.56</v>
      </c>
      <c r="AL1582">
        <f t="shared" si="150"/>
        <v>487.3</v>
      </c>
      <c r="AM1582">
        <f t="shared" si="151"/>
        <v>82.7</v>
      </c>
      <c r="AN1582" s="4">
        <f t="shared" si="152"/>
        <v>0.145087719298246</v>
      </c>
      <c r="AO1582" t="s">
        <v>221</v>
      </c>
      <c r="AQ1582" t="s">
        <v>217</v>
      </c>
      <c r="AT1582" t="s">
        <v>558</v>
      </c>
    </row>
    <row r="1583" ht="15.75" customHeight="1" spans="1:46">
      <c r="A1583" t="s">
        <v>2438</v>
      </c>
      <c r="B1583" t="s">
        <v>135</v>
      </c>
      <c r="C1583" t="s">
        <v>2351</v>
      </c>
      <c r="D1583" t="s">
        <v>2352</v>
      </c>
      <c r="E1583" t="s">
        <v>2423</v>
      </c>
      <c r="F1583" t="s">
        <v>2439</v>
      </c>
      <c r="H1583" t="s">
        <v>2355</v>
      </c>
      <c r="I1583" t="s">
        <v>2363</v>
      </c>
      <c r="J1583" t="s">
        <v>1340</v>
      </c>
      <c r="K1583" t="s">
        <v>2371</v>
      </c>
      <c r="Q1583" t="s">
        <v>57</v>
      </c>
      <c r="R1583" t="s">
        <v>2448</v>
      </c>
      <c r="Y1583" t="s">
        <v>2426</v>
      </c>
      <c r="Z1583">
        <v>3917</v>
      </c>
      <c r="AE1583">
        <v>840</v>
      </c>
      <c r="AF1583" s="4">
        <v>0.37</v>
      </c>
      <c r="AG1583">
        <f t="shared" si="153"/>
        <v>529.2</v>
      </c>
      <c r="AH1583" s="4">
        <v>0.18</v>
      </c>
      <c r="AI1583">
        <f t="shared" si="148"/>
        <v>624.46</v>
      </c>
      <c r="AJ1583" s="4">
        <v>0.15</v>
      </c>
      <c r="AK1583">
        <f t="shared" si="149"/>
        <v>93.67</v>
      </c>
      <c r="AL1583">
        <f t="shared" si="150"/>
        <v>718.13</v>
      </c>
      <c r="AM1583">
        <f t="shared" si="151"/>
        <v>121.87</v>
      </c>
      <c r="AN1583" s="4">
        <f t="shared" si="152"/>
        <v>0.145083333333333</v>
      </c>
      <c r="AO1583" t="s">
        <v>221</v>
      </c>
      <c r="AQ1583" t="s">
        <v>217</v>
      </c>
      <c r="AT1583" t="s">
        <v>558</v>
      </c>
    </row>
    <row r="1584" ht="15.75" customHeight="1" spans="1:46">
      <c r="A1584" t="s">
        <v>2438</v>
      </c>
      <c r="B1584" t="s">
        <v>137</v>
      </c>
      <c r="C1584" t="s">
        <v>2351</v>
      </c>
      <c r="D1584" t="s">
        <v>2352</v>
      </c>
      <c r="E1584" t="s">
        <v>2423</v>
      </c>
      <c r="F1584" t="s">
        <v>2439</v>
      </c>
      <c r="H1584" t="s">
        <v>2355</v>
      </c>
      <c r="I1584" t="s">
        <v>2365</v>
      </c>
      <c r="J1584" t="s">
        <v>1340</v>
      </c>
      <c r="K1584" t="s">
        <v>2371</v>
      </c>
      <c r="Q1584" t="s">
        <v>57</v>
      </c>
      <c r="R1584" t="s">
        <v>2449</v>
      </c>
      <c r="Y1584" t="s">
        <v>2426</v>
      </c>
      <c r="Z1584">
        <v>3917</v>
      </c>
      <c r="AE1584">
        <v>1370</v>
      </c>
      <c r="AF1584" s="4">
        <v>0.37</v>
      </c>
      <c r="AG1584">
        <f t="shared" si="153"/>
        <v>863.1</v>
      </c>
      <c r="AH1584" s="4">
        <v>0.18</v>
      </c>
      <c r="AI1584">
        <f t="shared" si="148"/>
        <v>1018.46</v>
      </c>
      <c r="AJ1584" s="4">
        <v>0.15</v>
      </c>
      <c r="AK1584">
        <f t="shared" si="149"/>
        <v>152.77</v>
      </c>
      <c r="AL1584">
        <f t="shared" si="150"/>
        <v>1171.23</v>
      </c>
      <c r="AM1584">
        <f t="shared" si="151"/>
        <v>198.77</v>
      </c>
      <c r="AN1584" s="4">
        <f t="shared" si="152"/>
        <v>0.145087591240876</v>
      </c>
      <c r="AO1584" t="s">
        <v>221</v>
      </c>
      <c r="AQ1584" t="s">
        <v>217</v>
      </c>
      <c r="AT1584" t="s">
        <v>558</v>
      </c>
    </row>
    <row r="1585" ht="15.75" customHeight="1" spans="1:46">
      <c r="A1585" t="s">
        <v>2438</v>
      </c>
      <c r="B1585" t="s">
        <v>138</v>
      </c>
      <c r="C1585" t="s">
        <v>2351</v>
      </c>
      <c r="D1585" t="s">
        <v>2352</v>
      </c>
      <c r="E1585" t="s">
        <v>2423</v>
      </c>
      <c r="F1585" t="s">
        <v>2439</v>
      </c>
      <c r="H1585" t="s">
        <v>2355</v>
      </c>
      <c r="I1585" t="s">
        <v>2367</v>
      </c>
      <c r="J1585" t="s">
        <v>1340</v>
      </c>
      <c r="K1585" t="s">
        <v>2371</v>
      </c>
      <c r="Q1585" t="s">
        <v>57</v>
      </c>
      <c r="R1585" t="s">
        <v>2450</v>
      </c>
      <c r="Y1585" t="s">
        <v>2426</v>
      </c>
      <c r="Z1585">
        <v>3917</v>
      </c>
      <c r="AE1585">
        <v>1890</v>
      </c>
      <c r="AF1585" s="4">
        <v>0.37</v>
      </c>
      <c r="AG1585">
        <f t="shared" si="153"/>
        <v>1190.7</v>
      </c>
      <c r="AH1585" s="4">
        <v>0.18</v>
      </c>
      <c r="AI1585">
        <f t="shared" si="148"/>
        <v>1405.03</v>
      </c>
      <c r="AJ1585" s="4">
        <v>0.15</v>
      </c>
      <c r="AK1585">
        <f t="shared" si="149"/>
        <v>210.75</v>
      </c>
      <c r="AL1585">
        <f t="shared" si="150"/>
        <v>1615.78</v>
      </c>
      <c r="AM1585">
        <f t="shared" si="151"/>
        <v>274.22</v>
      </c>
      <c r="AN1585" s="4">
        <f t="shared" si="152"/>
        <v>0.145089947089947</v>
      </c>
      <c r="AO1585" t="s">
        <v>221</v>
      </c>
      <c r="AQ1585" t="s">
        <v>217</v>
      </c>
      <c r="AT1585" t="s">
        <v>558</v>
      </c>
    </row>
    <row r="1586" ht="15.75" customHeight="1" spans="1:46">
      <c r="A1586" t="s">
        <v>2438</v>
      </c>
      <c r="B1586" t="s">
        <v>140</v>
      </c>
      <c r="C1586" t="s">
        <v>2351</v>
      </c>
      <c r="D1586" t="s">
        <v>2352</v>
      </c>
      <c r="E1586" t="s">
        <v>2423</v>
      </c>
      <c r="F1586" t="s">
        <v>2439</v>
      </c>
      <c r="H1586" t="s">
        <v>2355</v>
      </c>
      <c r="I1586" t="s">
        <v>2369</v>
      </c>
      <c r="J1586" t="s">
        <v>1340</v>
      </c>
      <c r="K1586" t="s">
        <v>2371</v>
      </c>
      <c r="Q1586" t="s">
        <v>57</v>
      </c>
      <c r="R1586" t="s">
        <v>2451</v>
      </c>
      <c r="Y1586" t="s">
        <v>2426</v>
      </c>
      <c r="Z1586">
        <v>3917</v>
      </c>
      <c r="AE1586">
        <v>3215</v>
      </c>
      <c r="AF1586" s="4">
        <v>0.37</v>
      </c>
      <c r="AG1586">
        <f t="shared" si="153"/>
        <v>2025.45</v>
      </c>
      <c r="AH1586" s="4">
        <v>0.18</v>
      </c>
      <c r="AI1586">
        <f t="shared" si="148"/>
        <v>2390.03</v>
      </c>
      <c r="AJ1586" s="4">
        <v>0.15</v>
      </c>
      <c r="AK1586">
        <f t="shared" si="149"/>
        <v>358.5</v>
      </c>
      <c r="AL1586">
        <f t="shared" si="150"/>
        <v>2748.53</v>
      </c>
      <c r="AM1586">
        <f t="shared" si="151"/>
        <v>466.47</v>
      </c>
      <c r="AN1586" s="4">
        <f t="shared" si="152"/>
        <v>0.145091757387247</v>
      </c>
      <c r="AO1586" t="s">
        <v>221</v>
      </c>
      <c r="AQ1586" t="s">
        <v>217</v>
      </c>
      <c r="AT1586" t="s">
        <v>558</v>
      </c>
    </row>
    <row r="1587" ht="15.75" customHeight="1" spans="1:46">
      <c r="A1587" t="s">
        <v>2452</v>
      </c>
      <c r="B1587" t="s">
        <v>46</v>
      </c>
      <c r="C1587" t="s">
        <v>2351</v>
      </c>
      <c r="D1587" t="s">
        <v>2352</v>
      </c>
      <c r="E1587" t="s">
        <v>2423</v>
      </c>
      <c r="F1587" t="s">
        <v>2453</v>
      </c>
      <c r="H1587" t="s">
        <v>2355</v>
      </c>
      <c r="I1587" t="s">
        <v>2380</v>
      </c>
      <c r="J1587" t="s">
        <v>1340</v>
      </c>
      <c r="K1587" t="s">
        <v>2357</v>
      </c>
      <c r="Q1587" t="s">
        <v>57</v>
      </c>
      <c r="R1587" t="s">
        <v>2454</v>
      </c>
      <c r="Y1587" t="s">
        <v>2426</v>
      </c>
      <c r="Z1587">
        <v>3917</v>
      </c>
      <c r="AE1587">
        <v>3774</v>
      </c>
      <c r="AF1587" s="4">
        <v>0.37</v>
      </c>
      <c r="AG1587">
        <f t="shared" si="153"/>
        <v>2377.62</v>
      </c>
      <c r="AH1587" s="4">
        <v>0.18</v>
      </c>
      <c r="AI1587">
        <f t="shared" si="148"/>
        <v>2805.59</v>
      </c>
      <c r="AJ1587" s="4">
        <v>0.15</v>
      </c>
      <c r="AK1587">
        <f t="shared" si="149"/>
        <v>420.84</v>
      </c>
      <c r="AL1587">
        <f t="shared" si="150"/>
        <v>3226.43</v>
      </c>
      <c r="AM1587">
        <f t="shared" si="151"/>
        <v>547.57</v>
      </c>
      <c r="AN1587" s="4">
        <f t="shared" si="152"/>
        <v>0.14509009009009</v>
      </c>
      <c r="AO1587" t="s">
        <v>221</v>
      </c>
      <c r="AQ1587" t="s">
        <v>217</v>
      </c>
      <c r="AT1587" t="s">
        <v>558</v>
      </c>
    </row>
    <row r="1588" ht="15.75" customHeight="1" spans="1:46">
      <c r="A1588" t="s">
        <v>2452</v>
      </c>
      <c r="B1588" t="s">
        <v>67</v>
      </c>
      <c r="C1588" t="s">
        <v>2351</v>
      </c>
      <c r="D1588" t="s">
        <v>2352</v>
      </c>
      <c r="E1588" t="s">
        <v>2423</v>
      </c>
      <c r="F1588" t="s">
        <v>2453</v>
      </c>
      <c r="H1588" t="s">
        <v>2355</v>
      </c>
      <c r="I1588" t="s">
        <v>2383</v>
      </c>
      <c r="J1588" t="s">
        <v>1340</v>
      </c>
      <c r="K1588" t="s">
        <v>2357</v>
      </c>
      <c r="Q1588" t="s">
        <v>57</v>
      </c>
      <c r="R1588" t="s">
        <v>2455</v>
      </c>
      <c r="Y1588" t="s">
        <v>2426</v>
      </c>
      <c r="Z1588">
        <v>3917</v>
      </c>
      <c r="AE1588">
        <v>5124</v>
      </c>
      <c r="AF1588" s="4">
        <v>0.37</v>
      </c>
      <c r="AG1588">
        <f t="shared" si="153"/>
        <v>3228.12</v>
      </c>
      <c r="AH1588" s="4">
        <v>0.18</v>
      </c>
      <c r="AI1588">
        <f t="shared" si="148"/>
        <v>3809.18</v>
      </c>
      <c r="AJ1588" s="4">
        <v>0.15</v>
      </c>
      <c r="AK1588">
        <f t="shared" si="149"/>
        <v>571.38</v>
      </c>
      <c r="AL1588">
        <f t="shared" si="150"/>
        <v>4380.56</v>
      </c>
      <c r="AM1588">
        <f t="shared" si="151"/>
        <v>743.440000000001</v>
      </c>
      <c r="AN1588" s="4">
        <f t="shared" si="152"/>
        <v>0.145089773614364</v>
      </c>
      <c r="AO1588" t="s">
        <v>221</v>
      </c>
      <c r="AQ1588" t="s">
        <v>217</v>
      </c>
      <c r="AT1588" t="s">
        <v>558</v>
      </c>
    </row>
    <row r="1589" ht="15.75" customHeight="1" spans="1:46">
      <c r="A1589" t="s">
        <v>2452</v>
      </c>
      <c r="B1589" t="s">
        <v>71</v>
      </c>
      <c r="C1589" t="s">
        <v>2351</v>
      </c>
      <c r="D1589" t="s">
        <v>2352</v>
      </c>
      <c r="E1589" t="s">
        <v>2423</v>
      </c>
      <c r="F1589" t="s">
        <v>2453</v>
      </c>
      <c r="H1589" t="s">
        <v>2355</v>
      </c>
      <c r="I1589" t="s">
        <v>2385</v>
      </c>
      <c r="J1589" t="s">
        <v>1340</v>
      </c>
      <c r="K1589" t="s">
        <v>2357</v>
      </c>
      <c r="Q1589" t="s">
        <v>57</v>
      </c>
      <c r="R1589" t="s">
        <v>2456</v>
      </c>
      <c r="Y1589" t="s">
        <v>2426</v>
      </c>
      <c r="Z1589">
        <v>3917</v>
      </c>
      <c r="AE1589">
        <v>7464</v>
      </c>
      <c r="AF1589" s="4">
        <v>0.37</v>
      </c>
      <c r="AG1589">
        <f t="shared" si="153"/>
        <v>4702.32</v>
      </c>
      <c r="AH1589" s="4">
        <v>0.18</v>
      </c>
      <c r="AI1589">
        <f t="shared" si="148"/>
        <v>5548.74</v>
      </c>
      <c r="AJ1589" s="4">
        <v>0.15</v>
      </c>
      <c r="AK1589">
        <f t="shared" si="149"/>
        <v>832.31</v>
      </c>
      <c r="AL1589">
        <f t="shared" si="150"/>
        <v>6381.05</v>
      </c>
      <c r="AM1589">
        <f t="shared" si="151"/>
        <v>1082.95</v>
      </c>
      <c r="AN1589" s="4">
        <f t="shared" si="152"/>
        <v>0.145089764201501</v>
      </c>
      <c r="AO1589" t="s">
        <v>221</v>
      </c>
      <c r="AQ1589" t="s">
        <v>217</v>
      </c>
      <c r="AT1589" t="s">
        <v>558</v>
      </c>
    </row>
    <row r="1590" ht="15.75" customHeight="1" spans="1:46">
      <c r="A1590" t="s">
        <v>2452</v>
      </c>
      <c r="B1590" t="s">
        <v>75</v>
      </c>
      <c r="C1590" t="s">
        <v>2351</v>
      </c>
      <c r="D1590" t="s">
        <v>2352</v>
      </c>
      <c r="E1590" t="s">
        <v>2423</v>
      </c>
      <c r="F1590" t="s">
        <v>2453</v>
      </c>
      <c r="H1590" t="s">
        <v>2355</v>
      </c>
      <c r="I1590" t="s">
        <v>2387</v>
      </c>
      <c r="J1590" t="s">
        <v>1340</v>
      </c>
      <c r="K1590" t="s">
        <v>2357</v>
      </c>
      <c r="Q1590" t="s">
        <v>57</v>
      </c>
      <c r="R1590" t="s">
        <v>2457</v>
      </c>
      <c r="Y1590" t="s">
        <v>2426</v>
      </c>
      <c r="Z1590">
        <v>3917</v>
      </c>
      <c r="AE1590">
        <v>13479</v>
      </c>
      <c r="AF1590" s="4">
        <v>0.37</v>
      </c>
      <c r="AG1590">
        <f t="shared" si="153"/>
        <v>8491.77</v>
      </c>
      <c r="AH1590" s="4">
        <v>0.18</v>
      </c>
      <c r="AI1590">
        <f t="shared" si="148"/>
        <v>10020.29</v>
      </c>
      <c r="AJ1590" s="4">
        <v>0.15</v>
      </c>
      <c r="AK1590">
        <f t="shared" si="149"/>
        <v>1503.04</v>
      </c>
      <c r="AL1590">
        <f t="shared" si="150"/>
        <v>11523.33</v>
      </c>
      <c r="AM1590">
        <f t="shared" si="151"/>
        <v>1955.67</v>
      </c>
      <c r="AN1590" s="4">
        <f t="shared" si="152"/>
        <v>0.145090140218117</v>
      </c>
      <c r="AO1590" t="s">
        <v>221</v>
      </c>
      <c r="AQ1590" t="s">
        <v>217</v>
      </c>
      <c r="AT1590" t="s">
        <v>558</v>
      </c>
    </row>
    <row r="1591" ht="15.75" customHeight="1" spans="1:46">
      <c r="A1591" t="s">
        <v>2452</v>
      </c>
      <c r="B1591" t="s">
        <v>79</v>
      </c>
      <c r="C1591" t="s">
        <v>2351</v>
      </c>
      <c r="D1591" t="s">
        <v>2352</v>
      </c>
      <c r="E1591" t="s">
        <v>2423</v>
      </c>
      <c r="F1591" t="s">
        <v>2453</v>
      </c>
      <c r="H1591" t="s">
        <v>2355</v>
      </c>
      <c r="I1591" t="s">
        <v>2389</v>
      </c>
      <c r="J1591" t="s">
        <v>1340</v>
      </c>
      <c r="K1591" t="s">
        <v>2357</v>
      </c>
      <c r="Q1591" t="s">
        <v>57</v>
      </c>
      <c r="R1591" t="s">
        <v>2458</v>
      </c>
      <c r="Y1591" t="s">
        <v>2426</v>
      </c>
      <c r="Z1591">
        <v>3917</v>
      </c>
      <c r="AE1591">
        <v>20442</v>
      </c>
      <c r="AF1591" s="4">
        <v>0.37</v>
      </c>
      <c r="AG1591">
        <f t="shared" si="153"/>
        <v>12878.46</v>
      </c>
      <c r="AH1591" s="4">
        <v>0.18</v>
      </c>
      <c r="AI1591">
        <f t="shared" si="148"/>
        <v>15196.58</v>
      </c>
      <c r="AJ1591" s="4">
        <v>0.15</v>
      </c>
      <c r="AK1591">
        <f t="shared" si="149"/>
        <v>2279.49</v>
      </c>
      <c r="AL1591">
        <f t="shared" si="150"/>
        <v>17476.07</v>
      </c>
      <c r="AM1591">
        <f t="shared" si="151"/>
        <v>2965.93</v>
      </c>
      <c r="AN1591" s="4">
        <f t="shared" si="152"/>
        <v>0.145090010762156</v>
      </c>
      <c r="AO1591" t="s">
        <v>221</v>
      </c>
      <c r="AQ1591" t="s">
        <v>217</v>
      </c>
      <c r="AT1591" t="s">
        <v>558</v>
      </c>
    </row>
    <row r="1592" ht="15.75" customHeight="1" spans="1:46">
      <c r="A1592" t="s">
        <v>2452</v>
      </c>
      <c r="B1592" t="s">
        <v>83</v>
      </c>
      <c r="C1592" t="s">
        <v>2351</v>
      </c>
      <c r="D1592" t="s">
        <v>2352</v>
      </c>
      <c r="E1592" t="s">
        <v>2423</v>
      </c>
      <c r="F1592" t="s">
        <v>2453</v>
      </c>
      <c r="H1592" t="s">
        <v>2355</v>
      </c>
      <c r="I1592" t="s">
        <v>2380</v>
      </c>
      <c r="J1592" t="s">
        <v>1340</v>
      </c>
      <c r="K1592" t="s">
        <v>2371</v>
      </c>
      <c r="Q1592" t="s">
        <v>57</v>
      </c>
      <c r="R1592" t="s">
        <v>2459</v>
      </c>
      <c r="Y1592" t="s">
        <v>2426</v>
      </c>
      <c r="Z1592">
        <v>3917</v>
      </c>
      <c r="AE1592">
        <v>6290</v>
      </c>
      <c r="AF1592" s="4">
        <v>0.37</v>
      </c>
      <c r="AG1592">
        <f t="shared" si="153"/>
        <v>3962.7</v>
      </c>
      <c r="AH1592" s="4">
        <v>0.18</v>
      </c>
      <c r="AI1592">
        <f t="shared" si="148"/>
        <v>4675.99</v>
      </c>
      <c r="AJ1592" s="4">
        <v>0.15</v>
      </c>
      <c r="AK1592">
        <f t="shared" si="149"/>
        <v>701.4</v>
      </c>
      <c r="AL1592">
        <f t="shared" si="150"/>
        <v>5377.39</v>
      </c>
      <c r="AM1592">
        <f t="shared" si="151"/>
        <v>912.610000000001</v>
      </c>
      <c r="AN1592" s="4">
        <f t="shared" si="152"/>
        <v>0.145089030206677</v>
      </c>
      <c r="AO1592" t="s">
        <v>221</v>
      </c>
      <c r="AQ1592" t="s">
        <v>217</v>
      </c>
      <c r="AT1592" t="s">
        <v>558</v>
      </c>
    </row>
    <row r="1593" ht="15.75" customHeight="1" spans="1:46">
      <c r="A1593" t="s">
        <v>2452</v>
      </c>
      <c r="B1593" t="s">
        <v>131</v>
      </c>
      <c r="C1593" t="s">
        <v>2351</v>
      </c>
      <c r="D1593" t="s">
        <v>2352</v>
      </c>
      <c r="E1593" t="s">
        <v>2423</v>
      </c>
      <c r="F1593" t="s">
        <v>2453</v>
      </c>
      <c r="H1593" t="s">
        <v>2355</v>
      </c>
      <c r="I1593" t="s">
        <v>2383</v>
      </c>
      <c r="J1593" t="s">
        <v>1340</v>
      </c>
      <c r="K1593" t="s">
        <v>2371</v>
      </c>
      <c r="Q1593" t="s">
        <v>57</v>
      </c>
      <c r="R1593" t="s">
        <v>2460</v>
      </c>
      <c r="Y1593" t="s">
        <v>2426</v>
      </c>
      <c r="Z1593">
        <v>3917</v>
      </c>
      <c r="AE1593">
        <v>8540</v>
      </c>
      <c r="AF1593" s="4">
        <v>0.37</v>
      </c>
      <c r="AG1593">
        <f t="shared" si="153"/>
        <v>5380.2</v>
      </c>
      <c r="AH1593" s="4">
        <v>0.18</v>
      </c>
      <c r="AI1593">
        <f t="shared" si="148"/>
        <v>6348.64</v>
      </c>
      <c r="AJ1593" s="4">
        <v>0.15</v>
      </c>
      <c r="AK1593">
        <f t="shared" si="149"/>
        <v>952.3</v>
      </c>
      <c r="AL1593">
        <f t="shared" si="150"/>
        <v>7300.94</v>
      </c>
      <c r="AM1593">
        <f t="shared" si="151"/>
        <v>1239.06</v>
      </c>
      <c r="AN1593" s="4">
        <f t="shared" si="152"/>
        <v>0.145088992974239</v>
      </c>
      <c r="AO1593" t="s">
        <v>221</v>
      </c>
      <c r="AQ1593" t="s">
        <v>217</v>
      </c>
      <c r="AT1593" t="s">
        <v>558</v>
      </c>
    </row>
    <row r="1594" ht="15.75" customHeight="1" spans="1:46">
      <c r="A1594" t="s">
        <v>2452</v>
      </c>
      <c r="B1594" t="s">
        <v>133</v>
      </c>
      <c r="C1594" t="s">
        <v>2351</v>
      </c>
      <c r="D1594" t="s">
        <v>2352</v>
      </c>
      <c r="E1594" t="s">
        <v>2423</v>
      </c>
      <c r="F1594" t="s">
        <v>2453</v>
      </c>
      <c r="H1594" t="s">
        <v>2355</v>
      </c>
      <c r="I1594" t="s">
        <v>2385</v>
      </c>
      <c r="J1594" t="s">
        <v>1340</v>
      </c>
      <c r="K1594" t="s">
        <v>2371</v>
      </c>
      <c r="Q1594" t="s">
        <v>57</v>
      </c>
      <c r="R1594" t="s">
        <v>2461</v>
      </c>
      <c r="Y1594" t="s">
        <v>2426</v>
      </c>
      <c r="Z1594">
        <v>3917</v>
      </c>
      <c r="AE1594">
        <v>12440</v>
      </c>
      <c r="AF1594" s="4">
        <v>0.37</v>
      </c>
      <c r="AG1594">
        <f t="shared" si="153"/>
        <v>7837.2</v>
      </c>
      <c r="AH1594" s="4">
        <v>0.18</v>
      </c>
      <c r="AI1594">
        <f t="shared" si="148"/>
        <v>9247.9</v>
      </c>
      <c r="AJ1594" s="4">
        <v>0.15</v>
      </c>
      <c r="AK1594">
        <f t="shared" si="149"/>
        <v>1387.19</v>
      </c>
      <c r="AL1594">
        <f t="shared" si="150"/>
        <v>10635.09</v>
      </c>
      <c r="AM1594">
        <f t="shared" si="151"/>
        <v>1804.91</v>
      </c>
      <c r="AN1594" s="4">
        <f t="shared" si="152"/>
        <v>0.14508922829582</v>
      </c>
      <c r="AO1594" t="s">
        <v>221</v>
      </c>
      <c r="AQ1594" t="s">
        <v>217</v>
      </c>
      <c r="AT1594" t="s">
        <v>558</v>
      </c>
    </row>
    <row r="1595" ht="15.75" customHeight="1" spans="1:46">
      <c r="A1595" t="s">
        <v>2452</v>
      </c>
      <c r="B1595" t="s">
        <v>135</v>
      </c>
      <c r="C1595" t="s">
        <v>2351</v>
      </c>
      <c r="D1595" t="s">
        <v>2352</v>
      </c>
      <c r="E1595" t="s">
        <v>2423</v>
      </c>
      <c r="F1595" t="s">
        <v>2453</v>
      </c>
      <c r="H1595" t="s">
        <v>2355</v>
      </c>
      <c r="I1595" t="s">
        <v>2387</v>
      </c>
      <c r="J1595" t="s">
        <v>1340</v>
      </c>
      <c r="K1595" t="s">
        <v>2371</v>
      </c>
      <c r="Q1595" t="s">
        <v>57</v>
      </c>
      <c r="R1595" t="s">
        <v>2462</v>
      </c>
      <c r="Y1595" t="s">
        <v>2426</v>
      </c>
      <c r="Z1595">
        <v>3917</v>
      </c>
      <c r="AE1595">
        <v>22465</v>
      </c>
      <c r="AF1595" s="4">
        <v>0.37</v>
      </c>
      <c r="AG1595">
        <f t="shared" si="153"/>
        <v>14152.95</v>
      </c>
      <c r="AH1595" s="4">
        <v>0.18</v>
      </c>
      <c r="AI1595">
        <f t="shared" si="148"/>
        <v>16700.48</v>
      </c>
      <c r="AJ1595" s="4">
        <v>0.15</v>
      </c>
      <c r="AK1595">
        <f t="shared" si="149"/>
        <v>2505.07</v>
      </c>
      <c r="AL1595">
        <f t="shared" si="150"/>
        <v>19205.55</v>
      </c>
      <c r="AM1595">
        <f t="shared" si="151"/>
        <v>3259.45</v>
      </c>
      <c r="AN1595" s="4">
        <f t="shared" si="152"/>
        <v>0.145090140218117</v>
      </c>
      <c r="AO1595" t="s">
        <v>221</v>
      </c>
      <c r="AQ1595" t="s">
        <v>217</v>
      </c>
      <c r="AT1595" t="s">
        <v>558</v>
      </c>
    </row>
    <row r="1596" ht="15.75" customHeight="1" spans="1:46">
      <c r="A1596" t="s">
        <v>2452</v>
      </c>
      <c r="B1596" t="s">
        <v>137</v>
      </c>
      <c r="C1596" t="s">
        <v>2351</v>
      </c>
      <c r="D1596" t="s">
        <v>2352</v>
      </c>
      <c r="E1596" t="s">
        <v>2423</v>
      </c>
      <c r="F1596" t="s">
        <v>2453</v>
      </c>
      <c r="H1596" t="s">
        <v>2355</v>
      </c>
      <c r="I1596" t="s">
        <v>2389</v>
      </c>
      <c r="J1596" t="s">
        <v>1340</v>
      </c>
      <c r="K1596" t="s">
        <v>2371</v>
      </c>
      <c r="Q1596" t="s">
        <v>57</v>
      </c>
      <c r="R1596" t="s">
        <v>2463</v>
      </c>
      <c r="Y1596" t="s">
        <v>2426</v>
      </c>
      <c r="Z1596">
        <v>3917</v>
      </c>
      <c r="AE1596">
        <v>34070</v>
      </c>
      <c r="AF1596" s="4">
        <v>0.37</v>
      </c>
      <c r="AG1596">
        <f t="shared" si="153"/>
        <v>21464.1</v>
      </c>
      <c r="AH1596" s="4">
        <v>0.18</v>
      </c>
      <c r="AI1596">
        <f t="shared" si="148"/>
        <v>25327.64</v>
      </c>
      <c r="AJ1596" s="4">
        <v>0.15</v>
      </c>
      <c r="AK1596">
        <f t="shared" si="149"/>
        <v>3799.15</v>
      </c>
      <c r="AL1596">
        <f t="shared" si="150"/>
        <v>29126.79</v>
      </c>
      <c r="AM1596">
        <f t="shared" si="151"/>
        <v>4943.21</v>
      </c>
      <c r="AN1596" s="4">
        <f t="shared" si="152"/>
        <v>0.145089815086586</v>
      </c>
      <c r="AO1596" t="s">
        <v>221</v>
      </c>
      <c r="AQ1596" t="s">
        <v>217</v>
      </c>
      <c r="AT1596" t="s">
        <v>558</v>
      </c>
    </row>
    <row r="1597" ht="15.75" customHeight="1" spans="1:46">
      <c r="A1597" t="s">
        <v>2464</v>
      </c>
      <c r="B1597" t="s">
        <v>46</v>
      </c>
      <c r="C1597" t="s">
        <v>2351</v>
      </c>
      <c r="D1597" t="s">
        <v>2352</v>
      </c>
      <c r="E1597" t="s">
        <v>2423</v>
      </c>
      <c r="F1597" t="s">
        <v>2465</v>
      </c>
      <c r="H1597" t="s">
        <v>2355</v>
      </c>
      <c r="I1597" t="s">
        <v>2380</v>
      </c>
      <c r="J1597" t="s">
        <v>1340</v>
      </c>
      <c r="K1597" t="s">
        <v>2357</v>
      </c>
      <c r="Q1597" t="s">
        <v>57</v>
      </c>
      <c r="R1597" t="s">
        <v>2466</v>
      </c>
      <c r="Y1597" t="s">
        <v>2426</v>
      </c>
      <c r="Z1597">
        <v>3917</v>
      </c>
      <c r="AE1597">
        <v>5286</v>
      </c>
      <c r="AF1597" s="4">
        <v>0.37</v>
      </c>
      <c r="AG1597">
        <f t="shared" si="153"/>
        <v>3330.18</v>
      </c>
      <c r="AH1597" s="4">
        <v>0.18</v>
      </c>
      <c r="AI1597">
        <f t="shared" si="148"/>
        <v>3929.61</v>
      </c>
      <c r="AJ1597" s="4">
        <v>0.15</v>
      </c>
      <c r="AK1597">
        <f t="shared" si="149"/>
        <v>589.44</v>
      </c>
      <c r="AL1597">
        <f t="shared" si="150"/>
        <v>4519.05</v>
      </c>
      <c r="AM1597">
        <f t="shared" si="151"/>
        <v>766.95</v>
      </c>
      <c r="AN1597" s="4">
        <f t="shared" si="152"/>
        <v>0.145090805902384</v>
      </c>
      <c r="AO1597" t="s">
        <v>221</v>
      </c>
      <c r="AQ1597" t="s">
        <v>217</v>
      </c>
      <c r="AT1597" t="s">
        <v>558</v>
      </c>
    </row>
    <row r="1598" ht="15.75" customHeight="1" spans="1:46">
      <c r="A1598" t="s">
        <v>2464</v>
      </c>
      <c r="B1598" t="s">
        <v>67</v>
      </c>
      <c r="C1598" t="s">
        <v>2351</v>
      </c>
      <c r="D1598" t="s">
        <v>2352</v>
      </c>
      <c r="E1598" t="s">
        <v>2423</v>
      </c>
      <c r="F1598" t="s">
        <v>2465</v>
      </c>
      <c r="H1598" t="s">
        <v>2355</v>
      </c>
      <c r="I1598" t="s">
        <v>2383</v>
      </c>
      <c r="J1598" t="s">
        <v>1340</v>
      </c>
      <c r="K1598" t="s">
        <v>2357</v>
      </c>
      <c r="Q1598" t="s">
        <v>57</v>
      </c>
      <c r="R1598" t="s">
        <v>2467</v>
      </c>
      <c r="Y1598" t="s">
        <v>2426</v>
      </c>
      <c r="Z1598">
        <v>3917</v>
      </c>
      <c r="AE1598">
        <v>7125</v>
      </c>
      <c r="AF1598" s="4">
        <v>0.37</v>
      </c>
      <c r="AG1598">
        <f t="shared" si="153"/>
        <v>4488.75</v>
      </c>
      <c r="AH1598" s="4">
        <v>0.18</v>
      </c>
      <c r="AI1598">
        <f t="shared" si="148"/>
        <v>5296.73</v>
      </c>
      <c r="AJ1598" s="4">
        <v>0.15</v>
      </c>
      <c r="AK1598">
        <f t="shared" si="149"/>
        <v>794.51</v>
      </c>
      <c r="AL1598">
        <f t="shared" si="150"/>
        <v>6091.24</v>
      </c>
      <c r="AM1598">
        <f t="shared" si="151"/>
        <v>1033.76</v>
      </c>
      <c r="AN1598" s="4">
        <f t="shared" si="152"/>
        <v>0.145089122807018</v>
      </c>
      <c r="AO1598" t="s">
        <v>221</v>
      </c>
      <c r="AQ1598" t="s">
        <v>217</v>
      </c>
      <c r="AT1598" t="s">
        <v>558</v>
      </c>
    </row>
    <row r="1599" ht="15.75" customHeight="1" spans="1:46">
      <c r="A1599" t="s">
        <v>2464</v>
      </c>
      <c r="B1599" t="s">
        <v>71</v>
      </c>
      <c r="C1599" t="s">
        <v>2351</v>
      </c>
      <c r="D1599" t="s">
        <v>2352</v>
      </c>
      <c r="E1599" t="s">
        <v>2423</v>
      </c>
      <c r="F1599" t="s">
        <v>2465</v>
      </c>
      <c r="H1599" t="s">
        <v>2355</v>
      </c>
      <c r="I1599" t="s">
        <v>2385</v>
      </c>
      <c r="J1599" t="s">
        <v>1340</v>
      </c>
      <c r="K1599" t="s">
        <v>2357</v>
      </c>
      <c r="Q1599" t="s">
        <v>57</v>
      </c>
      <c r="R1599" t="s">
        <v>2468</v>
      </c>
      <c r="Y1599" t="s">
        <v>2426</v>
      </c>
      <c r="Z1599">
        <v>3917</v>
      </c>
      <c r="AE1599">
        <v>10383</v>
      </c>
      <c r="AF1599" s="4">
        <v>0.37</v>
      </c>
      <c r="AG1599">
        <f t="shared" si="153"/>
        <v>6541.29</v>
      </c>
      <c r="AH1599" s="4">
        <v>0.18</v>
      </c>
      <c r="AI1599">
        <f t="shared" si="148"/>
        <v>7718.72</v>
      </c>
      <c r="AJ1599" s="4">
        <v>0.15</v>
      </c>
      <c r="AK1599">
        <f t="shared" si="149"/>
        <v>1157.81</v>
      </c>
      <c r="AL1599">
        <f t="shared" si="150"/>
        <v>8876.53</v>
      </c>
      <c r="AM1599">
        <f t="shared" si="151"/>
        <v>1506.47</v>
      </c>
      <c r="AN1599" s="4">
        <f t="shared" si="152"/>
        <v>0.145090051044977</v>
      </c>
      <c r="AO1599" t="s">
        <v>221</v>
      </c>
      <c r="AQ1599" t="s">
        <v>217</v>
      </c>
      <c r="AT1599" t="s">
        <v>558</v>
      </c>
    </row>
    <row r="1600" ht="15.75" customHeight="1" spans="1:46">
      <c r="A1600" t="s">
        <v>2464</v>
      </c>
      <c r="B1600" t="s">
        <v>75</v>
      </c>
      <c r="C1600" t="s">
        <v>2351</v>
      </c>
      <c r="D1600" t="s">
        <v>2352</v>
      </c>
      <c r="E1600" t="s">
        <v>2423</v>
      </c>
      <c r="F1600" t="s">
        <v>2465</v>
      </c>
      <c r="H1600" t="s">
        <v>2355</v>
      </c>
      <c r="I1600" t="s">
        <v>2387</v>
      </c>
      <c r="J1600" t="s">
        <v>1340</v>
      </c>
      <c r="K1600" t="s">
        <v>2357</v>
      </c>
      <c r="Q1600" t="s">
        <v>57</v>
      </c>
      <c r="R1600" t="s">
        <v>2469</v>
      </c>
      <c r="Y1600" t="s">
        <v>2426</v>
      </c>
      <c r="Z1600">
        <v>3917</v>
      </c>
      <c r="AE1600">
        <v>21207</v>
      </c>
      <c r="AF1600" s="4">
        <v>0.37</v>
      </c>
      <c r="AG1600">
        <f t="shared" si="153"/>
        <v>13360.41</v>
      </c>
      <c r="AH1600" s="4">
        <v>0.18</v>
      </c>
      <c r="AI1600">
        <f t="shared" si="148"/>
        <v>15765.28</v>
      </c>
      <c r="AJ1600" s="4">
        <v>0.15</v>
      </c>
      <c r="AK1600">
        <f t="shared" si="149"/>
        <v>2364.79</v>
      </c>
      <c r="AL1600">
        <f t="shared" si="150"/>
        <v>18130.07</v>
      </c>
      <c r="AM1600">
        <f t="shared" si="151"/>
        <v>3076.93</v>
      </c>
      <c r="AN1600" s="4">
        <f t="shared" si="152"/>
        <v>0.145090300372519</v>
      </c>
      <c r="AO1600" t="s">
        <v>221</v>
      </c>
      <c r="AQ1600" t="s">
        <v>217</v>
      </c>
      <c r="AT1600" t="s">
        <v>558</v>
      </c>
    </row>
    <row r="1601" ht="15.75" customHeight="1" spans="1:46">
      <c r="A1601" t="s">
        <v>2464</v>
      </c>
      <c r="B1601" t="s">
        <v>79</v>
      </c>
      <c r="C1601" t="s">
        <v>2351</v>
      </c>
      <c r="D1601" t="s">
        <v>2352</v>
      </c>
      <c r="E1601" t="s">
        <v>2423</v>
      </c>
      <c r="F1601" t="s">
        <v>2465</v>
      </c>
      <c r="H1601" t="s">
        <v>2355</v>
      </c>
      <c r="I1601" t="s">
        <v>2389</v>
      </c>
      <c r="J1601" t="s">
        <v>1340</v>
      </c>
      <c r="K1601" t="s">
        <v>2357</v>
      </c>
      <c r="Q1601" t="s">
        <v>57</v>
      </c>
      <c r="R1601" t="s">
        <v>2470</v>
      </c>
      <c r="Y1601" t="s">
        <v>2426</v>
      </c>
      <c r="Z1601">
        <v>3917</v>
      </c>
      <c r="AE1601">
        <v>33531</v>
      </c>
      <c r="AF1601" s="4">
        <v>0.37</v>
      </c>
      <c r="AG1601">
        <f t="shared" si="153"/>
        <v>21124.53</v>
      </c>
      <c r="AH1601" s="4">
        <v>0.18</v>
      </c>
      <c r="AI1601">
        <f t="shared" si="148"/>
        <v>24926.95</v>
      </c>
      <c r="AJ1601" s="4">
        <v>0.15</v>
      </c>
      <c r="AK1601">
        <f t="shared" si="149"/>
        <v>3739.04</v>
      </c>
      <c r="AL1601">
        <f t="shared" si="150"/>
        <v>28665.99</v>
      </c>
      <c r="AM1601">
        <f t="shared" si="151"/>
        <v>4865.01</v>
      </c>
      <c r="AN1601" s="4">
        <f t="shared" si="152"/>
        <v>0.145089916793415</v>
      </c>
      <c r="AO1601" t="s">
        <v>221</v>
      </c>
      <c r="AQ1601" t="s">
        <v>217</v>
      </c>
      <c r="AT1601" t="s">
        <v>558</v>
      </c>
    </row>
    <row r="1602" ht="15.75" customHeight="1" spans="1:46">
      <c r="A1602" t="s">
        <v>2464</v>
      </c>
      <c r="B1602" t="s">
        <v>83</v>
      </c>
      <c r="C1602" t="s">
        <v>2351</v>
      </c>
      <c r="D1602" t="s">
        <v>2352</v>
      </c>
      <c r="E1602" t="s">
        <v>2423</v>
      </c>
      <c r="F1602" t="s">
        <v>2465</v>
      </c>
      <c r="H1602" t="s">
        <v>2355</v>
      </c>
      <c r="I1602" t="s">
        <v>2471</v>
      </c>
      <c r="J1602" t="s">
        <v>1340</v>
      </c>
      <c r="K1602" t="s">
        <v>2357</v>
      </c>
      <c r="Q1602" t="s">
        <v>57</v>
      </c>
      <c r="R1602" t="s">
        <v>2472</v>
      </c>
      <c r="Y1602" t="s">
        <v>2426</v>
      </c>
      <c r="Z1602">
        <v>3917</v>
      </c>
      <c r="AE1602">
        <v>42150</v>
      </c>
      <c r="AF1602" s="4">
        <v>0.37</v>
      </c>
      <c r="AG1602">
        <f t="shared" si="153"/>
        <v>26554.5</v>
      </c>
      <c r="AH1602" s="4">
        <v>0.18</v>
      </c>
      <c r="AI1602">
        <f t="shared" ref="AI1602:AI1665" si="154">ROUND(AG1602+(AG1602*AH1602),2)</f>
        <v>31334.31</v>
      </c>
      <c r="AJ1602" s="4">
        <v>0.15</v>
      </c>
      <c r="AK1602">
        <f t="shared" ref="AK1602:AK1665" si="155">ROUND(AI1602*AJ1602,2)</f>
        <v>4700.15</v>
      </c>
      <c r="AL1602">
        <f t="shared" ref="AL1602:AL1665" si="156">AI1602+AK1602</f>
        <v>36034.46</v>
      </c>
      <c r="AM1602">
        <f t="shared" ref="AM1602:AM1665" si="157">AE1602-AL1602</f>
        <v>6115.54</v>
      </c>
      <c r="AN1602" s="4">
        <f t="shared" ref="AN1602:AN1665" si="158">AM1602/AE1602</f>
        <v>0.145089916963227</v>
      </c>
      <c r="AO1602" t="s">
        <v>221</v>
      </c>
      <c r="AQ1602" t="s">
        <v>217</v>
      </c>
      <c r="AT1602" t="s">
        <v>558</v>
      </c>
    </row>
    <row r="1603" ht="15.75" customHeight="1" spans="1:46">
      <c r="A1603" t="s">
        <v>2464</v>
      </c>
      <c r="B1603" t="s">
        <v>131</v>
      </c>
      <c r="C1603" t="s">
        <v>2351</v>
      </c>
      <c r="D1603" t="s">
        <v>2352</v>
      </c>
      <c r="E1603" t="s">
        <v>2423</v>
      </c>
      <c r="F1603" t="s">
        <v>2465</v>
      </c>
      <c r="H1603" t="s">
        <v>2355</v>
      </c>
      <c r="I1603" t="s">
        <v>2380</v>
      </c>
      <c r="J1603" t="s">
        <v>1340</v>
      </c>
      <c r="K1603" t="s">
        <v>2371</v>
      </c>
      <c r="Q1603" t="s">
        <v>57</v>
      </c>
      <c r="R1603" t="s">
        <v>2473</v>
      </c>
      <c r="Y1603" t="s">
        <v>2426</v>
      </c>
      <c r="Z1603">
        <v>3917</v>
      </c>
      <c r="AE1603">
        <v>8810</v>
      </c>
      <c r="AF1603" s="4">
        <v>0.37</v>
      </c>
      <c r="AG1603">
        <f t="shared" si="153"/>
        <v>5550.3</v>
      </c>
      <c r="AH1603" s="4">
        <v>0.18</v>
      </c>
      <c r="AI1603">
        <f t="shared" si="154"/>
        <v>6549.35</v>
      </c>
      <c r="AJ1603" s="4">
        <v>0.15</v>
      </c>
      <c r="AK1603">
        <f t="shared" si="155"/>
        <v>982.4</v>
      </c>
      <c r="AL1603">
        <f t="shared" si="156"/>
        <v>7531.75</v>
      </c>
      <c r="AM1603">
        <f t="shared" si="157"/>
        <v>1278.25</v>
      </c>
      <c r="AN1603" s="4">
        <f t="shared" si="158"/>
        <v>0.145090805902384</v>
      </c>
      <c r="AO1603" t="s">
        <v>221</v>
      </c>
      <c r="AQ1603" t="s">
        <v>217</v>
      </c>
      <c r="AT1603" t="s">
        <v>558</v>
      </c>
    </row>
    <row r="1604" ht="15.75" customHeight="1" spans="1:46">
      <c r="A1604" t="s">
        <v>2464</v>
      </c>
      <c r="B1604" t="s">
        <v>133</v>
      </c>
      <c r="C1604" t="s">
        <v>2351</v>
      </c>
      <c r="D1604" t="s">
        <v>2352</v>
      </c>
      <c r="E1604" t="s">
        <v>2423</v>
      </c>
      <c r="F1604" t="s">
        <v>2465</v>
      </c>
      <c r="H1604" t="s">
        <v>2355</v>
      </c>
      <c r="I1604" t="s">
        <v>2383</v>
      </c>
      <c r="J1604" t="s">
        <v>1340</v>
      </c>
      <c r="K1604" t="s">
        <v>2371</v>
      </c>
      <c r="Q1604" t="s">
        <v>57</v>
      </c>
      <c r="R1604" t="s">
        <v>2474</v>
      </c>
      <c r="Y1604" t="s">
        <v>2426</v>
      </c>
      <c r="Z1604">
        <v>3917</v>
      </c>
      <c r="AE1604">
        <v>11875</v>
      </c>
      <c r="AF1604" s="4">
        <v>0.37</v>
      </c>
      <c r="AG1604">
        <f t="shared" ref="AG1604:AG1667" si="159">ROUND(AE1604-(AE1604*AF1604),2)</f>
        <v>7481.25</v>
      </c>
      <c r="AH1604" s="4">
        <v>0.18</v>
      </c>
      <c r="AI1604">
        <f t="shared" si="154"/>
        <v>8827.88</v>
      </c>
      <c r="AJ1604" s="4">
        <v>0.15</v>
      </c>
      <c r="AK1604">
        <f t="shared" si="155"/>
        <v>1324.18</v>
      </c>
      <c r="AL1604">
        <f t="shared" si="156"/>
        <v>10152.06</v>
      </c>
      <c r="AM1604">
        <f t="shared" si="157"/>
        <v>1722.94</v>
      </c>
      <c r="AN1604" s="4">
        <f t="shared" si="158"/>
        <v>0.145089684210526</v>
      </c>
      <c r="AO1604" t="s">
        <v>221</v>
      </c>
      <c r="AQ1604" t="s">
        <v>217</v>
      </c>
      <c r="AT1604" t="s">
        <v>558</v>
      </c>
    </row>
    <row r="1605" ht="15.75" customHeight="1" spans="1:46">
      <c r="A1605" t="s">
        <v>2464</v>
      </c>
      <c r="B1605" t="s">
        <v>135</v>
      </c>
      <c r="C1605" t="s">
        <v>2351</v>
      </c>
      <c r="D1605" t="s">
        <v>2352</v>
      </c>
      <c r="E1605" t="s">
        <v>2423</v>
      </c>
      <c r="F1605" t="s">
        <v>2465</v>
      </c>
      <c r="H1605" t="s">
        <v>2355</v>
      </c>
      <c r="I1605" t="s">
        <v>2385</v>
      </c>
      <c r="J1605" t="s">
        <v>1340</v>
      </c>
      <c r="K1605" t="s">
        <v>2371</v>
      </c>
      <c r="Q1605" t="s">
        <v>57</v>
      </c>
      <c r="R1605" t="s">
        <v>2475</v>
      </c>
      <c r="Y1605" t="s">
        <v>2426</v>
      </c>
      <c r="Z1605">
        <v>3917</v>
      </c>
      <c r="AE1605">
        <v>17305</v>
      </c>
      <c r="AF1605" s="4">
        <v>0.37</v>
      </c>
      <c r="AG1605">
        <f t="shared" si="159"/>
        <v>10902.15</v>
      </c>
      <c r="AH1605" s="4">
        <v>0.18</v>
      </c>
      <c r="AI1605">
        <f t="shared" si="154"/>
        <v>12864.54</v>
      </c>
      <c r="AJ1605" s="4">
        <v>0.15</v>
      </c>
      <c r="AK1605">
        <f t="shared" si="155"/>
        <v>1929.68</v>
      </c>
      <c r="AL1605">
        <f t="shared" si="156"/>
        <v>14794.22</v>
      </c>
      <c r="AM1605">
        <f t="shared" si="157"/>
        <v>2510.78</v>
      </c>
      <c r="AN1605" s="4">
        <f t="shared" si="158"/>
        <v>0.145089858422421</v>
      </c>
      <c r="AO1605" t="s">
        <v>221</v>
      </c>
      <c r="AQ1605" t="s">
        <v>217</v>
      </c>
      <c r="AT1605" t="s">
        <v>558</v>
      </c>
    </row>
    <row r="1606" ht="15.75" customHeight="1" spans="1:46">
      <c r="A1606" t="s">
        <v>2464</v>
      </c>
      <c r="B1606" t="s">
        <v>137</v>
      </c>
      <c r="C1606" t="s">
        <v>2351</v>
      </c>
      <c r="D1606" t="s">
        <v>2352</v>
      </c>
      <c r="E1606" t="s">
        <v>2423</v>
      </c>
      <c r="F1606" t="s">
        <v>2465</v>
      </c>
      <c r="H1606" t="s">
        <v>2355</v>
      </c>
      <c r="I1606" t="s">
        <v>2387</v>
      </c>
      <c r="J1606" t="s">
        <v>1340</v>
      </c>
      <c r="K1606" t="s">
        <v>2371</v>
      </c>
      <c r="Q1606" t="s">
        <v>57</v>
      </c>
      <c r="R1606" t="s">
        <v>2476</v>
      </c>
      <c r="Y1606" t="s">
        <v>2426</v>
      </c>
      <c r="Z1606">
        <v>3917</v>
      </c>
      <c r="AE1606">
        <v>35345</v>
      </c>
      <c r="AF1606" s="4">
        <v>0.37</v>
      </c>
      <c r="AG1606">
        <f t="shared" si="159"/>
        <v>22267.35</v>
      </c>
      <c r="AH1606" s="4">
        <v>0.18</v>
      </c>
      <c r="AI1606">
        <f t="shared" si="154"/>
        <v>26275.47</v>
      </c>
      <c r="AJ1606" s="4">
        <v>0.15</v>
      </c>
      <c r="AK1606">
        <f t="shared" si="155"/>
        <v>3941.32</v>
      </c>
      <c r="AL1606">
        <f t="shared" si="156"/>
        <v>30216.79</v>
      </c>
      <c r="AM1606">
        <f t="shared" si="157"/>
        <v>5128.21</v>
      </c>
      <c r="AN1606" s="4">
        <f t="shared" si="158"/>
        <v>0.145090111755552</v>
      </c>
      <c r="AO1606" t="s">
        <v>221</v>
      </c>
      <c r="AQ1606" t="s">
        <v>217</v>
      </c>
      <c r="AT1606" t="s">
        <v>558</v>
      </c>
    </row>
    <row r="1607" ht="15.75" customHeight="1" spans="1:46">
      <c r="A1607" t="s">
        <v>2464</v>
      </c>
      <c r="B1607" t="s">
        <v>138</v>
      </c>
      <c r="C1607" t="s">
        <v>2351</v>
      </c>
      <c r="D1607" t="s">
        <v>2352</v>
      </c>
      <c r="E1607" t="s">
        <v>2423</v>
      </c>
      <c r="F1607" t="s">
        <v>2465</v>
      </c>
      <c r="H1607" t="s">
        <v>2355</v>
      </c>
      <c r="I1607" t="s">
        <v>2389</v>
      </c>
      <c r="J1607" t="s">
        <v>1340</v>
      </c>
      <c r="K1607" t="s">
        <v>2371</v>
      </c>
      <c r="Q1607" t="s">
        <v>57</v>
      </c>
      <c r="R1607" t="s">
        <v>2477</v>
      </c>
      <c r="Y1607" t="s">
        <v>2426</v>
      </c>
      <c r="Z1607">
        <v>3917</v>
      </c>
      <c r="AE1607">
        <v>55885</v>
      </c>
      <c r="AF1607" s="4">
        <v>0.37</v>
      </c>
      <c r="AG1607">
        <f t="shared" si="159"/>
        <v>35207.55</v>
      </c>
      <c r="AH1607" s="4">
        <v>0.18</v>
      </c>
      <c r="AI1607">
        <f t="shared" si="154"/>
        <v>41544.91</v>
      </c>
      <c r="AJ1607" s="4">
        <v>0.15</v>
      </c>
      <c r="AK1607">
        <f t="shared" si="155"/>
        <v>6231.74</v>
      </c>
      <c r="AL1607">
        <f t="shared" si="156"/>
        <v>47776.65</v>
      </c>
      <c r="AM1607">
        <f t="shared" si="157"/>
        <v>8108.35</v>
      </c>
      <c r="AN1607" s="4">
        <f t="shared" si="158"/>
        <v>0.145089916793415</v>
      </c>
      <c r="AO1607" t="s">
        <v>221</v>
      </c>
      <c r="AQ1607" t="s">
        <v>217</v>
      </c>
      <c r="AT1607" t="s">
        <v>558</v>
      </c>
    </row>
    <row r="1608" ht="15.75" customHeight="1" spans="1:46">
      <c r="A1608" t="s">
        <v>2464</v>
      </c>
      <c r="B1608" t="s">
        <v>140</v>
      </c>
      <c r="C1608" t="s">
        <v>2351</v>
      </c>
      <c r="D1608" t="s">
        <v>2352</v>
      </c>
      <c r="E1608" t="s">
        <v>2423</v>
      </c>
      <c r="F1608" t="s">
        <v>2465</v>
      </c>
      <c r="H1608" t="s">
        <v>2355</v>
      </c>
      <c r="I1608" t="s">
        <v>2471</v>
      </c>
      <c r="J1608" t="s">
        <v>1340</v>
      </c>
      <c r="K1608" t="s">
        <v>2371</v>
      </c>
      <c r="Q1608" t="s">
        <v>57</v>
      </c>
      <c r="R1608" t="s">
        <v>2478</v>
      </c>
      <c r="Y1608" t="s">
        <v>2426</v>
      </c>
      <c r="Z1608">
        <v>3917</v>
      </c>
      <c r="AE1608">
        <v>70250</v>
      </c>
      <c r="AF1608" s="4">
        <v>0.37</v>
      </c>
      <c r="AG1608">
        <f t="shared" si="159"/>
        <v>44257.5</v>
      </c>
      <c r="AH1608" s="4">
        <v>0.18</v>
      </c>
      <c r="AI1608">
        <f t="shared" si="154"/>
        <v>52223.85</v>
      </c>
      <c r="AJ1608" s="4">
        <v>0.15</v>
      </c>
      <c r="AK1608">
        <f t="shared" si="155"/>
        <v>7833.58</v>
      </c>
      <c r="AL1608">
        <f t="shared" si="156"/>
        <v>60057.43</v>
      </c>
      <c r="AM1608">
        <f t="shared" si="157"/>
        <v>10192.57</v>
      </c>
      <c r="AN1608" s="4">
        <f t="shared" si="158"/>
        <v>0.145089964412811</v>
      </c>
      <c r="AO1608" t="s">
        <v>221</v>
      </c>
      <c r="AQ1608" t="s">
        <v>217</v>
      </c>
      <c r="AT1608" t="s">
        <v>558</v>
      </c>
    </row>
    <row r="1609" ht="15.75" customHeight="1" spans="1:46">
      <c r="A1609" t="s">
        <v>2479</v>
      </c>
      <c r="B1609" t="s">
        <v>46</v>
      </c>
      <c r="C1609" t="s">
        <v>2351</v>
      </c>
      <c r="D1609" t="s">
        <v>2480</v>
      </c>
      <c r="E1609" t="s">
        <v>2353</v>
      </c>
      <c r="F1609" t="s">
        <v>2481</v>
      </c>
      <c r="H1609" t="s">
        <v>2355</v>
      </c>
      <c r="I1609" t="s">
        <v>2356</v>
      </c>
      <c r="Q1609" t="s">
        <v>57</v>
      </c>
      <c r="R1609" t="s">
        <v>2482</v>
      </c>
      <c r="Y1609" t="s">
        <v>2483</v>
      </c>
      <c r="Z1609">
        <v>3917</v>
      </c>
      <c r="AE1609">
        <v>21</v>
      </c>
      <c r="AF1609" s="4">
        <v>0.5</v>
      </c>
      <c r="AG1609">
        <f t="shared" si="159"/>
        <v>10.5</v>
      </c>
      <c r="AH1609" s="4">
        <v>0.18</v>
      </c>
      <c r="AI1609">
        <f t="shared" si="154"/>
        <v>12.39</v>
      </c>
      <c r="AJ1609" s="4">
        <v>0.15</v>
      </c>
      <c r="AK1609">
        <f t="shared" si="155"/>
        <v>1.86</v>
      </c>
      <c r="AL1609">
        <f t="shared" si="156"/>
        <v>14.25</v>
      </c>
      <c r="AM1609">
        <f t="shared" si="157"/>
        <v>6.75</v>
      </c>
      <c r="AN1609" s="4">
        <f t="shared" si="158"/>
        <v>0.321428571428571</v>
      </c>
      <c r="AO1609" t="s">
        <v>221</v>
      </c>
      <c r="AQ1609" t="s">
        <v>217</v>
      </c>
      <c r="AT1609" t="s">
        <v>1662</v>
      </c>
    </row>
    <row r="1610" ht="15.75" customHeight="1" spans="1:46">
      <c r="A1610" t="s">
        <v>2479</v>
      </c>
      <c r="B1610" t="s">
        <v>67</v>
      </c>
      <c r="C1610" t="s">
        <v>2351</v>
      </c>
      <c r="D1610" t="s">
        <v>2480</v>
      </c>
      <c r="E1610" t="s">
        <v>2353</v>
      </c>
      <c r="F1610" t="s">
        <v>2481</v>
      </c>
      <c r="H1610" t="s">
        <v>2355</v>
      </c>
      <c r="I1610" t="s">
        <v>2360</v>
      </c>
      <c r="Q1610" t="s">
        <v>57</v>
      </c>
      <c r="R1610" t="s">
        <v>2484</v>
      </c>
      <c r="Y1610" t="s">
        <v>2483</v>
      </c>
      <c r="Z1610">
        <v>3917</v>
      </c>
      <c r="AE1610">
        <v>2</v>
      </c>
      <c r="AF1610" s="4">
        <v>0.5</v>
      </c>
      <c r="AG1610">
        <f t="shared" si="159"/>
        <v>1</v>
      </c>
      <c r="AH1610" s="4">
        <v>0.18</v>
      </c>
      <c r="AI1610">
        <f t="shared" si="154"/>
        <v>1.18</v>
      </c>
      <c r="AJ1610" s="4">
        <v>0.15</v>
      </c>
      <c r="AK1610">
        <f t="shared" si="155"/>
        <v>0.18</v>
      </c>
      <c r="AL1610">
        <f t="shared" si="156"/>
        <v>1.36</v>
      </c>
      <c r="AM1610">
        <f t="shared" si="157"/>
        <v>0.64</v>
      </c>
      <c r="AN1610" s="4">
        <f t="shared" si="158"/>
        <v>0.32</v>
      </c>
      <c r="AO1610" t="s">
        <v>221</v>
      </c>
      <c r="AQ1610" t="s">
        <v>217</v>
      </c>
      <c r="AT1610" t="s">
        <v>1662</v>
      </c>
    </row>
    <row r="1611" ht="15.75" customHeight="1" spans="1:46">
      <c r="A1611" t="s">
        <v>2479</v>
      </c>
      <c r="B1611" t="s">
        <v>71</v>
      </c>
      <c r="C1611" t="s">
        <v>2351</v>
      </c>
      <c r="D1611" t="s">
        <v>2480</v>
      </c>
      <c r="E1611" t="s">
        <v>2353</v>
      </c>
      <c r="F1611" t="s">
        <v>2481</v>
      </c>
      <c r="H1611" t="s">
        <v>2355</v>
      </c>
      <c r="I1611" t="s">
        <v>2363</v>
      </c>
      <c r="Q1611" t="s">
        <v>57</v>
      </c>
      <c r="R1611" t="s">
        <v>2485</v>
      </c>
      <c r="Y1611" t="s">
        <v>2483</v>
      </c>
      <c r="Z1611">
        <v>3917</v>
      </c>
      <c r="AE1611">
        <v>39</v>
      </c>
      <c r="AF1611" s="4">
        <v>0.5</v>
      </c>
      <c r="AG1611">
        <f t="shared" si="159"/>
        <v>19.5</v>
      </c>
      <c r="AH1611" s="4">
        <v>0.18</v>
      </c>
      <c r="AI1611">
        <f t="shared" si="154"/>
        <v>23.01</v>
      </c>
      <c r="AJ1611" s="4">
        <v>0.15</v>
      </c>
      <c r="AK1611">
        <f t="shared" si="155"/>
        <v>3.45</v>
      </c>
      <c r="AL1611">
        <f t="shared" si="156"/>
        <v>26.46</v>
      </c>
      <c r="AM1611">
        <f t="shared" si="157"/>
        <v>12.54</v>
      </c>
      <c r="AN1611" s="4">
        <f t="shared" si="158"/>
        <v>0.321538461538461</v>
      </c>
      <c r="AO1611" t="s">
        <v>221</v>
      </c>
      <c r="AQ1611" t="s">
        <v>217</v>
      </c>
      <c r="AT1611" t="s">
        <v>1662</v>
      </c>
    </row>
    <row r="1612" ht="15.75" customHeight="1" spans="1:46">
      <c r="A1612" t="s">
        <v>2479</v>
      </c>
      <c r="B1612" t="s">
        <v>75</v>
      </c>
      <c r="C1612" t="s">
        <v>2351</v>
      </c>
      <c r="D1612" t="s">
        <v>2480</v>
      </c>
      <c r="E1612" t="s">
        <v>2353</v>
      </c>
      <c r="F1612" t="s">
        <v>2481</v>
      </c>
      <c r="H1612" t="s">
        <v>2355</v>
      </c>
      <c r="I1612" t="s">
        <v>2365</v>
      </c>
      <c r="Q1612" t="s">
        <v>57</v>
      </c>
      <c r="R1612" t="s">
        <v>2486</v>
      </c>
      <c r="Y1612" t="s">
        <v>2483</v>
      </c>
      <c r="Z1612">
        <v>3917</v>
      </c>
      <c r="AE1612">
        <v>80</v>
      </c>
      <c r="AF1612" s="4">
        <v>0.5</v>
      </c>
      <c r="AG1612">
        <f t="shared" si="159"/>
        <v>40</v>
      </c>
      <c r="AH1612" s="4">
        <v>0.18</v>
      </c>
      <c r="AI1612">
        <f t="shared" si="154"/>
        <v>47.2</v>
      </c>
      <c r="AJ1612" s="4">
        <v>0.15</v>
      </c>
      <c r="AK1612">
        <f t="shared" si="155"/>
        <v>7.08</v>
      </c>
      <c r="AL1612">
        <f t="shared" si="156"/>
        <v>54.28</v>
      </c>
      <c r="AM1612">
        <f t="shared" si="157"/>
        <v>25.72</v>
      </c>
      <c r="AN1612" s="4">
        <f t="shared" si="158"/>
        <v>0.3215</v>
      </c>
      <c r="AO1612" t="s">
        <v>221</v>
      </c>
      <c r="AQ1612" t="s">
        <v>217</v>
      </c>
      <c r="AT1612" t="s">
        <v>1662</v>
      </c>
    </row>
    <row r="1613" ht="15.75" customHeight="1" spans="1:46">
      <c r="A1613" t="s">
        <v>2479</v>
      </c>
      <c r="B1613" t="s">
        <v>79</v>
      </c>
      <c r="C1613" t="s">
        <v>2351</v>
      </c>
      <c r="D1613" t="s">
        <v>2480</v>
      </c>
      <c r="E1613" t="s">
        <v>2353</v>
      </c>
      <c r="F1613" t="s">
        <v>2481</v>
      </c>
      <c r="H1613" t="s">
        <v>2355</v>
      </c>
      <c r="I1613" t="s">
        <v>2367</v>
      </c>
      <c r="Q1613" t="s">
        <v>57</v>
      </c>
      <c r="R1613" t="s">
        <v>2487</v>
      </c>
      <c r="Y1613" t="s">
        <v>2483</v>
      </c>
      <c r="Z1613">
        <v>3917</v>
      </c>
      <c r="AE1613">
        <v>146</v>
      </c>
      <c r="AF1613" s="4">
        <v>0.5</v>
      </c>
      <c r="AG1613">
        <f t="shared" si="159"/>
        <v>73</v>
      </c>
      <c r="AH1613" s="4">
        <v>0.18</v>
      </c>
      <c r="AI1613">
        <f t="shared" si="154"/>
        <v>86.14</v>
      </c>
      <c r="AJ1613" s="4">
        <v>0.15</v>
      </c>
      <c r="AK1613">
        <f t="shared" si="155"/>
        <v>12.92</v>
      </c>
      <c r="AL1613">
        <f t="shared" si="156"/>
        <v>99.06</v>
      </c>
      <c r="AM1613">
        <f t="shared" si="157"/>
        <v>46.94</v>
      </c>
      <c r="AN1613" s="4">
        <f t="shared" si="158"/>
        <v>0.321506849315068</v>
      </c>
      <c r="AO1613" t="s">
        <v>221</v>
      </c>
      <c r="AQ1613" t="s">
        <v>217</v>
      </c>
      <c r="AT1613" t="s">
        <v>1662</v>
      </c>
    </row>
    <row r="1614" ht="15.75" customHeight="1" spans="1:46">
      <c r="A1614" t="s">
        <v>2479</v>
      </c>
      <c r="B1614" t="s">
        <v>83</v>
      </c>
      <c r="C1614" t="s">
        <v>2351</v>
      </c>
      <c r="D1614" t="s">
        <v>2480</v>
      </c>
      <c r="E1614" t="s">
        <v>2353</v>
      </c>
      <c r="F1614" t="s">
        <v>2481</v>
      </c>
      <c r="H1614" t="s">
        <v>2355</v>
      </c>
      <c r="I1614" t="s">
        <v>2369</v>
      </c>
      <c r="Q1614" t="s">
        <v>57</v>
      </c>
      <c r="R1614" t="s">
        <v>2488</v>
      </c>
      <c r="Y1614" t="s">
        <v>2483</v>
      </c>
      <c r="Z1614">
        <v>3917</v>
      </c>
      <c r="AE1614">
        <v>301</v>
      </c>
      <c r="AF1614" s="4">
        <v>0.5</v>
      </c>
      <c r="AG1614">
        <f t="shared" si="159"/>
        <v>150.5</v>
      </c>
      <c r="AH1614" s="4">
        <v>0.18</v>
      </c>
      <c r="AI1614">
        <f t="shared" si="154"/>
        <v>177.59</v>
      </c>
      <c r="AJ1614" s="4">
        <v>0.15</v>
      </c>
      <c r="AK1614">
        <f t="shared" si="155"/>
        <v>26.64</v>
      </c>
      <c r="AL1614">
        <f t="shared" si="156"/>
        <v>204.23</v>
      </c>
      <c r="AM1614">
        <f t="shared" si="157"/>
        <v>96.77</v>
      </c>
      <c r="AN1614" s="4">
        <f t="shared" si="158"/>
        <v>0.321495016611296</v>
      </c>
      <c r="AO1614" t="s">
        <v>221</v>
      </c>
      <c r="AQ1614" t="s">
        <v>217</v>
      </c>
      <c r="AT1614" t="s">
        <v>1662</v>
      </c>
    </row>
    <row r="1615" ht="15.75" customHeight="1" spans="1:46">
      <c r="A1615" t="s">
        <v>2489</v>
      </c>
      <c r="B1615" t="s">
        <v>46</v>
      </c>
      <c r="C1615" t="s">
        <v>2351</v>
      </c>
      <c r="D1615" t="s">
        <v>2480</v>
      </c>
      <c r="E1615" t="s">
        <v>2353</v>
      </c>
      <c r="F1615" t="s">
        <v>2490</v>
      </c>
      <c r="H1615" t="s">
        <v>2355</v>
      </c>
      <c r="I1615" t="s">
        <v>2356</v>
      </c>
      <c r="Q1615" t="s">
        <v>57</v>
      </c>
      <c r="R1615" t="s">
        <v>2491</v>
      </c>
      <c r="Y1615" t="s">
        <v>2492</v>
      </c>
      <c r="Z1615">
        <v>3917</v>
      </c>
      <c r="AE1615">
        <v>47</v>
      </c>
      <c r="AF1615" s="4">
        <v>0.5</v>
      </c>
      <c r="AG1615">
        <f t="shared" si="159"/>
        <v>23.5</v>
      </c>
      <c r="AH1615" s="4">
        <v>0.18</v>
      </c>
      <c r="AI1615">
        <f t="shared" si="154"/>
        <v>27.73</v>
      </c>
      <c r="AJ1615" s="4">
        <v>0.15</v>
      </c>
      <c r="AK1615">
        <f t="shared" si="155"/>
        <v>4.16</v>
      </c>
      <c r="AL1615">
        <f t="shared" si="156"/>
        <v>31.89</v>
      </c>
      <c r="AM1615">
        <f t="shared" si="157"/>
        <v>15.11</v>
      </c>
      <c r="AN1615" s="4">
        <f t="shared" si="158"/>
        <v>0.321489361702128</v>
      </c>
      <c r="AO1615" t="s">
        <v>221</v>
      </c>
      <c r="AQ1615" t="s">
        <v>217</v>
      </c>
      <c r="AT1615" t="s">
        <v>1662</v>
      </c>
    </row>
    <row r="1616" ht="15.75" customHeight="1" spans="1:46">
      <c r="A1616" t="s">
        <v>2489</v>
      </c>
      <c r="B1616" t="s">
        <v>67</v>
      </c>
      <c r="C1616" t="s">
        <v>2351</v>
      </c>
      <c r="D1616" t="s">
        <v>2480</v>
      </c>
      <c r="E1616" t="s">
        <v>2353</v>
      </c>
      <c r="F1616" t="s">
        <v>2490</v>
      </c>
      <c r="H1616" t="s">
        <v>2355</v>
      </c>
      <c r="I1616" t="s">
        <v>2360</v>
      </c>
      <c r="Q1616" t="s">
        <v>57</v>
      </c>
      <c r="R1616" t="s">
        <v>2493</v>
      </c>
      <c r="Y1616" t="s">
        <v>2492</v>
      </c>
      <c r="Z1616">
        <v>3917</v>
      </c>
      <c r="AE1616">
        <v>99</v>
      </c>
      <c r="AF1616" s="4">
        <v>0.5</v>
      </c>
      <c r="AG1616">
        <f t="shared" si="159"/>
        <v>49.5</v>
      </c>
      <c r="AH1616" s="4">
        <v>0.18</v>
      </c>
      <c r="AI1616">
        <f t="shared" si="154"/>
        <v>58.41</v>
      </c>
      <c r="AJ1616" s="4">
        <v>0.15</v>
      </c>
      <c r="AK1616">
        <f t="shared" si="155"/>
        <v>8.76</v>
      </c>
      <c r="AL1616">
        <f t="shared" si="156"/>
        <v>67.17</v>
      </c>
      <c r="AM1616">
        <f t="shared" si="157"/>
        <v>31.83</v>
      </c>
      <c r="AN1616" s="4">
        <f t="shared" si="158"/>
        <v>0.321515151515151</v>
      </c>
      <c r="AO1616" t="s">
        <v>221</v>
      </c>
      <c r="AQ1616" t="s">
        <v>217</v>
      </c>
      <c r="AT1616" t="s">
        <v>1662</v>
      </c>
    </row>
    <row r="1617" ht="15.75" customHeight="1" spans="1:46">
      <c r="A1617" t="s">
        <v>2489</v>
      </c>
      <c r="B1617" t="s">
        <v>71</v>
      </c>
      <c r="C1617" t="s">
        <v>2351</v>
      </c>
      <c r="D1617" t="s">
        <v>2480</v>
      </c>
      <c r="E1617" t="s">
        <v>2353</v>
      </c>
      <c r="F1617" t="s">
        <v>2490</v>
      </c>
      <c r="H1617" t="s">
        <v>2355</v>
      </c>
      <c r="I1617" t="s">
        <v>2363</v>
      </c>
      <c r="Q1617" t="s">
        <v>57</v>
      </c>
      <c r="R1617" t="s">
        <v>2494</v>
      </c>
      <c r="Y1617" t="s">
        <v>2492</v>
      </c>
      <c r="Z1617">
        <v>3917</v>
      </c>
      <c r="AE1617">
        <v>166</v>
      </c>
      <c r="AF1617" s="4">
        <v>0.5</v>
      </c>
      <c r="AG1617">
        <f t="shared" si="159"/>
        <v>83</v>
      </c>
      <c r="AH1617" s="4">
        <v>0.18</v>
      </c>
      <c r="AI1617">
        <f t="shared" si="154"/>
        <v>97.94</v>
      </c>
      <c r="AJ1617" s="4">
        <v>0.15</v>
      </c>
      <c r="AK1617">
        <f t="shared" si="155"/>
        <v>14.69</v>
      </c>
      <c r="AL1617">
        <f t="shared" si="156"/>
        <v>112.63</v>
      </c>
      <c r="AM1617">
        <f t="shared" si="157"/>
        <v>53.37</v>
      </c>
      <c r="AN1617" s="4">
        <f t="shared" si="158"/>
        <v>0.321506024096386</v>
      </c>
      <c r="AO1617" t="s">
        <v>221</v>
      </c>
      <c r="AQ1617" t="s">
        <v>217</v>
      </c>
      <c r="AT1617" t="s">
        <v>1662</v>
      </c>
    </row>
    <row r="1618" ht="15.75" customHeight="1" spans="1:46">
      <c r="A1618" t="s">
        <v>2489</v>
      </c>
      <c r="B1618" t="s">
        <v>75</v>
      </c>
      <c r="C1618" t="s">
        <v>2351</v>
      </c>
      <c r="D1618" t="s">
        <v>2480</v>
      </c>
      <c r="E1618" t="s">
        <v>2353</v>
      </c>
      <c r="F1618" t="s">
        <v>2490</v>
      </c>
      <c r="H1618" t="s">
        <v>2355</v>
      </c>
      <c r="I1618" t="s">
        <v>2365</v>
      </c>
      <c r="Q1618" t="s">
        <v>57</v>
      </c>
      <c r="R1618" t="s">
        <v>2495</v>
      </c>
      <c r="Y1618" t="s">
        <v>2492</v>
      </c>
      <c r="Z1618">
        <v>3917</v>
      </c>
      <c r="AE1618">
        <v>217</v>
      </c>
      <c r="AF1618" s="4">
        <v>0.5</v>
      </c>
      <c r="AG1618">
        <f t="shared" si="159"/>
        <v>108.5</v>
      </c>
      <c r="AH1618" s="4">
        <v>0.18</v>
      </c>
      <c r="AI1618">
        <f t="shared" si="154"/>
        <v>128.03</v>
      </c>
      <c r="AJ1618" s="4">
        <v>0.15</v>
      </c>
      <c r="AK1618">
        <f t="shared" si="155"/>
        <v>19.2</v>
      </c>
      <c r="AL1618">
        <f t="shared" si="156"/>
        <v>147.23</v>
      </c>
      <c r="AM1618">
        <f t="shared" si="157"/>
        <v>69.77</v>
      </c>
      <c r="AN1618" s="4">
        <f t="shared" si="158"/>
        <v>0.321520737327189</v>
      </c>
      <c r="AO1618" t="s">
        <v>221</v>
      </c>
      <c r="AQ1618" t="s">
        <v>217</v>
      </c>
      <c r="AT1618" t="s">
        <v>1662</v>
      </c>
    </row>
    <row r="1619" ht="15.75" customHeight="1" spans="1:46">
      <c r="A1619" t="s">
        <v>2489</v>
      </c>
      <c r="B1619" t="s">
        <v>79</v>
      </c>
      <c r="C1619" t="s">
        <v>2351</v>
      </c>
      <c r="D1619" t="s">
        <v>2480</v>
      </c>
      <c r="E1619" t="s">
        <v>2353</v>
      </c>
      <c r="F1619" t="s">
        <v>2490</v>
      </c>
      <c r="H1619" t="s">
        <v>2355</v>
      </c>
      <c r="I1619" t="s">
        <v>2367</v>
      </c>
      <c r="Q1619" t="s">
        <v>57</v>
      </c>
      <c r="R1619" t="s">
        <v>2496</v>
      </c>
      <c r="Y1619" t="s">
        <v>2492</v>
      </c>
      <c r="Z1619">
        <v>3917</v>
      </c>
      <c r="AE1619">
        <v>267</v>
      </c>
      <c r="AF1619" s="4">
        <v>0.5</v>
      </c>
      <c r="AG1619">
        <f t="shared" si="159"/>
        <v>133.5</v>
      </c>
      <c r="AH1619" s="4">
        <v>0.18</v>
      </c>
      <c r="AI1619">
        <f t="shared" si="154"/>
        <v>157.53</v>
      </c>
      <c r="AJ1619" s="4">
        <v>0.15</v>
      </c>
      <c r="AK1619">
        <f t="shared" si="155"/>
        <v>23.63</v>
      </c>
      <c r="AL1619">
        <f t="shared" si="156"/>
        <v>181.16</v>
      </c>
      <c r="AM1619">
        <f t="shared" si="157"/>
        <v>85.84</v>
      </c>
      <c r="AN1619" s="4">
        <f t="shared" si="158"/>
        <v>0.321498127340824</v>
      </c>
      <c r="AO1619" t="s">
        <v>221</v>
      </c>
      <c r="AQ1619" t="s">
        <v>217</v>
      </c>
      <c r="AT1619" t="s">
        <v>1662</v>
      </c>
    </row>
    <row r="1620" ht="15.75" customHeight="1" spans="1:46">
      <c r="A1620" t="s">
        <v>2489</v>
      </c>
      <c r="B1620" t="s">
        <v>83</v>
      </c>
      <c r="C1620" t="s">
        <v>2351</v>
      </c>
      <c r="D1620" t="s">
        <v>2480</v>
      </c>
      <c r="E1620" t="s">
        <v>2353</v>
      </c>
      <c r="F1620" t="s">
        <v>2490</v>
      </c>
      <c r="H1620" t="s">
        <v>2355</v>
      </c>
      <c r="I1620" t="s">
        <v>2369</v>
      </c>
      <c r="Q1620" t="s">
        <v>57</v>
      </c>
      <c r="R1620" t="s">
        <v>2497</v>
      </c>
      <c r="Y1620" t="s">
        <v>2492</v>
      </c>
      <c r="Z1620">
        <v>3917</v>
      </c>
      <c r="AE1620">
        <v>543</v>
      </c>
      <c r="AF1620" s="4">
        <v>0.5</v>
      </c>
      <c r="AG1620">
        <f t="shared" si="159"/>
        <v>271.5</v>
      </c>
      <c r="AH1620" s="4">
        <v>0.18</v>
      </c>
      <c r="AI1620">
        <f t="shared" si="154"/>
        <v>320.37</v>
      </c>
      <c r="AJ1620" s="4">
        <v>0.15</v>
      </c>
      <c r="AK1620">
        <f t="shared" si="155"/>
        <v>48.06</v>
      </c>
      <c r="AL1620">
        <f t="shared" si="156"/>
        <v>368.43</v>
      </c>
      <c r="AM1620">
        <f t="shared" si="157"/>
        <v>174.57</v>
      </c>
      <c r="AN1620" s="4">
        <f t="shared" si="158"/>
        <v>0.321491712707182</v>
      </c>
      <c r="AO1620" t="s">
        <v>221</v>
      </c>
      <c r="AQ1620" t="s">
        <v>217</v>
      </c>
      <c r="AT1620" t="s">
        <v>1662</v>
      </c>
    </row>
    <row r="1621" ht="15.75" customHeight="1" spans="1:46">
      <c r="A1621" t="s">
        <v>2498</v>
      </c>
      <c r="B1621" t="s">
        <v>46</v>
      </c>
      <c r="C1621" t="s">
        <v>2351</v>
      </c>
      <c r="D1621" t="s">
        <v>2480</v>
      </c>
      <c r="E1621" t="s">
        <v>2353</v>
      </c>
      <c r="F1621" t="s">
        <v>2499</v>
      </c>
      <c r="H1621" t="s">
        <v>2355</v>
      </c>
      <c r="I1621" t="s">
        <v>2356</v>
      </c>
      <c r="Q1621" t="s">
        <v>57</v>
      </c>
      <c r="R1621" t="s">
        <v>2500</v>
      </c>
      <c r="Y1621" t="s">
        <v>2501</v>
      </c>
      <c r="Z1621">
        <v>3917</v>
      </c>
      <c r="AE1621">
        <v>84</v>
      </c>
      <c r="AF1621" s="4">
        <v>0.5</v>
      </c>
      <c r="AG1621">
        <f t="shared" si="159"/>
        <v>42</v>
      </c>
      <c r="AH1621" s="4">
        <v>0.18</v>
      </c>
      <c r="AI1621">
        <f t="shared" si="154"/>
        <v>49.56</v>
      </c>
      <c r="AJ1621" s="4">
        <v>0.15</v>
      </c>
      <c r="AK1621">
        <f t="shared" si="155"/>
        <v>7.43</v>
      </c>
      <c r="AL1621">
        <f t="shared" si="156"/>
        <v>56.99</v>
      </c>
      <c r="AM1621">
        <f t="shared" si="157"/>
        <v>27.01</v>
      </c>
      <c r="AN1621" s="4">
        <f t="shared" si="158"/>
        <v>0.321547619047619</v>
      </c>
      <c r="AO1621" t="s">
        <v>221</v>
      </c>
      <c r="AQ1621" t="s">
        <v>217</v>
      </c>
      <c r="AT1621" t="s">
        <v>1662</v>
      </c>
    </row>
    <row r="1622" ht="15.75" customHeight="1" spans="1:46">
      <c r="A1622" t="s">
        <v>2498</v>
      </c>
      <c r="B1622" t="s">
        <v>67</v>
      </c>
      <c r="C1622" t="s">
        <v>2351</v>
      </c>
      <c r="D1622" t="s">
        <v>2480</v>
      </c>
      <c r="E1622" t="s">
        <v>2353</v>
      </c>
      <c r="F1622" t="s">
        <v>2499</v>
      </c>
      <c r="H1622" t="s">
        <v>2355</v>
      </c>
      <c r="I1622" t="s">
        <v>2360</v>
      </c>
      <c r="Q1622" t="s">
        <v>57</v>
      </c>
      <c r="R1622" t="s">
        <v>2502</v>
      </c>
      <c r="Y1622" t="s">
        <v>2501</v>
      </c>
      <c r="Z1622">
        <v>3917</v>
      </c>
      <c r="AE1622">
        <v>138</v>
      </c>
      <c r="AF1622" s="4">
        <v>0.5</v>
      </c>
      <c r="AG1622">
        <f t="shared" si="159"/>
        <v>69</v>
      </c>
      <c r="AH1622" s="4">
        <v>0.18</v>
      </c>
      <c r="AI1622">
        <f t="shared" si="154"/>
        <v>81.42</v>
      </c>
      <c r="AJ1622" s="4">
        <v>0.15</v>
      </c>
      <c r="AK1622">
        <f t="shared" si="155"/>
        <v>12.21</v>
      </c>
      <c r="AL1622">
        <f t="shared" si="156"/>
        <v>93.63</v>
      </c>
      <c r="AM1622">
        <f t="shared" si="157"/>
        <v>44.37</v>
      </c>
      <c r="AN1622" s="4">
        <f t="shared" si="158"/>
        <v>0.321521739130435</v>
      </c>
      <c r="AO1622" t="s">
        <v>221</v>
      </c>
      <c r="AQ1622" t="s">
        <v>217</v>
      </c>
      <c r="AT1622" t="s">
        <v>1662</v>
      </c>
    </row>
    <row r="1623" ht="15.75" customHeight="1" spans="1:46">
      <c r="A1623" t="s">
        <v>2498</v>
      </c>
      <c r="B1623" t="s">
        <v>71</v>
      </c>
      <c r="C1623" t="s">
        <v>2351</v>
      </c>
      <c r="D1623" t="s">
        <v>2480</v>
      </c>
      <c r="E1623" t="s">
        <v>2353</v>
      </c>
      <c r="F1623" t="s">
        <v>2499</v>
      </c>
      <c r="H1623" t="s">
        <v>2355</v>
      </c>
      <c r="I1623" t="s">
        <v>2363</v>
      </c>
      <c r="Q1623" t="s">
        <v>57</v>
      </c>
      <c r="R1623" t="s">
        <v>2503</v>
      </c>
      <c r="Y1623" t="s">
        <v>2501</v>
      </c>
      <c r="Z1623">
        <v>3917</v>
      </c>
      <c r="AE1623">
        <v>164</v>
      </c>
      <c r="AF1623" s="4">
        <v>0.5</v>
      </c>
      <c r="AG1623">
        <f t="shared" si="159"/>
        <v>82</v>
      </c>
      <c r="AH1623" s="4">
        <v>0.18</v>
      </c>
      <c r="AI1623">
        <f t="shared" si="154"/>
        <v>96.76</v>
      </c>
      <c r="AJ1623" s="4">
        <v>0.15</v>
      </c>
      <c r="AK1623">
        <f t="shared" si="155"/>
        <v>14.51</v>
      </c>
      <c r="AL1623">
        <f t="shared" si="156"/>
        <v>111.27</v>
      </c>
      <c r="AM1623">
        <f t="shared" si="157"/>
        <v>52.73</v>
      </c>
      <c r="AN1623" s="4">
        <f t="shared" si="158"/>
        <v>0.321524390243902</v>
      </c>
      <c r="AO1623" t="s">
        <v>221</v>
      </c>
      <c r="AQ1623" t="s">
        <v>217</v>
      </c>
      <c r="AT1623" t="s">
        <v>1662</v>
      </c>
    </row>
    <row r="1624" ht="15.75" customHeight="1" spans="1:46">
      <c r="A1624" t="s">
        <v>2498</v>
      </c>
      <c r="B1624" t="s">
        <v>75</v>
      </c>
      <c r="C1624" t="s">
        <v>2351</v>
      </c>
      <c r="D1624" t="s">
        <v>2480</v>
      </c>
      <c r="E1624" t="s">
        <v>2353</v>
      </c>
      <c r="F1624" t="s">
        <v>2499</v>
      </c>
      <c r="H1624" t="s">
        <v>2355</v>
      </c>
      <c r="I1624" t="s">
        <v>2365</v>
      </c>
      <c r="Q1624" t="s">
        <v>57</v>
      </c>
      <c r="R1624" t="s">
        <v>2504</v>
      </c>
      <c r="Y1624" t="s">
        <v>2501</v>
      </c>
      <c r="Z1624">
        <v>3917</v>
      </c>
      <c r="AE1624">
        <v>267</v>
      </c>
      <c r="AF1624" s="4">
        <v>0.5</v>
      </c>
      <c r="AG1624">
        <f t="shared" si="159"/>
        <v>133.5</v>
      </c>
      <c r="AH1624" s="4">
        <v>0.18</v>
      </c>
      <c r="AI1624">
        <f t="shared" si="154"/>
        <v>157.53</v>
      </c>
      <c r="AJ1624" s="4">
        <v>0.15</v>
      </c>
      <c r="AK1624">
        <f t="shared" si="155"/>
        <v>23.63</v>
      </c>
      <c r="AL1624">
        <f t="shared" si="156"/>
        <v>181.16</v>
      </c>
      <c r="AM1624">
        <f t="shared" si="157"/>
        <v>85.84</v>
      </c>
      <c r="AN1624" s="4">
        <f t="shared" si="158"/>
        <v>0.321498127340824</v>
      </c>
      <c r="AO1624" t="s">
        <v>221</v>
      </c>
      <c r="AQ1624" t="s">
        <v>217</v>
      </c>
      <c r="AT1624" t="s">
        <v>1662</v>
      </c>
    </row>
    <row r="1625" ht="15.75" customHeight="1" spans="1:46">
      <c r="A1625" t="s">
        <v>2498</v>
      </c>
      <c r="B1625" t="s">
        <v>79</v>
      </c>
      <c r="C1625" t="s">
        <v>2351</v>
      </c>
      <c r="D1625" t="s">
        <v>2480</v>
      </c>
      <c r="E1625" t="s">
        <v>2353</v>
      </c>
      <c r="F1625" t="s">
        <v>2499</v>
      </c>
      <c r="H1625" t="s">
        <v>2355</v>
      </c>
      <c r="I1625" t="s">
        <v>2367</v>
      </c>
      <c r="Q1625" t="s">
        <v>57</v>
      </c>
      <c r="R1625" t="s">
        <v>2505</v>
      </c>
      <c r="Y1625" t="s">
        <v>2501</v>
      </c>
      <c r="Z1625">
        <v>3917</v>
      </c>
      <c r="AE1625">
        <v>439</v>
      </c>
      <c r="AF1625" s="4">
        <v>0.5</v>
      </c>
      <c r="AG1625">
        <f t="shared" si="159"/>
        <v>219.5</v>
      </c>
      <c r="AH1625" s="4">
        <v>0.18</v>
      </c>
      <c r="AI1625">
        <f t="shared" si="154"/>
        <v>259.01</v>
      </c>
      <c r="AJ1625" s="4">
        <v>0.15</v>
      </c>
      <c r="AK1625">
        <f t="shared" si="155"/>
        <v>38.85</v>
      </c>
      <c r="AL1625">
        <f t="shared" si="156"/>
        <v>297.86</v>
      </c>
      <c r="AM1625">
        <f t="shared" si="157"/>
        <v>141.14</v>
      </c>
      <c r="AN1625" s="4">
        <f t="shared" si="158"/>
        <v>0.321503416856492</v>
      </c>
      <c r="AO1625" t="s">
        <v>221</v>
      </c>
      <c r="AQ1625" t="s">
        <v>217</v>
      </c>
      <c r="AT1625" t="s">
        <v>1662</v>
      </c>
    </row>
    <row r="1626" ht="15.75" customHeight="1" spans="1:46">
      <c r="A1626" t="s">
        <v>2498</v>
      </c>
      <c r="B1626" t="s">
        <v>83</v>
      </c>
      <c r="C1626" t="s">
        <v>2351</v>
      </c>
      <c r="D1626" t="s">
        <v>2480</v>
      </c>
      <c r="E1626" t="s">
        <v>2353</v>
      </c>
      <c r="F1626" t="s">
        <v>2499</v>
      </c>
      <c r="H1626" t="s">
        <v>2355</v>
      </c>
      <c r="I1626" t="s">
        <v>2369</v>
      </c>
      <c r="Q1626" t="s">
        <v>57</v>
      </c>
      <c r="R1626" t="s">
        <v>2506</v>
      </c>
      <c r="Y1626" t="s">
        <v>2501</v>
      </c>
      <c r="Z1626">
        <v>3917</v>
      </c>
      <c r="AE1626">
        <v>792</v>
      </c>
      <c r="AF1626" s="4">
        <v>0.5</v>
      </c>
      <c r="AG1626">
        <f t="shared" si="159"/>
        <v>396</v>
      </c>
      <c r="AH1626" s="4">
        <v>0.18</v>
      </c>
      <c r="AI1626">
        <f t="shared" si="154"/>
        <v>467.28</v>
      </c>
      <c r="AJ1626" s="4">
        <v>0.15</v>
      </c>
      <c r="AK1626">
        <f t="shared" si="155"/>
        <v>70.09</v>
      </c>
      <c r="AL1626">
        <f t="shared" si="156"/>
        <v>537.37</v>
      </c>
      <c r="AM1626">
        <f t="shared" si="157"/>
        <v>254.63</v>
      </c>
      <c r="AN1626" s="4">
        <f t="shared" si="158"/>
        <v>0.321502525252525</v>
      </c>
      <c r="AO1626" t="s">
        <v>221</v>
      </c>
      <c r="AQ1626" t="s">
        <v>217</v>
      </c>
      <c r="AT1626" t="s">
        <v>1662</v>
      </c>
    </row>
    <row r="1627" ht="15.75" customHeight="1" spans="1:46">
      <c r="A1627" t="s">
        <v>2507</v>
      </c>
      <c r="B1627" t="s">
        <v>46</v>
      </c>
      <c r="C1627" t="s">
        <v>2351</v>
      </c>
      <c r="D1627" t="s">
        <v>2480</v>
      </c>
      <c r="E1627" t="s">
        <v>2353</v>
      </c>
      <c r="F1627" t="s">
        <v>2508</v>
      </c>
      <c r="H1627" t="s">
        <v>2355</v>
      </c>
      <c r="I1627" t="s">
        <v>2356</v>
      </c>
      <c r="Q1627" t="s">
        <v>57</v>
      </c>
      <c r="R1627" t="s">
        <v>2509</v>
      </c>
      <c r="Y1627" t="s">
        <v>2510</v>
      </c>
      <c r="Z1627">
        <v>3917</v>
      </c>
      <c r="AE1627">
        <v>26</v>
      </c>
      <c r="AF1627" s="4">
        <v>0.5</v>
      </c>
      <c r="AG1627">
        <f t="shared" si="159"/>
        <v>13</v>
      </c>
      <c r="AH1627" s="4">
        <v>0.18</v>
      </c>
      <c r="AI1627">
        <f t="shared" si="154"/>
        <v>15.34</v>
      </c>
      <c r="AJ1627" s="4">
        <v>0.15</v>
      </c>
      <c r="AK1627">
        <f t="shared" si="155"/>
        <v>2.3</v>
      </c>
      <c r="AL1627">
        <f t="shared" si="156"/>
        <v>17.64</v>
      </c>
      <c r="AM1627">
        <f t="shared" si="157"/>
        <v>8.36</v>
      </c>
      <c r="AN1627" s="4">
        <f t="shared" si="158"/>
        <v>0.321538461538461</v>
      </c>
      <c r="AO1627" t="s">
        <v>221</v>
      </c>
      <c r="AQ1627" t="s">
        <v>217</v>
      </c>
      <c r="AT1627" t="s">
        <v>1662</v>
      </c>
    </row>
    <row r="1628" ht="15.75" customHeight="1" spans="1:46">
      <c r="A1628" t="s">
        <v>2507</v>
      </c>
      <c r="B1628" t="s">
        <v>67</v>
      </c>
      <c r="C1628" t="s">
        <v>2351</v>
      </c>
      <c r="D1628" t="s">
        <v>2480</v>
      </c>
      <c r="E1628" t="s">
        <v>2353</v>
      </c>
      <c r="F1628" t="s">
        <v>2508</v>
      </c>
      <c r="H1628" t="s">
        <v>2355</v>
      </c>
      <c r="I1628" t="s">
        <v>2360</v>
      </c>
      <c r="Q1628" t="s">
        <v>57</v>
      </c>
      <c r="R1628" t="s">
        <v>2511</v>
      </c>
      <c r="Y1628" t="s">
        <v>2510</v>
      </c>
      <c r="Z1628">
        <v>3917</v>
      </c>
      <c r="AE1628">
        <v>29</v>
      </c>
      <c r="AF1628" s="4">
        <v>0.5</v>
      </c>
      <c r="AG1628">
        <f t="shared" si="159"/>
        <v>14.5</v>
      </c>
      <c r="AH1628" s="4">
        <v>0.18</v>
      </c>
      <c r="AI1628">
        <f t="shared" si="154"/>
        <v>17.11</v>
      </c>
      <c r="AJ1628" s="4">
        <v>0.15</v>
      </c>
      <c r="AK1628">
        <f t="shared" si="155"/>
        <v>2.57</v>
      </c>
      <c r="AL1628">
        <f t="shared" si="156"/>
        <v>19.68</v>
      </c>
      <c r="AM1628">
        <f t="shared" si="157"/>
        <v>9.32</v>
      </c>
      <c r="AN1628" s="4">
        <f t="shared" si="158"/>
        <v>0.321379310344828</v>
      </c>
      <c r="AO1628" t="s">
        <v>221</v>
      </c>
      <c r="AQ1628" t="s">
        <v>217</v>
      </c>
      <c r="AT1628" t="s">
        <v>1662</v>
      </c>
    </row>
    <row r="1629" ht="15.75" customHeight="1" spans="1:46">
      <c r="A1629" t="s">
        <v>2507</v>
      </c>
      <c r="B1629" t="s">
        <v>71</v>
      </c>
      <c r="C1629" t="s">
        <v>2351</v>
      </c>
      <c r="D1629" t="s">
        <v>2480</v>
      </c>
      <c r="E1629" t="s">
        <v>2353</v>
      </c>
      <c r="F1629" t="s">
        <v>2508</v>
      </c>
      <c r="H1629" t="s">
        <v>2355</v>
      </c>
      <c r="I1629" t="s">
        <v>2363</v>
      </c>
      <c r="Q1629" t="s">
        <v>57</v>
      </c>
      <c r="R1629" t="s">
        <v>2512</v>
      </c>
      <c r="Y1629" t="s">
        <v>2510</v>
      </c>
      <c r="Z1629">
        <v>3917</v>
      </c>
      <c r="AE1629">
        <v>55</v>
      </c>
      <c r="AF1629" s="4">
        <v>0.5</v>
      </c>
      <c r="AG1629">
        <f t="shared" si="159"/>
        <v>27.5</v>
      </c>
      <c r="AH1629" s="4">
        <v>0.18</v>
      </c>
      <c r="AI1629">
        <f t="shared" si="154"/>
        <v>32.45</v>
      </c>
      <c r="AJ1629" s="4">
        <v>0.15</v>
      </c>
      <c r="AK1629">
        <f t="shared" si="155"/>
        <v>4.87</v>
      </c>
      <c r="AL1629">
        <f t="shared" si="156"/>
        <v>37.32</v>
      </c>
      <c r="AM1629">
        <f t="shared" si="157"/>
        <v>17.68</v>
      </c>
      <c r="AN1629" s="4">
        <f t="shared" si="158"/>
        <v>0.321454545454545</v>
      </c>
      <c r="AO1629" t="s">
        <v>221</v>
      </c>
      <c r="AQ1629" t="s">
        <v>217</v>
      </c>
      <c r="AT1629" t="s">
        <v>1662</v>
      </c>
    </row>
    <row r="1630" ht="15.75" customHeight="1" spans="1:46">
      <c r="A1630" t="s">
        <v>2507</v>
      </c>
      <c r="B1630" t="s">
        <v>75</v>
      </c>
      <c r="C1630" t="s">
        <v>2351</v>
      </c>
      <c r="D1630" t="s">
        <v>2480</v>
      </c>
      <c r="E1630" t="s">
        <v>2353</v>
      </c>
      <c r="F1630" t="s">
        <v>2508</v>
      </c>
      <c r="H1630" t="s">
        <v>2355</v>
      </c>
      <c r="I1630" t="s">
        <v>2365</v>
      </c>
      <c r="Q1630" t="s">
        <v>57</v>
      </c>
      <c r="R1630" t="s">
        <v>2513</v>
      </c>
      <c r="Y1630" t="s">
        <v>2510</v>
      </c>
      <c r="Z1630">
        <v>3917</v>
      </c>
      <c r="AE1630">
        <v>124</v>
      </c>
      <c r="AF1630" s="4">
        <v>0.5</v>
      </c>
      <c r="AG1630">
        <f t="shared" si="159"/>
        <v>62</v>
      </c>
      <c r="AH1630" s="4">
        <v>0.18</v>
      </c>
      <c r="AI1630">
        <f t="shared" si="154"/>
        <v>73.16</v>
      </c>
      <c r="AJ1630" s="4">
        <v>0.15</v>
      </c>
      <c r="AK1630">
        <f t="shared" si="155"/>
        <v>10.97</v>
      </c>
      <c r="AL1630">
        <f t="shared" si="156"/>
        <v>84.13</v>
      </c>
      <c r="AM1630">
        <f t="shared" si="157"/>
        <v>39.87</v>
      </c>
      <c r="AN1630" s="4">
        <f t="shared" si="158"/>
        <v>0.321532258064516</v>
      </c>
      <c r="AO1630" t="s">
        <v>221</v>
      </c>
      <c r="AQ1630" t="s">
        <v>217</v>
      </c>
      <c r="AT1630" t="s">
        <v>1662</v>
      </c>
    </row>
    <row r="1631" ht="15.75" customHeight="1" spans="1:46">
      <c r="A1631" t="s">
        <v>2507</v>
      </c>
      <c r="B1631" t="s">
        <v>79</v>
      </c>
      <c r="C1631" t="s">
        <v>2351</v>
      </c>
      <c r="D1631" t="s">
        <v>2480</v>
      </c>
      <c r="E1631" t="s">
        <v>2353</v>
      </c>
      <c r="F1631" t="s">
        <v>2508</v>
      </c>
      <c r="H1631" t="s">
        <v>2355</v>
      </c>
      <c r="I1631" t="s">
        <v>2367</v>
      </c>
      <c r="Q1631" t="s">
        <v>57</v>
      </c>
      <c r="R1631" t="s">
        <v>2514</v>
      </c>
      <c r="Y1631" t="s">
        <v>2510</v>
      </c>
      <c r="Z1631">
        <v>3917</v>
      </c>
      <c r="AE1631">
        <v>239</v>
      </c>
      <c r="AF1631" s="4">
        <v>0.5</v>
      </c>
      <c r="AG1631">
        <f t="shared" si="159"/>
        <v>119.5</v>
      </c>
      <c r="AH1631" s="4">
        <v>0.18</v>
      </c>
      <c r="AI1631">
        <f t="shared" si="154"/>
        <v>141.01</v>
      </c>
      <c r="AJ1631" s="4">
        <v>0.15</v>
      </c>
      <c r="AK1631">
        <f t="shared" si="155"/>
        <v>21.15</v>
      </c>
      <c r="AL1631">
        <f t="shared" si="156"/>
        <v>162.16</v>
      </c>
      <c r="AM1631">
        <f t="shared" si="157"/>
        <v>76.84</v>
      </c>
      <c r="AN1631" s="4">
        <f t="shared" si="158"/>
        <v>0.321506276150628</v>
      </c>
      <c r="AO1631" t="s">
        <v>221</v>
      </c>
      <c r="AQ1631" t="s">
        <v>217</v>
      </c>
      <c r="AT1631" t="s">
        <v>1662</v>
      </c>
    </row>
    <row r="1632" ht="15.75" customHeight="1" spans="1:46">
      <c r="A1632" t="s">
        <v>2507</v>
      </c>
      <c r="B1632" t="s">
        <v>83</v>
      </c>
      <c r="C1632" t="s">
        <v>2351</v>
      </c>
      <c r="D1632" t="s">
        <v>2480</v>
      </c>
      <c r="E1632" t="s">
        <v>2353</v>
      </c>
      <c r="F1632" t="s">
        <v>2508</v>
      </c>
      <c r="H1632" t="s">
        <v>2355</v>
      </c>
      <c r="I1632" t="s">
        <v>2369</v>
      </c>
      <c r="Q1632" t="s">
        <v>57</v>
      </c>
      <c r="R1632" t="s">
        <v>2515</v>
      </c>
      <c r="Y1632" t="s">
        <v>2510</v>
      </c>
      <c r="Z1632">
        <v>3917</v>
      </c>
      <c r="AE1632">
        <v>474</v>
      </c>
      <c r="AF1632" s="4">
        <v>0.5</v>
      </c>
      <c r="AG1632">
        <f t="shared" si="159"/>
        <v>237</v>
      </c>
      <c r="AH1632" s="4">
        <v>0.18</v>
      </c>
      <c r="AI1632">
        <f t="shared" si="154"/>
        <v>279.66</v>
      </c>
      <c r="AJ1632" s="4">
        <v>0.15</v>
      </c>
      <c r="AK1632">
        <f t="shared" si="155"/>
        <v>41.95</v>
      </c>
      <c r="AL1632">
        <f t="shared" si="156"/>
        <v>321.61</v>
      </c>
      <c r="AM1632">
        <f t="shared" si="157"/>
        <v>152.39</v>
      </c>
      <c r="AN1632" s="4">
        <f t="shared" si="158"/>
        <v>0.321497890295359</v>
      </c>
      <c r="AO1632" t="s">
        <v>221</v>
      </c>
      <c r="AQ1632" t="s">
        <v>217</v>
      </c>
      <c r="AT1632" t="s">
        <v>1662</v>
      </c>
    </row>
    <row r="1633" ht="15.75" customHeight="1" spans="1:46">
      <c r="A1633" t="s">
        <v>2516</v>
      </c>
      <c r="B1633" t="s">
        <v>46</v>
      </c>
      <c r="C1633" t="s">
        <v>2351</v>
      </c>
      <c r="D1633" t="s">
        <v>2480</v>
      </c>
      <c r="E1633" t="s">
        <v>2353</v>
      </c>
      <c r="F1633" t="s">
        <v>2517</v>
      </c>
      <c r="H1633" t="s">
        <v>2355</v>
      </c>
      <c r="I1633" t="s">
        <v>2356</v>
      </c>
      <c r="Q1633" t="s">
        <v>57</v>
      </c>
      <c r="R1633" t="s">
        <v>2518</v>
      </c>
      <c r="Y1633" t="s">
        <v>2519</v>
      </c>
      <c r="Z1633">
        <v>3917</v>
      </c>
      <c r="AE1633">
        <v>25</v>
      </c>
      <c r="AF1633" s="4">
        <v>0.5</v>
      </c>
      <c r="AG1633">
        <f t="shared" si="159"/>
        <v>12.5</v>
      </c>
      <c r="AH1633" s="4">
        <v>0.18</v>
      </c>
      <c r="AI1633">
        <f t="shared" si="154"/>
        <v>14.75</v>
      </c>
      <c r="AJ1633" s="4">
        <v>0.2</v>
      </c>
      <c r="AK1633">
        <f t="shared" si="155"/>
        <v>2.95</v>
      </c>
      <c r="AL1633">
        <f t="shared" si="156"/>
        <v>17.7</v>
      </c>
      <c r="AM1633">
        <f t="shared" si="157"/>
        <v>7.3</v>
      </c>
      <c r="AN1633" s="4">
        <f t="shared" si="158"/>
        <v>0.292</v>
      </c>
      <c r="AO1633" t="s">
        <v>221</v>
      </c>
      <c r="AQ1633" t="s">
        <v>217</v>
      </c>
      <c r="AT1633" t="s">
        <v>1662</v>
      </c>
    </row>
    <row r="1634" ht="15.75" customHeight="1" spans="1:46">
      <c r="A1634" t="s">
        <v>2516</v>
      </c>
      <c r="B1634" t="s">
        <v>67</v>
      </c>
      <c r="C1634" t="s">
        <v>2351</v>
      </c>
      <c r="D1634" t="s">
        <v>2480</v>
      </c>
      <c r="E1634" t="s">
        <v>2353</v>
      </c>
      <c r="F1634" t="s">
        <v>2517</v>
      </c>
      <c r="H1634" t="s">
        <v>2355</v>
      </c>
      <c r="I1634" t="s">
        <v>2360</v>
      </c>
      <c r="Q1634" t="s">
        <v>57</v>
      </c>
      <c r="R1634" t="s">
        <v>2520</v>
      </c>
      <c r="Y1634" t="s">
        <v>2519</v>
      </c>
      <c r="Z1634">
        <v>3917</v>
      </c>
      <c r="AE1634">
        <v>35</v>
      </c>
      <c r="AF1634" s="4">
        <v>0.5</v>
      </c>
      <c r="AG1634">
        <f t="shared" si="159"/>
        <v>17.5</v>
      </c>
      <c r="AH1634" s="4">
        <v>0.18</v>
      </c>
      <c r="AI1634">
        <f t="shared" si="154"/>
        <v>20.65</v>
      </c>
      <c r="AJ1634" s="4">
        <v>0.2</v>
      </c>
      <c r="AK1634">
        <f t="shared" si="155"/>
        <v>4.13</v>
      </c>
      <c r="AL1634">
        <f t="shared" si="156"/>
        <v>24.78</v>
      </c>
      <c r="AM1634">
        <f t="shared" si="157"/>
        <v>10.22</v>
      </c>
      <c r="AN1634" s="4">
        <f t="shared" si="158"/>
        <v>0.292</v>
      </c>
      <c r="AO1634" t="s">
        <v>221</v>
      </c>
      <c r="AQ1634" t="s">
        <v>217</v>
      </c>
      <c r="AT1634" t="s">
        <v>1662</v>
      </c>
    </row>
    <row r="1635" ht="15.75" customHeight="1" spans="1:46">
      <c r="A1635" t="s">
        <v>2516</v>
      </c>
      <c r="B1635" t="s">
        <v>71</v>
      </c>
      <c r="C1635" t="s">
        <v>2351</v>
      </c>
      <c r="D1635" t="s">
        <v>2480</v>
      </c>
      <c r="E1635" t="s">
        <v>2353</v>
      </c>
      <c r="F1635" t="s">
        <v>2517</v>
      </c>
      <c r="H1635" t="s">
        <v>2355</v>
      </c>
      <c r="I1635" t="s">
        <v>2363</v>
      </c>
      <c r="Q1635" t="s">
        <v>57</v>
      </c>
      <c r="R1635" t="s">
        <v>2521</v>
      </c>
      <c r="Y1635" t="s">
        <v>2519</v>
      </c>
      <c r="Z1635">
        <v>3917</v>
      </c>
      <c r="AE1635">
        <v>52</v>
      </c>
      <c r="AF1635" s="4">
        <v>0.5</v>
      </c>
      <c r="AG1635">
        <f t="shared" si="159"/>
        <v>26</v>
      </c>
      <c r="AH1635" s="4">
        <v>0.18</v>
      </c>
      <c r="AI1635">
        <f t="shared" si="154"/>
        <v>30.68</v>
      </c>
      <c r="AJ1635" s="4">
        <v>0.2</v>
      </c>
      <c r="AK1635">
        <f t="shared" si="155"/>
        <v>6.14</v>
      </c>
      <c r="AL1635">
        <f t="shared" si="156"/>
        <v>36.82</v>
      </c>
      <c r="AM1635">
        <f t="shared" si="157"/>
        <v>15.18</v>
      </c>
      <c r="AN1635" s="4">
        <f t="shared" si="158"/>
        <v>0.291923076923077</v>
      </c>
      <c r="AO1635" t="s">
        <v>221</v>
      </c>
      <c r="AQ1635" t="s">
        <v>217</v>
      </c>
      <c r="AT1635" t="s">
        <v>1662</v>
      </c>
    </row>
    <row r="1636" ht="15.75" customHeight="1" spans="1:46">
      <c r="A1636" t="s">
        <v>2516</v>
      </c>
      <c r="B1636" t="s">
        <v>75</v>
      </c>
      <c r="C1636" t="s">
        <v>2351</v>
      </c>
      <c r="D1636" t="s">
        <v>2480</v>
      </c>
      <c r="E1636" t="s">
        <v>2353</v>
      </c>
      <c r="F1636" t="s">
        <v>2517</v>
      </c>
      <c r="H1636" t="s">
        <v>2355</v>
      </c>
      <c r="I1636" t="s">
        <v>2365</v>
      </c>
      <c r="Q1636" t="s">
        <v>57</v>
      </c>
      <c r="R1636" t="s">
        <v>2522</v>
      </c>
      <c r="Y1636" t="s">
        <v>2519</v>
      </c>
      <c r="Z1636">
        <v>3917</v>
      </c>
      <c r="AE1636">
        <v>91</v>
      </c>
      <c r="AF1636" s="4">
        <v>0.5</v>
      </c>
      <c r="AG1636">
        <f t="shared" si="159"/>
        <v>45.5</v>
      </c>
      <c r="AH1636" s="4">
        <v>0.18</v>
      </c>
      <c r="AI1636">
        <f t="shared" si="154"/>
        <v>53.69</v>
      </c>
      <c r="AJ1636" s="4">
        <v>0.2</v>
      </c>
      <c r="AK1636">
        <f t="shared" si="155"/>
        <v>10.74</v>
      </c>
      <c r="AL1636">
        <f t="shared" si="156"/>
        <v>64.43</v>
      </c>
      <c r="AM1636">
        <f t="shared" si="157"/>
        <v>26.57</v>
      </c>
      <c r="AN1636" s="4">
        <f t="shared" si="158"/>
        <v>0.291978021978022</v>
      </c>
      <c r="AO1636" t="s">
        <v>221</v>
      </c>
      <c r="AQ1636" t="s">
        <v>217</v>
      </c>
      <c r="AT1636" t="s">
        <v>1662</v>
      </c>
    </row>
    <row r="1637" ht="15.75" customHeight="1" spans="1:46">
      <c r="A1637" t="s">
        <v>2516</v>
      </c>
      <c r="B1637" t="s">
        <v>79</v>
      </c>
      <c r="C1637" t="s">
        <v>2351</v>
      </c>
      <c r="D1637" t="s">
        <v>2480</v>
      </c>
      <c r="E1637" t="s">
        <v>2353</v>
      </c>
      <c r="F1637" t="s">
        <v>2517</v>
      </c>
      <c r="H1637" t="s">
        <v>2355</v>
      </c>
      <c r="I1637" t="s">
        <v>2367</v>
      </c>
      <c r="Q1637" t="s">
        <v>57</v>
      </c>
      <c r="R1637" t="s">
        <v>2523</v>
      </c>
      <c r="Y1637" t="s">
        <v>2519</v>
      </c>
      <c r="Z1637">
        <v>3917</v>
      </c>
      <c r="AE1637">
        <v>129</v>
      </c>
      <c r="AF1637" s="4">
        <v>0.5</v>
      </c>
      <c r="AG1637">
        <f t="shared" si="159"/>
        <v>64.5</v>
      </c>
      <c r="AH1637" s="4">
        <v>0.18</v>
      </c>
      <c r="AI1637">
        <f t="shared" si="154"/>
        <v>76.11</v>
      </c>
      <c r="AJ1637" s="4">
        <v>0.2</v>
      </c>
      <c r="AK1637">
        <f t="shared" si="155"/>
        <v>15.22</v>
      </c>
      <c r="AL1637">
        <f t="shared" si="156"/>
        <v>91.33</v>
      </c>
      <c r="AM1637">
        <f t="shared" si="157"/>
        <v>37.67</v>
      </c>
      <c r="AN1637" s="4">
        <f t="shared" si="158"/>
        <v>0.292015503875969</v>
      </c>
      <c r="AO1637" t="s">
        <v>221</v>
      </c>
      <c r="AQ1637" t="s">
        <v>217</v>
      </c>
      <c r="AT1637" t="s">
        <v>1662</v>
      </c>
    </row>
    <row r="1638" ht="15.75" customHeight="1" spans="1:46">
      <c r="A1638" t="s">
        <v>2516</v>
      </c>
      <c r="B1638" t="s">
        <v>83</v>
      </c>
      <c r="C1638" t="s">
        <v>2351</v>
      </c>
      <c r="D1638" t="s">
        <v>2480</v>
      </c>
      <c r="E1638" t="s">
        <v>2353</v>
      </c>
      <c r="F1638" t="s">
        <v>2517</v>
      </c>
      <c r="H1638" t="s">
        <v>2355</v>
      </c>
      <c r="I1638" t="s">
        <v>2369</v>
      </c>
      <c r="Q1638" t="s">
        <v>57</v>
      </c>
      <c r="R1638" t="s">
        <v>2524</v>
      </c>
      <c r="Y1638" t="s">
        <v>2519</v>
      </c>
      <c r="Z1638">
        <v>3917</v>
      </c>
      <c r="AE1638">
        <v>252</v>
      </c>
      <c r="AF1638" s="4">
        <v>0.5</v>
      </c>
      <c r="AG1638">
        <f t="shared" si="159"/>
        <v>126</v>
      </c>
      <c r="AH1638" s="4">
        <v>0.18</v>
      </c>
      <c r="AI1638">
        <f t="shared" si="154"/>
        <v>148.68</v>
      </c>
      <c r="AJ1638" s="4">
        <v>0.2</v>
      </c>
      <c r="AK1638">
        <f t="shared" si="155"/>
        <v>29.74</v>
      </c>
      <c r="AL1638">
        <f t="shared" si="156"/>
        <v>178.42</v>
      </c>
      <c r="AM1638">
        <f t="shared" si="157"/>
        <v>73.58</v>
      </c>
      <c r="AN1638" s="4">
        <f t="shared" si="158"/>
        <v>0.291984126984127</v>
      </c>
      <c r="AO1638" t="s">
        <v>221</v>
      </c>
      <c r="AQ1638" t="s">
        <v>217</v>
      </c>
      <c r="AT1638" t="s">
        <v>1662</v>
      </c>
    </row>
    <row r="1639" ht="15.75" customHeight="1" spans="1:46">
      <c r="A1639" t="s">
        <v>2525</v>
      </c>
      <c r="B1639" t="s">
        <v>46</v>
      </c>
      <c r="C1639" t="s">
        <v>2351</v>
      </c>
      <c r="D1639" t="s">
        <v>2480</v>
      </c>
      <c r="E1639" t="s">
        <v>2353</v>
      </c>
      <c r="F1639" t="s">
        <v>2526</v>
      </c>
      <c r="H1639" t="s">
        <v>2355</v>
      </c>
      <c r="I1639" t="s">
        <v>2356</v>
      </c>
      <c r="Q1639" t="s">
        <v>57</v>
      </c>
      <c r="R1639" t="s">
        <v>2527</v>
      </c>
      <c r="Y1639" t="s">
        <v>2528</v>
      </c>
      <c r="Z1639">
        <v>3917</v>
      </c>
      <c r="AE1639">
        <v>88</v>
      </c>
      <c r="AF1639" s="4">
        <v>0.5</v>
      </c>
      <c r="AG1639">
        <f t="shared" si="159"/>
        <v>44</v>
      </c>
      <c r="AH1639" s="4">
        <v>0.18</v>
      </c>
      <c r="AI1639">
        <f t="shared" si="154"/>
        <v>51.92</v>
      </c>
      <c r="AJ1639" s="4">
        <v>0.2</v>
      </c>
      <c r="AK1639">
        <f t="shared" si="155"/>
        <v>10.38</v>
      </c>
      <c r="AL1639">
        <f t="shared" si="156"/>
        <v>62.3</v>
      </c>
      <c r="AM1639">
        <f t="shared" si="157"/>
        <v>25.7</v>
      </c>
      <c r="AN1639" s="4">
        <f t="shared" si="158"/>
        <v>0.292045454545454</v>
      </c>
      <c r="AO1639" t="s">
        <v>221</v>
      </c>
      <c r="AQ1639" t="s">
        <v>217</v>
      </c>
      <c r="AT1639" t="s">
        <v>1662</v>
      </c>
    </row>
    <row r="1640" ht="15.75" customHeight="1" spans="1:46">
      <c r="A1640" t="s">
        <v>2525</v>
      </c>
      <c r="B1640" t="s">
        <v>67</v>
      </c>
      <c r="C1640" t="s">
        <v>2351</v>
      </c>
      <c r="D1640" t="s">
        <v>2480</v>
      </c>
      <c r="E1640" t="s">
        <v>2353</v>
      </c>
      <c r="F1640" t="s">
        <v>2526</v>
      </c>
      <c r="H1640" t="s">
        <v>2355</v>
      </c>
      <c r="I1640" t="s">
        <v>2360</v>
      </c>
      <c r="Q1640" t="s">
        <v>57</v>
      </c>
      <c r="R1640" t="s">
        <v>2529</v>
      </c>
      <c r="Y1640" t="s">
        <v>2528</v>
      </c>
      <c r="Z1640">
        <v>3917</v>
      </c>
      <c r="AE1640">
        <v>97</v>
      </c>
      <c r="AF1640" s="4">
        <v>0.5</v>
      </c>
      <c r="AG1640">
        <f t="shared" si="159"/>
        <v>48.5</v>
      </c>
      <c r="AH1640" s="4">
        <v>0.18</v>
      </c>
      <c r="AI1640">
        <f t="shared" si="154"/>
        <v>57.23</v>
      </c>
      <c r="AJ1640" s="4">
        <v>0.2</v>
      </c>
      <c r="AK1640">
        <f t="shared" si="155"/>
        <v>11.45</v>
      </c>
      <c r="AL1640">
        <f t="shared" si="156"/>
        <v>68.68</v>
      </c>
      <c r="AM1640">
        <f t="shared" si="157"/>
        <v>28.32</v>
      </c>
      <c r="AN1640" s="4">
        <f t="shared" si="158"/>
        <v>0.291958762886598</v>
      </c>
      <c r="AO1640" t="s">
        <v>221</v>
      </c>
      <c r="AQ1640" t="s">
        <v>217</v>
      </c>
      <c r="AT1640" t="s">
        <v>1662</v>
      </c>
    </row>
    <row r="1641" ht="15.75" customHeight="1" spans="1:46">
      <c r="A1641" t="s">
        <v>2525</v>
      </c>
      <c r="B1641" t="s">
        <v>71</v>
      </c>
      <c r="C1641" t="s">
        <v>2351</v>
      </c>
      <c r="D1641" t="s">
        <v>2480</v>
      </c>
      <c r="E1641" t="s">
        <v>2353</v>
      </c>
      <c r="F1641" t="s">
        <v>2526</v>
      </c>
      <c r="H1641" t="s">
        <v>2355</v>
      </c>
      <c r="I1641" t="s">
        <v>2363</v>
      </c>
      <c r="Q1641" t="s">
        <v>57</v>
      </c>
      <c r="R1641" t="s">
        <v>2530</v>
      </c>
      <c r="Y1641" t="s">
        <v>2528</v>
      </c>
      <c r="Z1641">
        <v>3917</v>
      </c>
      <c r="AE1641">
        <v>149</v>
      </c>
      <c r="AF1641" s="4">
        <v>0.5</v>
      </c>
      <c r="AG1641">
        <f t="shared" si="159"/>
        <v>74.5</v>
      </c>
      <c r="AH1641" s="4">
        <v>0.18</v>
      </c>
      <c r="AI1641">
        <f t="shared" si="154"/>
        <v>87.91</v>
      </c>
      <c r="AJ1641" s="4">
        <v>0.2</v>
      </c>
      <c r="AK1641">
        <f t="shared" si="155"/>
        <v>17.58</v>
      </c>
      <c r="AL1641">
        <f t="shared" si="156"/>
        <v>105.49</v>
      </c>
      <c r="AM1641">
        <f t="shared" si="157"/>
        <v>43.51</v>
      </c>
      <c r="AN1641" s="4">
        <f t="shared" si="158"/>
        <v>0.292013422818792</v>
      </c>
      <c r="AO1641" t="s">
        <v>221</v>
      </c>
      <c r="AQ1641" t="s">
        <v>217</v>
      </c>
      <c r="AT1641" t="s">
        <v>1662</v>
      </c>
    </row>
    <row r="1642" ht="15.75" customHeight="1" spans="1:46">
      <c r="A1642" t="s">
        <v>2525</v>
      </c>
      <c r="B1642" t="s">
        <v>75</v>
      </c>
      <c r="C1642" t="s">
        <v>2351</v>
      </c>
      <c r="D1642" t="s">
        <v>2480</v>
      </c>
      <c r="E1642" t="s">
        <v>2353</v>
      </c>
      <c r="F1642" t="s">
        <v>2526</v>
      </c>
      <c r="H1642" t="s">
        <v>2355</v>
      </c>
      <c r="I1642" t="s">
        <v>2365</v>
      </c>
      <c r="Q1642" t="s">
        <v>57</v>
      </c>
      <c r="R1642" t="s">
        <v>2531</v>
      </c>
      <c r="Y1642" t="s">
        <v>2528</v>
      </c>
      <c r="Z1642">
        <v>3917</v>
      </c>
      <c r="AE1642">
        <v>237</v>
      </c>
      <c r="AF1642" s="4">
        <v>0.5</v>
      </c>
      <c r="AG1642">
        <f t="shared" si="159"/>
        <v>118.5</v>
      </c>
      <c r="AH1642" s="4">
        <v>0.18</v>
      </c>
      <c r="AI1642">
        <f t="shared" si="154"/>
        <v>139.83</v>
      </c>
      <c r="AJ1642" s="4">
        <v>0.2</v>
      </c>
      <c r="AK1642">
        <f t="shared" si="155"/>
        <v>27.97</v>
      </c>
      <c r="AL1642">
        <f t="shared" si="156"/>
        <v>167.8</v>
      </c>
      <c r="AM1642">
        <f t="shared" si="157"/>
        <v>69.2</v>
      </c>
      <c r="AN1642" s="4">
        <f t="shared" si="158"/>
        <v>0.291983122362869</v>
      </c>
      <c r="AO1642" t="s">
        <v>221</v>
      </c>
      <c r="AQ1642" t="s">
        <v>217</v>
      </c>
      <c r="AT1642" t="s">
        <v>1662</v>
      </c>
    </row>
    <row r="1643" ht="15.75" customHeight="1" spans="1:46">
      <c r="A1643" t="s">
        <v>2525</v>
      </c>
      <c r="B1643" t="s">
        <v>79</v>
      </c>
      <c r="C1643" t="s">
        <v>2351</v>
      </c>
      <c r="D1643" t="s">
        <v>2480</v>
      </c>
      <c r="E1643" t="s">
        <v>2353</v>
      </c>
      <c r="F1643" t="s">
        <v>2526</v>
      </c>
      <c r="H1643" t="s">
        <v>2355</v>
      </c>
      <c r="I1643" t="s">
        <v>2367</v>
      </c>
      <c r="Q1643" t="s">
        <v>57</v>
      </c>
      <c r="R1643" t="s">
        <v>2532</v>
      </c>
      <c r="Y1643" t="s">
        <v>2528</v>
      </c>
      <c r="Z1643">
        <v>3917</v>
      </c>
      <c r="AE1643">
        <v>343</v>
      </c>
      <c r="AF1643" s="4">
        <v>0.5</v>
      </c>
      <c r="AG1643">
        <f t="shared" si="159"/>
        <v>171.5</v>
      </c>
      <c r="AH1643" s="4">
        <v>0.18</v>
      </c>
      <c r="AI1643">
        <f t="shared" si="154"/>
        <v>202.37</v>
      </c>
      <c r="AJ1643" s="4">
        <v>0.2</v>
      </c>
      <c r="AK1643">
        <f t="shared" si="155"/>
        <v>40.47</v>
      </c>
      <c r="AL1643">
        <f t="shared" si="156"/>
        <v>242.84</v>
      </c>
      <c r="AM1643">
        <f t="shared" si="157"/>
        <v>100.16</v>
      </c>
      <c r="AN1643" s="4">
        <f t="shared" si="158"/>
        <v>0.29201166180758</v>
      </c>
      <c r="AO1643" t="s">
        <v>221</v>
      </c>
      <c r="AQ1643" t="s">
        <v>217</v>
      </c>
      <c r="AT1643" t="s">
        <v>1662</v>
      </c>
    </row>
    <row r="1644" ht="15.75" customHeight="1" spans="1:46">
      <c r="A1644" t="s">
        <v>2525</v>
      </c>
      <c r="B1644" t="s">
        <v>83</v>
      </c>
      <c r="C1644" t="s">
        <v>2351</v>
      </c>
      <c r="D1644" t="s">
        <v>2480</v>
      </c>
      <c r="E1644" t="s">
        <v>2353</v>
      </c>
      <c r="F1644" t="s">
        <v>2526</v>
      </c>
      <c r="H1644" t="s">
        <v>2355</v>
      </c>
      <c r="I1644" t="s">
        <v>2369</v>
      </c>
      <c r="Q1644" t="s">
        <v>57</v>
      </c>
      <c r="R1644" t="s">
        <v>2533</v>
      </c>
      <c r="Y1644" t="s">
        <v>2528</v>
      </c>
      <c r="Z1644">
        <v>3917</v>
      </c>
      <c r="AE1644">
        <v>534</v>
      </c>
      <c r="AF1644" s="4">
        <v>0.5</v>
      </c>
      <c r="AG1644">
        <f t="shared" si="159"/>
        <v>267</v>
      </c>
      <c r="AH1644" s="4">
        <v>0.18</v>
      </c>
      <c r="AI1644">
        <f t="shared" si="154"/>
        <v>315.06</v>
      </c>
      <c r="AJ1644" s="4">
        <v>0.2</v>
      </c>
      <c r="AK1644">
        <f t="shared" si="155"/>
        <v>63.01</v>
      </c>
      <c r="AL1644">
        <f t="shared" si="156"/>
        <v>378.07</v>
      </c>
      <c r="AM1644">
        <f t="shared" si="157"/>
        <v>155.93</v>
      </c>
      <c r="AN1644" s="4">
        <f t="shared" si="158"/>
        <v>0.292003745318352</v>
      </c>
      <c r="AO1644" t="s">
        <v>221</v>
      </c>
      <c r="AQ1644" t="s">
        <v>217</v>
      </c>
      <c r="AT1644" t="s">
        <v>1662</v>
      </c>
    </row>
    <row r="1645" ht="15.75" customHeight="1" spans="1:46">
      <c r="A1645" t="s">
        <v>2534</v>
      </c>
      <c r="B1645" t="s">
        <v>46</v>
      </c>
      <c r="C1645" t="s">
        <v>2351</v>
      </c>
      <c r="D1645" t="s">
        <v>2480</v>
      </c>
      <c r="E1645" t="s">
        <v>2353</v>
      </c>
      <c r="F1645" t="s">
        <v>2535</v>
      </c>
      <c r="H1645" t="s">
        <v>2355</v>
      </c>
      <c r="I1645" t="s">
        <v>2356</v>
      </c>
      <c r="Q1645" t="s">
        <v>57</v>
      </c>
      <c r="R1645" t="s">
        <v>2536</v>
      </c>
      <c r="Y1645" t="s">
        <v>2537</v>
      </c>
      <c r="Z1645">
        <v>3917</v>
      </c>
      <c r="AE1645">
        <v>17</v>
      </c>
      <c r="AF1645" s="4">
        <v>0.5</v>
      </c>
      <c r="AG1645">
        <f t="shared" si="159"/>
        <v>8.5</v>
      </c>
      <c r="AH1645" s="4">
        <v>0.18</v>
      </c>
      <c r="AI1645">
        <f t="shared" si="154"/>
        <v>10.03</v>
      </c>
      <c r="AJ1645" s="4">
        <v>0.2</v>
      </c>
      <c r="AK1645">
        <f t="shared" si="155"/>
        <v>2.01</v>
      </c>
      <c r="AL1645">
        <f t="shared" si="156"/>
        <v>12.04</v>
      </c>
      <c r="AM1645">
        <f t="shared" si="157"/>
        <v>4.96</v>
      </c>
      <c r="AN1645" s="4">
        <f t="shared" si="158"/>
        <v>0.291764705882353</v>
      </c>
      <c r="AO1645" t="s">
        <v>221</v>
      </c>
      <c r="AQ1645" t="s">
        <v>217</v>
      </c>
      <c r="AT1645" t="s">
        <v>1662</v>
      </c>
    </row>
    <row r="1646" ht="15.75" customHeight="1" spans="1:46">
      <c r="A1646" t="s">
        <v>2534</v>
      </c>
      <c r="B1646" t="s">
        <v>67</v>
      </c>
      <c r="C1646" t="s">
        <v>2351</v>
      </c>
      <c r="D1646" t="s">
        <v>2480</v>
      </c>
      <c r="E1646" t="s">
        <v>2353</v>
      </c>
      <c r="F1646" t="s">
        <v>2535</v>
      </c>
      <c r="H1646" t="s">
        <v>2355</v>
      </c>
      <c r="I1646" t="s">
        <v>2360</v>
      </c>
      <c r="Q1646" t="s">
        <v>57</v>
      </c>
      <c r="R1646" t="s">
        <v>2538</v>
      </c>
      <c r="Y1646" t="s">
        <v>2537</v>
      </c>
      <c r="Z1646">
        <v>3917</v>
      </c>
      <c r="AE1646">
        <v>23</v>
      </c>
      <c r="AF1646" s="4">
        <v>0.5</v>
      </c>
      <c r="AG1646">
        <f t="shared" si="159"/>
        <v>11.5</v>
      </c>
      <c r="AH1646" s="4">
        <v>0.18</v>
      </c>
      <c r="AI1646">
        <f t="shared" si="154"/>
        <v>13.57</v>
      </c>
      <c r="AJ1646" s="4">
        <v>0.2</v>
      </c>
      <c r="AK1646">
        <f t="shared" si="155"/>
        <v>2.71</v>
      </c>
      <c r="AL1646">
        <f t="shared" si="156"/>
        <v>16.28</v>
      </c>
      <c r="AM1646">
        <f t="shared" si="157"/>
        <v>6.72</v>
      </c>
      <c r="AN1646" s="4">
        <f t="shared" si="158"/>
        <v>0.292173913043478</v>
      </c>
      <c r="AO1646" t="s">
        <v>221</v>
      </c>
      <c r="AQ1646" t="s">
        <v>217</v>
      </c>
      <c r="AT1646" t="s">
        <v>1662</v>
      </c>
    </row>
    <row r="1647" ht="15.75" customHeight="1" spans="1:46">
      <c r="A1647" t="s">
        <v>2534</v>
      </c>
      <c r="B1647" t="s">
        <v>71</v>
      </c>
      <c r="C1647" t="s">
        <v>2351</v>
      </c>
      <c r="D1647" t="s">
        <v>2480</v>
      </c>
      <c r="E1647" t="s">
        <v>2353</v>
      </c>
      <c r="F1647" t="s">
        <v>2535</v>
      </c>
      <c r="H1647" t="s">
        <v>2355</v>
      </c>
      <c r="I1647" t="s">
        <v>2363</v>
      </c>
      <c r="Q1647" t="s">
        <v>57</v>
      </c>
      <c r="R1647" t="s">
        <v>2539</v>
      </c>
      <c r="Y1647" t="s">
        <v>2537</v>
      </c>
      <c r="Z1647">
        <v>3917</v>
      </c>
      <c r="AE1647">
        <v>35</v>
      </c>
      <c r="AF1647" s="4">
        <v>0.5</v>
      </c>
      <c r="AG1647">
        <f t="shared" si="159"/>
        <v>17.5</v>
      </c>
      <c r="AH1647" s="4">
        <v>0.18</v>
      </c>
      <c r="AI1647">
        <f t="shared" si="154"/>
        <v>20.65</v>
      </c>
      <c r="AJ1647" s="4">
        <v>0.2</v>
      </c>
      <c r="AK1647">
        <f t="shared" si="155"/>
        <v>4.13</v>
      </c>
      <c r="AL1647">
        <f t="shared" si="156"/>
        <v>24.78</v>
      </c>
      <c r="AM1647">
        <f t="shared" si="157"/>
        <v>10.22</v>
      </c>
      <c r="AN1647" s="4">
        <f t="shared" si="158"/>
        <v>0.292</v>
      </c>
      <c r="AO1647" t="s">
        <v>221</v>
      </c>
      <c r="AQ1647" t="s">
        <v>217</v>
      </c>
      <c r="AT1647" t="s">
        <v>1662</v>
      </c>
    </row>
    <row r="1648" ht="15.75" customHeight="1" spans="1:46">
      <c r="A1648" t="s">
        <v>2534</v>
      </c>
      <c r="B1648" t="s">
        <v>75</v>
      </c>
      <c r="C1648" t="s">
        <v>2351</v>
      </c>
      <c r="D1648" t="s">
        <v>2480</v>
      </c>
      <c r="E1648" t="s">
        <v>2353</v>
      </c>
      <c r="F1648" t="s">
        <v>2535</v>
      </c>
      <c r="H1648" t="s">
        <v>2355</v>
      </c>
      <c r="I1648" t="s">
        <v>2365</v>
      </c>
      <c r="Q1648" t="s">
        <v>57</v>
      </c>
      <c r="R1648" t="s">
        <v>2540</v>
      </c>
      <c r="Y1648" t="s">
        <v>2537</v>
      </c>
      <c r="Z1648">
        <v>3917</v>
      </c>
      <c r="AE1648">
        <v>71</v>
      </c>
      <c r="AF1648" s="4">
        <v>0.5</v>
      </c>
      <c r="AG1648">
        <f t="shared" si="159"/>
        <v>35.5</v>
      </c>
      <c r="AH1648" s="4">
        <v>0.18</v>
      </c>
      <c r="AI1648">
        <f t="shared" si="154"/>
        <v>41.89</v>
      </c>
      <c r="AJ1648" s="4">
        <v>0.2</v>
      </c>
      <c r="AK1648">
        <f t="shared" si="155"/>
        <v>8.38</v>
      </c>
      <c r="AL1648">
        <f t="shared" si="156"/>
        <v>50.27</v>
      </c>
      <c r="AM1648">
        <f t="shared" si="157"/>
        <v>20.73</v>
      </c>
      <c r="AN1648" s="4">
        <f t="shared" si="158"/>
        <v>0.291971830985915</v>
      </c>
      <c r="AO1648" t="s">
        <v>221</v>
      </c>
      <c r="AQ1648" t="s">
        <v>217</v>
      </c>
      <c r="AT1648" t="s">
        <v>1662</v>
      </c>
    </row>
    <row r="1649" ht="15.75" customHeight="1" spans="1:46">
      <c r="A1649" t="s">
        <v>2534</v>
      </c>
      <c r="B1649" t="s">
        <v>79</v>
      </c>
      <c r="C1649" t="s">
        <v>2351</v>
      </c>
      <c r="D1649" t="s">
        <v>2480</v>
      </c>
      <c r="E1649" t="s">
        <v>2353</v>
      </c>
      <c r="F1649" t="s">
        <v>2535</v>
      </c>
      <c r="H1649" t="s">
        <v>2355</v>
      </c>
      <c r="I1649" t="s">
        <v>2367</v>
      </c>
      <c r="Q1649" t="s">
        <v>57</v>
      </c>
      <c r="R1649" t="s">
        <v>2541</v>
      </c>
      <c r="Y1649" t="s">
        <v>2537</v>
      </c>
      <c r="Z1649">
        <v>3917</v>
      </c>
      <c r="AE1649">
        <v>104</v>
      </c>
      <c r="AF1649" s="4">
        <v>0.5</v>
      </c>
      <c r="AG1649">
        <f t="shared" si="159"/>
        <v>52</v>
      </c>
      <c r="AH1649" s="4">
        <v>0.18</v>
      </c>
      <c r="AI1649">
        <f t="shared" si="154"/>
        <v>61.36</v>
      </c>
      <c r="AJ1649" s="4">
        <v>0.2</v>
      </c>
      <c r="AK1649">
        <f t="shared" si="155"/>
        <v>12.27</v>
      </c>
      <c r="AL1649">
        <f t="shared" si="156"/>
        <v>73.63</v>
      </c>
      <c r="AM1649">
        <f t="shared" si="157"/>
        <v>30.37</v>
      </c>
      <c r="AN1649" s="4">
        <f t="shared" si="158"/>
        <v>0.292019230769231</v>
      </c>
      <c r="AO1649" t="s">
        <v>221</v>
      </c>
      <c r="AQ1649" t="s">
        <v>217</v>
      </c>
      <c r="AT1649" t="s">
        <v>1662</v>
      </c>
    </row>
    <row r="1650" ht="15.75" customHeight="1" spans="1:46">
      <c r="A1650" t="s">
        <v>2534</v>
      </c>
      <c r="B1650" t="s">
        <v>83</v>
      </c>
      <c r="C1650" t="s">
        <v>2351</v>
      </c>
      <c r="D1650" t="s">
        <v>2480</v>
      </c>
      <c r="E1650" t="s">
        <v>2353</v>
      </c>
      <c r="F1650" t="s">
        <v>2535</v>
      </c>
      <c r="H1650" t="s">
        <v>2355</v>
      </c>
      <c r="I1650" t="s">
        <v>2369</v>
      </c>
      <c r="Q1650" t="s">
        <v>57</v>
      </c>
      <c r="R1650" t="s">
        <v>2542</v>
      </c>
      <c r="Y1650" t="s">
        <v>2537</v>
      </c>
      <c r="Z1650">
        <v>3917</v>
      </c>
      <c r="AE1650">
        <v>219</v>
      </c>
      <c r="AF1650" s="4">
        <v>0.5</v>
      </c>
      <c r="AG1650">
        <f t="shared" si="159"/>
        <v>109.5</v>
      </c>
      <c r="AH1650" s="4">
        <v>0.18</v>
      </c>
      <c r="AI1650">
        <f t="shared" si="154"/>
        <v>129.21</v>
      </c>
      <c r="AJ1650" s="4">
        <v>0.2</v>
      </c>
      <c r="AK1650">
        <f t="shared" si="155"/>
        <v>25.84</v>
      </c>
      <c r="AL1650">
        <f t="shared" si="156"/>
        <v>155.05</v>
      </c>
      <c r="AM1650">
        <f t="shared" si="157"/>
        <v>63.95</v>
      </c>
      <c r="AN1650" s="4">
        <f t="shared" si="158"/>
        <v>0.292009132420091</v>
      </c>
      <c r="AO1650" t="s">
        <v>221</v>
      </c>
      <c r="AQ1650" t="s">
        <v>217</v>
      </c>
      <c r="AT1650" t="s">
        <v>1662</v>
      </c>
    </row>
    <row r="1651" ht="15.75" customHeight="1" spans="1:46">
      <c r="A1651" t="s">
        <v>2543</v>
      </c>
      <c r="B1651" t="s">
        <v>46</v>
      </c>
      <c r="C1651" t="s">
        <v>2351</v>
      </c>
      <c r="D1651" t="s">
        <v>2480</v>
      </c>
      <c r="E1651" t="s">
        <v>2353</v>
      </c>
      <c r="F1651" t="s">
        <v>2544</v>
      </c>
      <c r="H1651" t="s">
        <v>53</v>
      </c>
      <c r="I1651" t="s">
        <v>2545</v>
      </c>
      <c r="Q1651" t="s">
        <v>57</v>
      </c>
      <c r="R1651" t="s">
        <v>2546</v>
      </c>
      <c r="Y1651" t="s">
        <v>2547</v>
      </c>
      <c r="Z1651">
        <v>3917</v>
      </c>
      <c r="AE1651">
        <v>42</v>
      </c>
      <c r="AF1651" s="4">
        <v>0.37</v>
      </c>
      <c r="AG1651">
        <f t="shared" si="159"/>
        <v>26.46</v>
      </c>
      <c r="AH1651" s="4">
        <v>0.18</v>
      </c>
      <c r="AI1651">
        <f t="shared" si="154"/>
        <v>31.22</v>
      </c>
      <c r="AJ1651" s="4">
        <v>0.15</v>
      </c>
      <c r="AK1651">
        <f t="shared" si="155"/>
        <v>4.68</v>
      </c>
      <c r="AL1651">
        <f t="shared" si="156"/>
        <v>35.9</v>
      </c>
      <c r="AM1651">
        <f t="shared" si="157"/>
        <v>6.1</v>
      </c>
      <c r="AN1651" s="4">
        <f t="shared" si="158"/>
        <v>0.145238095238095</v>
      </c>
      <c r="AO1651" t="s">
        <v>221</v>
      </c>
      <c r="AQ1651" t="s">
        <v>217</v>
      </c>
      <c r="AT1651" t="s">
        <v>1662</v>
      </c>
    </row>
    <row r="1652" ht="15.75" customHeight="1" spans="1:46">
      <c r="A1652" t="s">
        <v>2543</v>
      </c>
      <c r="B1652" t="s">
        <v>67</v>
      </c>
      <c r="C1652" t="s">
        <v>2351</v>
      </c>
      <c r="D1652" t="s">
        <v>2480</v>
      </c>
      <c r="E1652" t="s">
        <v>2353</v>
      </c>
      <c r="F1652" t="s">
        <v>2544</v>
      </c>
      <c r="H1652" t="s">
        <v>53</v>
      </c>
      <c r="I1652" t="s">
        <v>2548</v>
      </c>
      <c r="Q1652" t="s">
        <v>57</v>
      </c>
      <c r="R1652" t="s">
        <v>2549</v>
      </c>
      <c r="Y1652" t="s">
        <v>2547</v>
      </c>
      <c r="Z1652">
        <v>3917</v>
      </c>
      <c r="AE1652">
        <v>50</v>
      </c>
      <c r="AF1652" s="4">
        <v>0.37</v>
      </c>
      <c r="AG1652">
        <f t="shared" si="159"/>
        <v>31.5</v>
      </c>
      <c r="AH1652" s="4">
        <v>0.18</v>
      </c>
      <c r="AI1652">
        <f t="shared" si="154"/>
        <v>37.17</v>
      </c>
      <c r="AJ1652" s="4">
        <v>0.15</v>
      </c>
      <c r="AK1652">
        <f t="shared" si="155"/>
        <v>5.58</v>
      </c>
      <c r="AL1652">
        <f t="shared" si="156"/>
        <v>42.75</v>
      </c>
      <c r="AM1652">
        <f t="shared" si="157"/>
        <v>7.25</v>
      </c>
      <c r="AN1652" s="4">
        <f t="shared" si="158"/>
        <v>0.145</v>
      </c>
      <c r="AO1652" t="s">
        <v>221</v>
      </c>
      <c r="AQ1652" t="s">
        <v>217</v>
      </c>
      <c r="AT1652" t="s">
        <v>1662</v>
      </c>
    </row>
    <row r="1653" ht="15.75" customHeight="1" spans="1:46">
      <c r="A1653" t="s">
        <v>2550</v>
      </c>
      <c r="B1653" t="s">
        <v>46</v>
      </c>
      <c r="C1653" t="s">
        <v>2351</v>
      </c>
      <c r="D1653" t="s">
        <v>2480</v>
      </c>
      <c r="E1653" t="s">
        <v>2353</v>
      </c>
      <c r="F1653" t="s">
        <v>2551</v>
      </c>
      <c r="H1653" t="s">
        <v>53</v>
      </c>
      <c r="I1653" t="s">
        <v>2545</v>
      </c>
      <c r="Q1653" t="s">
        <v>57</v>
      </c>
      <c r="R1653" t="s">
        <v>2552</v>
      </c>
      <c r="Y1653" t="s">
        <v>2553</v>
      </c>
      <c r="Z1653">
        <v>3917</v>
      </c>
      <c r="AE1653">
        <v>37</v>
      </c>
      <c r="AF1653" s="4">
        <v>0.37</v>
      </c>
      <c r="AG1653">
        <f t="shared" si="159"/>
        <v>23.31</v>
      </c>
      <c r="AH1653" s="4">
        <v>0.18</v>
      </c>
      <c r="AI1653">
        <f t="shared" si="154"/>
        <v>27.51</v>
      </c>
      <c r="AJ1653" s="4">
        <v>0.15</v>
      </c>
      <c r="AK1653">
        <f t="shared" si="155"/>
        <v>4.13</v>
      </c>
      <c r="AL1653">
        <f t="shared" si="156"/>
        <v>31.64</v>
      </c>
      <c r="AM1653">
        <f t="shared" si="157"/>
        <v>5.36</v>
      </c>
      <c r="AN1653" s="4">
        <f t="shared" si="158"/>
        <v>0.144864864864865</v>
      </c>
      <c r="AO1653" t="s">
        <v>221</v>
      </c>
      <c r="AQ1653" t="s">
        <v>217</v>
      </c>
      <c r="AT1653" t="s">
        <v>1662</v>
      </c>
    </row>
    <row r="1654" ht="15.75" customHeight="1" spans="1:46">
      <c r="A1654" t="s">
        <v>2550</v>
      </c>
      <c r="B1654" t="s">
        <v>67</v>
      </c>
      <c r="C1654" t="s">
        <v>2351</v>
      </c>
      <c r="D1654" t="s">
        <v>2480</v>
      </c>
      <c r="E1654" t="s">
        <v>2353</v>
      </c>
      <c r="F1654" t="s">
        <v>2551</v>
      </c>
      <c r="H1654" t="s">
        <v>53</v>
      </c>
      <c r="I1654" t="s">
        <v>2554</v>
      </c>
      <c r="Q1654" t="s">
        <v>57</v>
      </c>
      <c r="R1654" t="s">
        <v>2555</v>
      </c>
      <c r="Y1654" t="s">
        <v>2553</v>
      </c>
      <c r="Z1654">
        <v>3917</v>
      </c>
      <c r="AE1654">
        <v>70</v>
      </c>
      <c r="AF1654" s="4">
        <v>0.37</v>
      </c>
      <c r="AG1654">
        <f t="shared" si="159"/>
        <v>44.1</v>
      </c>
      <c r="AH1654" s="4">
        <v>0.18</v>
      </c>
      <c r="AI1654">
        <f t="shared" si="154"/>
        <v>52.04</v>
      </c>
      <c r="AJ1654" s="4">
        <v>0.15</v>
      </c>
      <c r="AK1654">
        <f t="shared" si="155"/>
        <v>7.81</v>
      </c>
      <c r="AL1654">
        <f t="shared" si="156"/>
        <v>59.85</v>
      </c>
      <c r="AM1654">
        <f t="shared" si="157"/>
        <v>10.15</v>
      </c>
      <c r="AN1654" s="4">
        <f t="shared" si="158"/>
        <v>0.145</v>
      </c>
      <c r="AO1654" t="s">
        <v>221</v>
      </c>
      <c r="AQ1654" t="s">
        <v>217</v>
      </c>
      <c r="AT1654" t="s">
        <v>1662</v>
      </c>
    </row>
    <row r="1655" ht="15.75" customHeight="1" spans="1:46">
      <c r="A1655" t="s">
        <v>2550</v>
      </c>
      <c r="B1655" t="s">
        <v>71</v>
      </c>
      <c r="C1655" t="s">
        <v>2351</v>
      </c>
      <c r="D1655" t="s">
        <v>2480</v>
      </c>
      <c r="E1655" t="s">
        <v>2353</v>
      </c>
      <c r="F1655" t="s">
        <v>2551</v>
      </c>
      <c r="H1655" t="s">
        <v>53</v>
      </c>
      <c r="I1655" t="s">
        <v>2548</v>
      </c>
      <c r="Q1655" t="s">
        <v>57</v>
      </c>
      <c r="R1655" t="s">
        <v>2556</v>
      </c>
      <c r="Y1655" t="s">
        <v>2553</v>
      </c>
      <c r="Z1655">
        <v>3917</v>
      </c>
      <c r="AE1655">
        <v>95</v>
      </c>
      <c r="AF1655" s="4">
        <v>0.37</v>
      </c>
      <c r="AG1655">
        <f t="shared" si="159"/>
        <v>59.85</v>
      </c>
      <c r="AH1655" s="4">
        <v>0.18</v>
      </c>
      <c r="AI1655">
        <f t="shared" si="154"/>
        <v>70.62</v>
      </c>
      <c r="AJ1655" s="4">
        <v>0.15</v>
      </c>
      <c r="AK1655">
        <f t="shared" si="155"/>
        <v>10.59</v>
      </c>
      <c r="AL1655">
        <f t="shared" si="156"/>
        <v>81.21</v>
      </c>
      <c r="AM1655">
        <f t="shared" si="157"/>
        <v>13.79</v>
      </c>
      <c r="AN1655" s="4">
        <f t="shared" si="158"/>
        <v>0.145157894736842</v>
      </c>
      <c r="AO1655" t="s">
        <v>221</v>
      </c>
      <c r="AQ1655" t="s">
        <v>217</v>
      </c>
      <c r="AT1655" t="s">
        <v>1662</v>
      </c>
    </row>
    <row r="1656" ht="15.75" customHeight="1" spans="1:46">
      <c r="A1656" t="s">
        <v>2550</v>
      </c>
      <c r="B1656" t="s">
        <v>75</v>
      </c>
      <c r="C1656" t="s">
        <v>2351</v>
      </c>
      <c r="D1656" t="s">
        <v>2480</v>
      </c>
      <c r="E1656" t="s">
        <v>2353</v>
      </c>
      <c r="F1656" t="s">
        <v>2551</v>
      </c>
      <c r="H1656" t="s">
        <v>53</v>
      </c>
      <c r="I1656" t="s">
        <v>2557</v>
      </c>
      <c r="Q1656" t="s">
        <v>57</v>
      </c>
      <c r="R1656" t="s">
        <v>2558</v>
      </c>
      <c r="Y1656" t="s">
        <v>2553</v>
      </c>
      <c r="Z1656">
        <v>3917</v>
      </c>
      <c r="AE1656">
        <v>102</v>
      </c>
      <c r="AF1656" s="4">
        <v>0.37</v>
      </c>
      <c r="AG1656">
        <f t="shared" si="159"/>
        <v>64.26</v>
      </c>
      <c r="AH1656" s="4">
        <v>0.18</v>
      </c>
      <c r="AI1656">
        <f t="shared" si="154"/>
        <v>75.83</v>
      </c>
      <c r="AJ1656" s="4">
        <v>0.15</v>
      </c>
      <c r="AK1656">
        <f t="shared" si="155"/>
        <v>11.37</v>
      </c>
      <c r="AL1656">
        <f t="shared" si="156"/>
        <v>87.2</v>
      </c>
      <c r="AM1656">
        <f t="shared" si="157"/>
        <v>14.8</v>
      </c>
      <c r="AN1656" s="4">
        <f t="shared" si="158"/>
        <v>0.145098039215686</v>
      </c>
      <c r="AO1656" t="s">
        <v>221</v>
      </c>
      <c r="AQ1656" t="s">
        <v>217</v>
      </c>
      <c r="AT1656" t="s">
        <v>1662</v>
      </c>
    </row>
    <row r="1657" ht="15.75" customHeight="1" spans="1:46">
      <c r="A1657" t="s">
        <v>2550</v>
      </c>
      <c r="B1657" t="s">
        <v>79</v>
      </c>
      <c r="C1657" t="s">
        <v>2351</v>
      </c>
      <c r="D1657" t="s">
        <v>2480</v>
      </c>
      <c r="E1657" t="s">
        <v>2353</v>
      </c>
      <c r="F1657" t="s">
        <v>2551</v>
      </c>
      <c r="H1657" t="s">
        <v>53</v>
      </c>
      <c r="I1657" t="s">
        <v>2559</v>
      </c>
      <c r="Q1657" t="s">
        <v>57</v>
      </c>
      <c r="R1657" t="s">
        <v>2560</v>
      </c>
      <c r="Y1657" t="s">
        <v>2553</v>
      </c>
      <c r="Z1657">
        <v>3917</v>
      </c>
      <c r="AE1657">
        <v>109</v>
      </c>
      <c r="AF1657" s="4">
        <v>0.37</v>
      </c>
      <c r="AG1657">
        <f t="shared" si="159"/>
        <v>68.67</v>
      </c>
      <c r="AH1657" s="4">
        <v>0.18</v>
      </c>
      <c r="AI1657">
        <f t="shared" si="154"/>
        <v>81.03</v>
      </c>
      <c r="AJ1657" s="4">
        <v>0.15</v>
      </c>
      <c r="AK1657">
        <f t="shared" si="155"/>
        <v>12.15</v>
      </c>
      <c r="AL1657">
        <f t="shared" si="156"/>
        <v>93.18</v>
      </c>
      <c r="AM1657">
        <f t="shared" si="157"/>
        <v>15.82</v>
      </c>
      <c r="AN1657" s="4">
        <f t="shared" si="158"/>
        <v>0.145137614678899</v>
      </c>
      <c r="AO1657" t="s">
        <v>221</v>
      </c>
      <c r="AQ1657" t="s">
        <v>217</v>
      </c>
      <c r="AT1657" t="s">
        <v>1662</v>
      </c>
    </row>
    <row r="1658" ht="15.75" customHeight="1" spans="1:46">
      <c r="A1658" t="s">
        <v>2550</v>
      </c>
      <c r="B1658" t="s">
        <v>83</v>
      </c>
      <c r="C1658" t="s">
        <v>2351</v>
      </c>
      <c r="D1658" t="s">
        <v>2480</v>
      </c>
      <c r="E1658" t="s">
        <v>2353</v>
      </c>
      <c r="F1658" t="s">
        <v>2551</v>
      </c>
      <c r="H1658" t="s">
        <v>53</v>
      </c>
      <c r="I1658" t="s">
        <v>2561</v>
      </c>
      <c r="Q1658" t="s">
        <v>57</v>
      </c>
      <c r="R1658" t="s">
        <v>2562</v>
      </c>
      <c r="Y1658" t="s">
        <v>2553</v>
      </c>
      <c r="Z1658">
        <v>3917</v>
      </c>
      <c r="AE1658">
        <v>146</v>
      </c>
      <c r="AF1658" s="4">
        <v>0.37</v>
      </c>
      <c r="AG1658">
        <f t="shared" si="159"/>
        <v>91.98</v>
      </c>
      <c r="AH1658" s="4">
        <v>0.18</v>
      </c>
      <c r="AI1658">
        <f t="shared" si="154"/>
        <v>108.54</v>
      </c>
      <c r="AJ1658" s="4">
        <v>0.15</v>
      </c>
      <c r="AK1658">
        <f t="shared" si="155"/>
        <v>16.28</v>
      </c>
      <c r="AL1658">
        <f t="shared" si="156"/>
        <v>124.82</v>
      </c>
      <c r="AM1658">
        <f t="shared" si="157"/>
        <v>21.18</v>
      </c>
      <c r="AN1658" s="4">
        <f t="shared" si="158"/>
        <v>0.145068493150685</v>
      </c>
      <c r="AO1658" t="s">
        <v>221</v>
      </c>
      <c r="AQ1658" t="s">
        <v>217</v>
      </c>
      <c r="AT1658" t="s">
        <v>1662</v>
      </c>
    </row>
    <row r="1659" ht="15.75" customHeight="1" spans="1:46">
      <c r="A1659" t="s">
        <v>2550</v>
      </c>
      <c r="B1659" t="s">
        <v>131</v>
      </c>
      <c r="C1659" t="s">
        <v>2351</v>
      </c>
      <c r="D1659" t="s">
        <v>2480</v>
      </c>
      <c r="E1659" t="s">
        <v>2353</v>
      </c>
      <c r="F1659" t="s">
        <v>2551</v>
      </c>
      <c r="H1659" t="s">
        <v>53</v>
      </c>
      <c r="I1659" t="s">
        <v>2563</v>
      </c>
      <c r="Q1659" t="s">
        <v>57</v>
      </c>
      <c r="R1659" t="s">
        <v>2564</v>
      </c>
      <c r="Y1659" t="s">
        <v>2553</v>
      </c>
      <c r="Z1659">
        <v>3917</v>
      </c>
      <c r="AE1659">
        <v>462</v>
      </c>
      <c r="AF1659" s="4">
        <v>0.37</v>
      </c>
      <c r="AG1659">
        <f t="shared" si="159"/>
        <v>291.06</v>
      </c>
      <c r="AH1659" s="4">
        <v>0.18</v>
      </c>
      <c r="AI1659">
        <f t="shared" si="154"/>
        <v>343.45</v>
      </c>
      <c r="AJ1659" s="4">
        <v>0.15</v>
      </c>
      <c r="AK1659">
        <f t="shared" si="155"/>
        <v>51.52</v>
      </c>
      <c r="AL1659">
        <f t="shared" si="156"/>
        <v>394.97</v>
      </c>
      <c r="AM1659">
        <f t="shared" si="157"/>
        <v>67.03</v>
      </c>
      <c r="AN1659" s="4">
        <f t="shared" si="158"/>
        <v>0.14508658008658</v>
      </c>
      <c r="AO1659" t="s">
        <v>221</v>
      </c>
      <c r="AQ1659" t="s">
        <v>217</v>
      </c>
      <c r="AT1659" t="s">
        <v>1662</v>
      </c>
    </row>
    <row r="1660" ht="15.75" customHeight="1" spans="1:46">
      <c r="A1660" t="s">
        <v>2565</v>
      </c>
      <c r="B1660" t="s">
        <v>46</v>
      </c>
      <c r="C1660" t="s">
        <v>2351</v>
      </c>
      <c r="D1660" t="s">
        <v>2480</v>
      </c>
      <c r="E1660" t="s">
        <v>2353</v>
      </c>
      <c r="F1660" t="s">
        <v>2566</v>
      </c>
      <c r="H1660" t="s">
        <v>2355</v>
      </c>
      <c r="I1660" t="s">
        <v>2356</v>
      </c>
      <c r="Q1660" t="s">
        <v>57</v>
      </c>
      <c r="R1660" t="s">
        <v>2567</v>
      </c>
      <c r="Y1660" t="s">
        <v>2568</v>
      </c>
      <c r="Z1660">
        <v>3917</v>
      </c>
      <c r="AE1660">
        <v>25</v>
      </c>
      <c r="AF1660" s="4">
        <v>0.37</v>
      </c>
      <c r="AG1660">
        <f t="shared" si="159"/>
        <v>15.75</v>
      </c>
      <c r="AH1660" s="4">
        <v>0.18</v>
      </c>
      <c r="AI1660">
        <f t="shared" si="154"/>
        <v>18.59</v>
      </c>
      <c r="AJ1660" s="4">
        <v>0.15</v>
      </c>
      <c r="AK1660">
        <f t="shared" si="155"/>
        <v>2.79</v>
      </c>
      <c r="AL1660">
        <f t="shared" si="156"/>
        <v>21.38</v>
      </c>
      <c r="AM1660">
        <f t="shared" si="157"/>
        <v>3.62</v>
      </c>
      <c r="AN1660" s="4">
        <f t="shared" si="158"/>
        <v>0.1448</v>
      </c>
      <c r="AO1660" t="s">
        <v>221</v>
      </c>
      <c r="AQ1660" t="s">
        <v>217</v>
      </c>
      <c r="AT1660" t="s">
        <v>1662</v>
      </c>
    </row>
    <row r="1661" ht="15.75" customHeight="1" spans="1:46">
      <c r="A1661" t="s">
        <v>2565</v>
      </c>
      <c r="B1661" t="s">
        <v>67</v>
      </c>
      <c r="C1661" t="s">
        <v>2351</v>
      </c>
      <c r="D1661" t="s">
        <v>2480</v>
      </c>
      <c r="E1661" t="s">
        <v>2353</v>
      </c>
      <c r="F1661" t="s">
        <v>2566</v>
      </c>
      <c r="H1661" t="s">
        <v>2355</v>
      </c>
      <c r="I1661" t="s">
        <v>2360</v>
      </c>
      <c r="Q1661" t="s">
        <v>57</v>
      </c>
      <c r="R1661" t="s">
        <v>2569</v>
      </c>
      <c r="Y1661" t="s">
        <v>2568</v>
      </c>
      <c r="Z1661">
        <v>3917</v>
      </c>
      <c r="AE1661">
        <v>36</v>
      </c>
      <c r="AF1661" s="4">
        <v>0.37</v>
      </c>
      <c r="AG1661">
        <f t="shared" si="159"/>
        <v>22.68</v>
      </c>
      <c r="AH1661" s="4">
        <v>0.18</v>
      </c>
      <c r="AI1661">
        <f t="shared" si="154"/>
        <v>26.76</v>
      </c>
      <c r="AJ1661" s="4">
        <v>0.15</v>
      </c>
      <c r="AK1661">
        <f t="shared" si="155"/>
        <v>4.01</v>
      </c>
      <c r="AL1661">
        <f t="shared" si="156"/>
        <v>30.77</v>
      </c>
      <c r="AM1661">
        <f t="shared" si="157"/>
        <v>5.23</v>
      </c>
      <c r="AN1661" s="4">
        <f t="shared" si="158"/>
        <v>0.145277777777778</v>
      </c>
      <c r="AO1661" t="s">
        <v>221</v>
      </c>
      <c r="AQ1661" t="s">
        <v>217</v>
      </c>
      <c r="AT1661" t="s">
        <v>1662</v>
      </c>
    </row>
    <row r="1662" ht="15.75" customHeight="1" spans="1:46">
      <c r="A1662" t="s">
        <v>2565</v>
      </c>
      <c r="B1662" t="s">
        <v>71</v>
      </c>
      <c r="C1662" t="s">
        <v>2351</v>
      </c>
      <c r="D1662" t="s">
        <v>2480</v>
      </c>
      <c r="E1662" t="s">
        <v>2353</v>
      </c>
      <c r="F1662" t="s">
        <v>2566</v>
      </c>
      <c r="H1662" t="s">
        <v>2355</v>
      </c>
      <c r="I1662" t="s">
        <v>2363</v>
      </c>
      <c r="Q1662" t="s">
        <v>57</v>
      </c>
      <c r="R1662" t="s">
        <v>2570</v>
      </c>
      <c r="Y1662" t="s">
        <v>2568</v>
      </c>
      <c r="Z1662">
        <v>3917</v>
      </c>
      <c r="AE1662">
        <v>64</v>
      </c>
      <c r="AF1662" s="4">
        <v>0.37</v>
      </c>
      <c r="AG1662">
        <f t="shared" si="159"/>
        <v>40.32</v>
      </c>
      <c r="AH1662" s="4">
        <v>0.18</v>
      </c>
      <c r="AI1662">
        <f t="shared" si="154"/>
        <v>47.58</v>
      </c>
      <c r="AJ1662" s="4">
        <v>0.15</v>
      </c>
      <c r="AK1662">
        <f t="shared" si="155"/>
        <v>7.14</v>
      </c>
      <c r="AL1662">
        <f t="shared" si="156"/>
        <v>54.72</v>
      </c>
      <c r="AM1662">
        <f t="shared" si="157"/>
        <v>9.28</v>
      </c>
      <c r="AN1662" s="4">
        <f t="shared" si="158"/>
        <v>0.145</v>
      </c>
      <c r="AO1662" t="s">
        <v>221</v>
      </c>
      <c r="AQ1662" t="s">
        <v>217</v>
      </c>
      <c r="AT1662" t="s">
        <v>1662</v>
      </c>
    </row>
    <row r="1663" ht="15.75" customHeight="1" spans="1:46">
      <c r="A1663" t="s">
        <v>2565</v>
      </c>
      <c r="B1663" t="s">
        <v>75</v>
      </c>
      <c r="C1663" t="s">
        <v>2351</v>
      </c>
      <c r="D1663" t="s">
        <v>2480</v>
      </c>
      <c r="E1663" t="s">
        <v>2353</v>
      </c>
      <c r="F1663" t="s">
        <v>2566</v>
      </c>
      <c r="H1663" t="s">
        <v>2355</v>
      </c>
      <c r="I1663" t="s">
        <v>2365</v>
      </c>
      <c r="Q1663" t="s">
        <v>57</v>
      </c>
      <c r="R1663" t="s">
        <v>2571</v>
      </c>
      <c r="Y1663" t="s">
        <v>2568</v>
      </c>
      <c r="Z1663">
        <v>3917</v>
      </c>
      <c r="AE1663">
        <v>134</v>
      </c>
      <c r="AF1663" s="4">
        <v>0.37</v>
      </c>
      <c r="AG1663">
        <f t="shared" si="159"/>
        <v>84.42</v>
      </c>
      <c r="AH1663" s="4">
        <v>0.18</v>
      </c>
      <c r="AI1663">
        <f t="shared" si="154"/>
        <v>99.62</v>
      </c>
      <c r="AJ1663" s="4">
        <v>0.15</v>
      </c>
      <c r="AK1663">
        <f t="shared" si="155"/>
        <v>14.94</v>
      </c>
      <c r="AL1663">
        <f t="shared" si="156"/>
        <v>114.56</v>
      </c>
      <c r="AM1663">
        <f t="shared" si="157"/>
        <v>19.44</v>
      </c>
      <c r="AN1663" s="4">
        <f t="shared" si="158"/>
        <v>0.145074626865672</v>
      </c>
      <c r="AO1663" t="s">
        <v>221</v>
      </c>
      <c r="AQ1663" t="s">
        <v>217</v>
      </c>
      <c r="AT1663" t="s">
        <v>1662</v>
      </c>
    </row>
    <row r="1664" ht="15.75" customHeight="1" spans="1:46">
      <c r="A1664" t="s">
        <v>2565</v>
      </c>
      <c r="B1664" t="s">
        <v>79</v>
      </c>
      <c r="C1664" t="s">
        <v>2351</v>
      </c>
      <c r="D1664" t="s">
        <v>2480</v>
      </c>
      <c r="E1664" t="s">
        <v>2353</v>
      </c>
      <c r="F1664" t="s">
        <v>2566</v>
      </c>
      <c r="H1664" t="s">
        <v>2355</v>
      </c>
      <c r="I1664" t="s">
        <v>2367</v>
      </c>
      <c r="Q1664" t="s">
        <v>57</v>
      </c>
      <c r="R1664" t="s">
        <v>2572</v>
      </c>
      <c r="Y1664" t="s">
        <v>2568</v>
      </c>
      <c r="Z1664">
        <v>3917</v>
      </c>
      <c r="AE1664">
        <v>214</v>
      </c>
      <c r="AF1664" s="4">
        <v>0.37</v>
      </c>
      <c r="AG1664">
        <f t="shared" si="159"/>
        <v>134.82</v>
      </c>
      <c r="AH1664" s="4">
        <v>0.18</v>
      </c>
      <c r="AI1664">
        <f t="shared" si="154"/>
        <v>159.09</v>
      </c>
      <c r="AJ1664" s="4">
        <v>0.15</v>
      </c>
      <c r="AK1664">
        <f t="shared" si="155"/>
        <v>23.86</v>
      </c>
      <c r="AL1664">
        <f t="shared" si="156"/>
        <v>182.95</v>
      </c>
      <c r="AM1664">
        <f t="shared" si="157"/>
        <v>31.05</v>
      </c>
      <c r="AN1664" s="4">
        <f t="shared" si="158"/>
        <v>0.145093457943925</v>
      </c>
      <c r="AO1664" t="s">
        <v>221</v>
      </c>
      <c r="AQ1664" t="s">
        <v>217</v>
      </c>
      <c r="AT1664" t="s">
        <v>1662</v>
      </c>
    </row>
    <row r="1665" ht="15.75" customHeight="1" spans="1:46">
      <c r="A1665" t="s">
        <v>2565</v>
      </c>
      <c r="B1665" t="s">
        <v>83</v>
      </c>
      <c r="C1665" t="s">
        <v>2351</v>
      </c>
      <c r="D1665" t="s">
        <v>2480</v>
      </c>
      <c r="E1665" t="s">
        <v>2353</v>
      </c>
      <c r="F1665" t="s">
        <v>2566</v>
      </c>
      <c r="H1665" t="s">
        <v>2355</v>
      </c>
      <c r="I1665" t="s">
        <v>2369</v>
      </c>
      <c r="Q1665" t="s">
        <v>57</v>
      </c>
      <c r="R1665" t="s">
        <v>2573</v>
      </c>
      <c r="Y1665" t="s">
        <v>2568</v>
      </c>
      <c r="Z1665">
        <v>3917</v>
      </c>
      <c r="AE1665">
        <v>424</v>
      </c>
      <c r="AF1665" s="4">
        <v>0.37</v>
      </c>
      <c r="AG1665">
        <f t="shared" si="159"/>
        <v>267.12</v>
      </c>
      <c r="AH1665" s="4">
        <v>0.18</v>
      </c>
      <c r="AI1665">
        <f t="shared" si="154"/>
        <v>315.2</v>
      </c>
      <c r="AJ1665" s="4">
        <v>0.15</v>
      </c>
      <c r="AK1665">
        <f t="shared" si="155"/>
        <v>47.28</v>
      </c>
      <c r="AL1665">
        <f t="shared" si="156"/>
        <v>362.48</v>
      </c>
      <c r="AM1665">
        <f t="shared" si="157"/>
        <v>61.52</v>
      </c>
      <c r="AN1665" s="4">
        <f t="shared" si="158"/>
        <v>0.145094339622641</v>
      </c>
      <c r="AO1665" t="s">
        <v>221</v>
      </c>
      <c r="AQ1665" t="s">
        <v>217</v>
      </c>
      <c r="AT1665" t="s">
        <v>1662</v>
      </c>
    </row>
    <row r="1666" ht="15.75" customHeight="1" spans="1:46">
      <c r="A1666" t="s">
        <v>2574</v>
      </c>
      <c r="B1666" t="s">
        <v>46</v>
      </c>
      <c r="C1666" t="s">
        <v>2351</v>
      </c>
      <c r="D1666" t="s">
        <v>2480</v>
      </c>
      <c r="E1666" t="s">
        <v>2353</v>
      </c>
      <c r="F1666" t="s">
        <v>2575</v>
      </c>
      <c r="H1666" t="s">
        <v>2355</v>
      </c>
      <c r="I1666" t="s">
        <v>2356</v>
      </c>
      <c r="Q1666" t="s">
        <v>57</v>
      </c>
      <c r="R1666" t="s">
        <v>2576</v>
      </c>
      <c r="Y1666" t="s">
        <v>2577</v>
      </c>
      <c r="Z1666">
        <v>3917</v>
      </c>
      <c r="AE1666">
        <v>27</v>
      </c>
      <c r="AF1666" s="4">
        <v>0.37</v>
      </c>
      <c r="AG1666">
        <f t="shared" si="159"/>
        <v>17.01</v>
      </c>
      <c r="AH1666" s="4">
        <v>0.18</v>
      </c>
      <c r="AI1666">
        <f t="shared" ref="AI1666:AI1729" si="160">ROUND(AG1666+(AG1666*AH1666),2)</f>
        <v>20.07</v>
      </c>
      <c r="AJ1666" s="4">
        <v>0.15</v>
      </c>
      <c r="AK1666">
        <f t="shared" ref="AK1666:AK1729" si="161">ROUND(AI1666*AJ1666,2)</f>
        <v>3.01</v>
      </c>
      <c r="AL1666">
        <f t="shared" ref="AL1666:AL1729" si="162">AI1666+AK1666</f>
        <v>23.08</v>
      </c>
      <c r="AM1666">
        <f t="shared" ref="AM1666:AM1729" si="163">AE1666-AL1666</f>
        <v>3.92</v>
      </c>
      <c r="AN1666" s="4">
        <f t="shared" ref="AN1666:AN1729" si="164">AM1666/AE1666</f>
        <v>0.145185185185185</v>
      </c>
      <c r="AO1666" t="s">
        <v>221</v>
      </c>
      <c r="AQ1666" t="s">
        <v>217</v>
      </c>
      <c r="AT1666" t="s">
        <v>1662</v>
      </c>
    </row>
    <row r="1667" ht="15.75" customHeight="1" spans="1:46">
      <c r="A1667" t="s">
        <v>2574</v>
      </c>
      <c r="B1667" t="s">
        <v>67</v>
      </c>
      <c r="C1667" t="s">
        <v>2351</v>
      </c>
      <c r="D1667" t="s">
        <v>2480</v>
      </c>
      <c r="E1667" t="s">
        <v>2353</v>
      </c>
      <c r="F1667" t="s">
        <v>2575</v>
      </c>
      <c r="H1667" t="s">
        <v>2355</v>
      </c>
      <c r="I1667" t="s">
        <v>2360</v>
      </c>
      <c r="Q1667" t="s">
        <v>57</v>
      </c>
      <c r="R1667" t="s">
        <v>2578</v>
      </c>
      <c r="Y1667" t="s">
        <v>2577</v>
      </c>
      <c r="Z1667">
        <v>3917</v>
      </c>
      <c r="AE1667">
        <v>39</v>
      </c>
      <c r="AF1667" s="4">
        <v>0.37</v>
      </c>
      <c r="AG1667">
        <f t="shared" si="159"/>
        <v>24.57</v>
      </c>
      <c r="AH1667" s="4">
        <v>0.18</v>
      </c>
      <c r="AI1667">
        <f t="shared" si="160"/>
        <v>28.99</v>
      </c>
      <c r="AJ1667" s="4">
        <v>0.15</v>
      </c>
      <c r="AK1667">
        <f t="shared" si="161"/>
        <v>4.35</v>
      </c>
      <c r="AL1667">
        <f t="shared" si="162"/>
        <v>33.34</v>
      </c>
      <c r="AM1667">
        <f t="shared" si="163"/>
        <v>5.66</v>
      </c>
      <c r="AN1667" s="4">
        <f t="shared" si="164"/>
        <v>0.145128205128205</v>
      </c>
      <c r="AO1667" t="s">
        <v>221</v>
      </c>
      <c r="AQ1667" t="s">
        <v>217</v>
      </c>
      <c r="AT1667" t="s">
        <v>1662</v>
      </c>
    </row>
    <row r="1668" ht="15.75" customHeight="1" spans="1:46">
      <c r="A1668" t="s">
        <v>2574</v>
      </c>
      <c r="B1668" t="s">
        <v>71</v>
      </c>
      <c r="C1668" t="s">
        <v>2351</v>
      </c>
      <c r="D1668" t="s">
        <v>2480</v>
      </c>
      <c r="E1668" t="s">
        <v>2353</v>
      </c>
      <c r="F1668" t="s">
        <v>2575</v>
      </c>
      <c r="H1668" t="s">
        <v>2355</v>
      </c>
      <c r="I1668" t="s">
        <v>2363</v>
      </c>
      <c r="Q1668" t="s">
        <v>57</v>
      </c>
      <c r="R1668" t="s">
        <v>2579</v>
      </c>
      <c r="Y1668" t="s">
        <v>2577</v>
      </c>
      <c r="Z1668">
        <v>3917</v>
      </c>
      <c r="AE1668">
        <v>58</v>
      </c>
      <c r="AF1668" s="4">
        <v>0.37</v>
      </c>
      <c r="AG1668">
        <f t="shared" ref="AG1668:AG1731" si="165">ROUND(AE1668-(AE1668*AF1668),2)</f>
        <v>36.54</v>
      </c>
      <c r="AH1668" s="4">
        <v>0.18</v>
      </c>
      <c r="AI1668">
        <f t="shared" si="160"/>
        <v>43.12</v>
      </c>
      <c r="AJ1668" s="4">
        <v>0.15</v>
      </c>
      <c r="AK1668">
        <f t="shared" si="161"/>
        <v>6.47</v>
      </c>
      <c r="AL1668">
        <f t="shared" si="162"/>
        <v>49.59</v>
      </c>
      <c r="AM1668">
        <f t="shared" si="163"/>
        <v>8.41</v>
      </c>
      <c r="AN1668" s="4">
        <f t="shared" si="164"/>
        <v>0.145</v>
      </c>
      <c r="AO1668" t="s">
        <v>221</v>
      </c>
      <c r="AQ1668" t="s">
        <v>217</v>
      </c>
      <c r="AT1668" t="s">
        <v>1662</v>
      </c>
    </row>
    <row r="1669" ht="15.75" customHeight="1" spans="1:46">
      <c r="A1669" t="s">
        <v>2574</v>
      </c>
      <c r="B1669" t="s">
        <v>75</v>
      </c>
      <c r="C1669" t="s">
        <v>2351</v>
      </c>
      <c r="D1669" t="s">
        <v>2480</v>
      </c>
      <c r="E1669" t="s">
        <v>2353</v>
      </c>
      <c r="F1669" t="s">
        <v>2575</v>
      </c>
      <c r="H1669" t="s">
        <v>2355</v>
      </c>
      <c r="I1669" t="s">
        <v>2365</v>
      </c>
      <c r="Q1669" t="s">
        <v>57</v>
      </c>
      <c r="R1669" t="s">
        <v>2580</v>
      </c>
      <c r="Y1669" t="s">
        <v>2577</v>
      </c>
      <c r="Z1669">
        <v>3917</v>
      </c>
      <c r="AE1669">
        <v>156</v>
      </c>
      <c r="AF1669" s="4">
        <v>0.37</v>
      </c>
      <c r="AG1669">
        <f t="shared" si="165"/>
        <v>98.28</v>
      </c>
      <c r="AH1669" s="4">
        <v>0.18</v>
      </c>
      <c r="AI1669">
        <f t="shared" si="160"/>
        <v>115.97</v>
      </c>
      <c r="AJ1669" s="4">
        <v>0.15</v>
      </c>
      <c r="AK1669">
        <f t="shared" si="161"/>
        <v>17.4</v>
      </c>
      <c r="AL1669">
        <f t="shared" si="162"/>
        <v>133.37</v>
      </c>
      <c r="AM1669">
        <f t="shared" si="163"/>
        <v>22.63</v>
      </c>
      <c r="AN1669" s="4">
        <f t="shared" si="164"/>
        <v>0.145064102564103</v>
      </c>
      <c r="AO1669" t="s">
        <v>221</v>
      </c>
      <c r="AQ1669" t="s">
        <v>217</v>
      </c>
      <c r="AT1669" t="s">
        <v>1662</v>
      </c>
    </row>
    <row r="1670" ht="15.75" customHeight="1" spans="1:46">
      <c r="A1670" t="s">
        <v>2574</v>
      </c>
      <c r="B1670" t="s">
        <v>79</v>
      </c>
      <c r="C1670" t="s">
        <v>2351</v>
      </c>
      <c r="D1670" t="s">
        <v>2480</v>
      </c>
      <c r="E1670" t="s">
        <v>2353</v>
      </c>
      <c r="F1670" t="s">
        <v>2575</v>
      </c>
      <c r="H1670" t="s">
        <v>2355</v>
      </c>
      <c r="I1670" t="s">
        <v>2367</v>
      </c>
      <c r="Q1670" t="s">
        <v>57</v>
      </c>
      <c r="R1670" t="s">
        <v>2581</v>
      </c>
      <c r="Y1670" t="s">
        <v>2577</v>
      </c>
      <c r="Z1670">
        <v>3917</v>
      </c>
      <c r="AE1670">
        <v>200</v>
      </c>
      <c r="AF1670" s="4">
        <v>0.37</v>
      </c>
      <c r="AG1670">
        <f t="shared" si="165"/>
        <v>126</v>
      </c>
      <c r="AH1670" s="4">
        <v>0.18</v>
      </c>
      <c r="AI1670">
        <f t="shared" si="160"/>
        <v>148.68</v>
      </c>
      <c r="AJ1670" s="4">
        <v>0.15</v>
      </c>
      <c r="AK1670">
        <f t="shared" si="161"/>
        <v>22.3</v>
      </c>
      <c r="AL1670">
        <f t="shared" si="162"/>
        <v>170.98</v>
      </c>
      <c r="AM1670">
        <f t="shared" si="163"/>
        <v>29.02</v>
      </c>
      <c r="AN1670" s="4">
        <f t="shared" si="164"/>
        <v>0.1451</v>
      </c>
      <c r="AO1670" t="s">
        <v>221</v>
      </c>
      <c r="AQ1670" t="s">
        <v>217</v>
      </c>
      <c r="AT1670" t="s">
        <v>1662</v>
      </c>
    </row>
    <row r="1671" ht="15.75" customHeight="1" spans="1:46">
      <c r="A1671" t="s">
        <v>2574</v>
      </c>
      <c r="B1671" t="s">
        <v>83</v>
      </c>
      <c r="C1671" t="s">
        <v>2351</v>
      </c>
      <c r="D1671" t="s">
        <v>2480</v>
      </c>
      <c r="E1671" t="s">
        <v>2353</v>
      </c>
      <c r="F1671" t="s">
        <v>2575</v>
      </c>
      <c r="H1671" t="s">
        <v>2355</v>
      </c>
      <c r="I1671" t="s">
        <v>2369</v>
      </c>
      <c r="Q1671" t="s">
        <v>57</v>
      </c>
      <c r="R1671" t="s">
        <v>2582</v>
      </c>
      <c r="Y1671" t="s">
        <v>2577</v>
      </c>
      <c r="Z1671">
        <v>3917</v>
      </c>
      <c r="AE1671">
        <v>136</v>
      </c>
      <c r="AF1671" s="4">
        <v>0.37</v>
      </c>
      <c r="AG1671">
        <f t="shared" si="165"/>
        <v>85.68</v>
      </c>
      <c r="AH1671" s="4">
        <v>0.18</v>
      </c>
      <c r="AI1671">
        <f t="shared" si="160"/>
        <v>101.1</v>
      </c>
      <c r="AJ1671" s="4">
        <v>0.15</v>
      </c>
      <c r="AK1671">
        <f t="shared" si="161"/>
        <v>15.17</v>
      </c>
      <c r="AL1671">
        <f t="shared" si="162"/>
        <v>116.27</v>
      </c>
      <c r="AM1671">
        <f t="shared" si="163"/>
        <v>19.73</v>
      </c>
      <c r="AN1671" s="4">
        <f t="shared" si="164"/>
        <v>0.145073529411765</v>
      </c>
      <c r="AO1671" t="s">
        <v>221</v>
      </c>
      <c r="AQ1671" t="s">
        <v>217</v>
      </c>
      <c r="AT1671" t="s">
        <v>1662</v>
      </c>
    </row>
    <row r="1672" ht="15.75" customHeight="1" spans="1:46">
      <c r="A1672" t="s">
        <v>2583</v>
      </c>
      <c r="B1672" t="s">
        <v>46</v>
      </c>
      <c r="C1672" t="s">
        <v>2351</v>
      </c>
      <c r="D1672" t="s">
        <v>2480</v>
      </c>
      <c r="E1672" t="s">
        <v>2353</v>
      </c>
      <c r="F1672" t="s">
        <v>2584</v>
      </c>
      <c r="H1672" t="s">
        <v>53</v>
      </c>
      <c r="I1672" t="s">
        <v>2585</v>
      </c>
      <c r="Q1672" t="s">
        <v>57</v>
      </c>
      <c r="R1672" t="s">
        <v>2586</v>
      </c>
      <c r="Y1672" t="s">
        <v>2587</v>
      </c>
      <c r="Z1672">
        <v>3917</v>
      </c>
      <c r="AE1672">
        <v>64</v>
      </c>
      <c r="AF1672" s="4">
        <v>0.37</v>
      </c>
      <c r="AG1672">
        <f t="shared" si="165"/>
        <v>40.32</v>
      </c>
      <c r="AH1672" s="4">
        <v>0.18</v>
      </c>
      <c r="AI1672">
        <f t="shared" si="160"/>
        <v>47.58</v>
      </c>
      <c r="AJ1672" s="4">
        <v>0.15</v>
      </c>
      <c r="AK1672">
        <f t="shared" si="161"/>
        <v>7.14</v>
      </c>
      <c r="AL1672">
        <f t="shared" si="162"/>
        <v>54.72</v>
      </c>
      <c r="AM1672">
        <f t="shared" si="163"/>
        <v>9.28</v>
      </c>
      <c r="AN1672" s="4">
        <f t="shared" si="164"/>
        <v>0.145</v>
      </c>
      <c r="AO1672" t="s">
        <v>221</v>
      </c>
      <c r="AQ1672" t="s">
        <v>217</v>
      </c>
      <c r="AT1672" t="s">
        <v>1662</v>
      </c>
    </row>
    <row r="1673" ht="15.75" customHeight="1" spans="1:46">
      <c r="A1673" t="s">
        <v>2583</v>
      </c>
      <c r="B1673" t="s">
        <v>67</v>
      </c>
      <c r="C1673" t="s">
        <v>2351</v>
      </c>
      <c r="D1673" t="s">
        <v>2480</v>
      </c>
      <c r="E1673" t="s">
        <v>2353</v>
      </c>
      <c r="F1673" t="s">
        <v>2584</v>
      </c>
      <c r="H1673" t="s">
        <v>53</v>
      </c>
      <c r="I1673" t="s">
        <v>2588</v>
      </c>
      <c r="Q1673" t="s">
        <v>57</v>
      </c>
      <c r="R1673" t="s">
        <v>2589</v>
      </c>
      <c r="Y1673" t="s">
        <v>2587</v>
      </c>
      <c r="Z1673">
        <v>3917</v>
      </c>
      <c r="AE1673">
        <v>65</v>
      </c>
      <c r="AF1673" s="4">
        <v>0.37</v>
      </c>
      <c r="AG1673">
        <f t="shared" si="165"/>
        <v>40.95</v>
      </c>
      <c r="AH1673" s="4">
        <v>0.18</v>
      </c>
      <c r="AI1673">
        <f t="shared" si="160"/>
        <v>48.32</v>
      </c>
      <c r="AJ1673" s="4">
        <v>0.15</v>
      </c>
      <c r="AK1673">
        <f t="shared" si="161"/>
        <v>7.25</v>
      </c>
      <c r="AL1673">
        <f t="shared" si="162"/>
        <v>55.57</v>
      </c>
      <c r="AM1673">
        <f t="shared" si="163"/>
        <v>9.43</v>
      </c>
      <c r="AN1673" s="4">
        <f t="shared" si="164"/>
        <v>0.145076923076923</v>
      </c>
      <c r="AO1673" t="s">
        <v>221</v>
      </c>
      <c r="AQ1673" t="s">
        <v>217</v>
      </c>
      <c r="AT1673" t="s">
        <v>1662</v>
      </c>
    </row>
    <row r="1674" ht="15.75" customHeight="1" spans="1:46">
      <c r="A1674" t="s">
        <v>2583</v>
      </c>
      <c r="B1674" t="s">
        <v>71</v>
      </c>
      <c r="C1674" t="s">
        <v>2351</v>
      </c>
      <c r="D1674" t="s">
        <v>2480</v>
      </c>
      <c r="E1674" t="s">
        <v>2353</v>
      </c>
      <c r="F1674" t="s">
        <v>2584</v>
      </c>
      <c r="H1674" t="s">
        <v>53</v>
      </c>
      <c r="I1674" t="s">
        <v>2590</v>
      </c>
      <c r="Q1674" t="s">
        <v>57</v>
      </c>
      <c r="R1674" t="s">
        <v>2591</v>
      </c>
      <c r="Y1674" t="s">
        <v>2587</v>
      </c>
      <c r="Z1674">
        <v>3917</v>
      </c>
      <c r="AE1674">
        <v>65</v>
      </c>
      <c r="AF1674" s="4">
        <v>0.37</v>
      </c>
      <c r="AG1674">
        <f t="shared" si="165"/>
        <v>40.95</v>
      </c>
      <c r="AH1674" s="4">
        <v>0.18</v>
      </c>
      <c r="AI1674">
        <f t="shared" si="160"/>
        <v>48.32</v>
      </c>
      <c r="AJ1674" s="4">
        <v>0.15</v>
      </c>
      <c r="AK1674">
        <f t="shared" si="161"/>
        <v>7.25</v>
      </c>
      <c r="AL1674">
        <f t="shared" si="162"/>
        <v>55.57</v>
      </c>
      <c r="AM1674">
        <f t="shared" si="163"/>
        <v>9.43</v>
      </c>
      <c r="AN1674" s="4">
        <f t="shared" si="164"/>
        <v>0.145076923076923</v>
      </c>
      <c r="AO1674" t="s">
        <v>221</v>
      </c>
      <c r="AQ1674" t="s">
        <v>217</v>
      </c>
      <c r="AT1674" t="s">
        <v>1662</v>
      </c>
    </row>
    <row r="1675" ht="15.75" customHeight="1" spans="1:46">
      <c r="A1675" t="s">
        <v>2583</v>
      </c>
      <c r="B1675" t="s">
        <v>75</v>
      </c>
      <c r="C1675" t="s">
        <v>2351</v>
      </c>
      <c r="D1675" t="s">
        <v>2480</v>
      </c>
      <c r="E1675" t="s">
        <v>2353</v>
      </c>
      <c r="F1675" t="s">
        <v>2584</v>
      </c>
      <c r="H1675" t="s">
        <v>53</v>
      </c>
      <c r="I1675" t="s">
        <v>2592</v>
      </c>
      <c r="Q1675" t="s">
        <v>57</v>
      </c>
      <c r="R1675" t="s">
        <v>2593</v>
      </c>
      <c r="Y1675" t="s">
        <v>2587</v>
      </c>
      <c r="Z1675">
        <v>3917</v>
      </c>
      <c r="AE1675">
        <v>67</v>
      </c>
      <c r="AF1675" s="4">
        <v>0.37</v>
      </c>
      <c r="AG1675">
        <f t="shared" si="165"/>
        <v>42.21</v>
      </c>
      <c r="AH1675" s="4">
        <v>0.18</v>
      </c>
      <c r="AI1675">
        <f t="shared" si="160"/>
        <v>49.81</v>
      </c>
      <c r="AJ1675" s="4">
        <v>0.15</v>
      </c>
      <c r="AK1675">
        <f t="shared" si="161"/>
        <v>7.47</v>
      </c>
      <c r="AL1675">
        <f t="shared" si="162"/>
        <v>57.28</v>
      </c>
      <c r="AM1675">
        <f t="shared" si="163"/>
        <v>9.72</v>
      </c>
      <c r="AN1675" s="4">
        <f t="shared" si="164"/>
        <v>0.145074626865672</v>
      </c>
      <c r="AO1675" t="s">
        <v>221</v>
      </c>
      <c r="AQ1675" t="s">
        <v>217</v>
      </c>
      <c r="AT1675" t="s">
        <v>1662</v>
      </c>
    </row>
    <row r="1676" ht="15.75" customHeight="1" spans="1:46">
      <c r="A1676" t="s">
        <v>2583</v>
      </c>
      <c r="B1676" t="s">
        <v>79</v>
      </c>
      <c r="C1676" t="s">
        <v>2351</v>
      </c>
      <c r="D1676" t="s">
        <v>2480</v>
      </c>
      <c r="E1676" t="s">
        <v>2353</v>
      </c>
      <c r="F1676" t="s">
        <v>2584</v>
      </c>
      <c r="H1676" t="s">
        <v>53</v>
      </c>
      <c r="I1676" t="s">
        <v>2594</v>
      </c>
      <c r="Q1676" t="s">
        <v>57</v>
      </c>
      <c r="R1676" t="s">
        <v>2595</v>
      </c>
      <c r="Y1676" t="s">
        <v>2587</v>
      </c>
      <c r="Z1676">
        <v>3917</v>
      </c>
      <c r="AE1676">
        <v>103</v>
      </c>
      <c r="AF1676" s="4">
        <v>0.37</v>
      </c>
      <c r="AG1676">
        <f t="shared" si="165"/>
        <v>64.89</v>
      </c>
      <c r="AH1676" s="4">
        <v>0.18</v>
      </c>
      <c r="AI1676">
        <f t="shared" si="160"/>
        <v>76.57</v>
      </c>
      <c r="AJ1676" s="4">
        <v>0.15</v>
      </c>
      <c r="AK1676">
        <f t="shared" si="161"/>
        <v>11.49</v>
      </c>
      <c r="AL1676">
        <f t="shared" si="162"/>
        <v>88.06</v>
      </c>
      <c r="AM1676">
        <f t="shared" si="163"/>
        <v>14.94</v>
      </c>
      <c r="AN1676" s="4">
        <f t="shared" si="164"/>
        <v>0.14504854368932</v>
      </c>
      <c r="AO1676" t="s">
        <v>221</v>
      </c>
      <c r="AQ1676" t="s">
        <v>217</v>
      </c>
      <c r="AT1676" t="s">
        <v>1662</v>
      </c>
    </row>
    <row r="1677" ht="15.75" customHeight="1" spans="1:46">
      <c r="A1677" t="s">
        <v>2583</v>
      </c>
      <c r="B1677" t="s">
        <v>83</v>
      </c>
      <c r="C1677" t="s">
        <v>2351</v>
      </c>
      <c r="D1677" t="s">
        <v>2480</v>
      </c>
      <c r="E1677" t="s">
        <v>2353</v>
      </c>
      <c r="F1677" t="s">
        <v>2584</v>
      </c>
      <c r="H1677" t="s">
        <v>53</v>
      </c>
      <c r="I1677" t="s">
        <v>2596</v>
      </c>
      <c r="Q1677" t="s">
        <v>57</v>
      </c>
      <c r="R1677" t="s">
        <v>2597</v>
      </c>
      <c r="Y1677" t="s">
        <v>2587</v>
      </c>
      <c r="Z1677">
        <v>3917</v>
      </c>
      <c r="AE1677">
        <v>112</v>
      </c>
      <c r="AF1677" s="4">
        <v>0.37</v>
      </c>
      <c r="AG1677">
        <f t="shared" si="165"/>
        <v>70.56</v>
      </c>
      <c r="AH1677" s="4">
        <v>0.18</v>
      </c>
      <c r="AI1677">
        <f t="shared" si="160"/>
        <v>83.26</v>
      </c>
      <c r="AJ1677" s="4">
        <v>0.15</v>
      </c>
      <c r="AK1677">
        <f t="shared" si="161"/>
        <v>12.49</v>
      </c>
      <c r="AL1677">
        <f t="shared" si="162"/>
        <v>95.75</v>
      </c>
      <c r="AM1677">
        <f t="shared" si="163"/>
        <v>16.25</v>
      </c>
      <c r="AN1677" s="4">
        <f t="shared" si="164"/>
        <v>0.145089285714286</v>
      </c>
      <c r="AO1677" t="s">
        <v>221</v>
      </c>
      <c r="AQ1677" t="s">
        <v>217</v>
      </c>
      <c r="AT1677" t="s">
        <v>1662</v>
      </c>
    </row>
    <row r="1678" ht="15.75" customHeight="1" spans="1:46">
      <c r="A1678" t="s">
        <v>2583</v>
      </c>
      <c r="B1678" t="s">
        <v>131</v>
      </c>
      <c r="C1678" t="s">
        <v>2351</v>
      </c>
      <c r="D1678" t="s">
        <v>2480</v>
      </c>
      <c r="E1678" t="s">
        <v>2353</v>
      </c>
      <c r="F1678" t="s">
        <v>2584</v>
      </c>
      <c r="H1678" t="s">
        <v>53</v>
      </c>
      <c r="I1678" t="s">
        <v>2598</v>
      </c>
      <c r="Q1678" t="s">
        <v>57</v>
      </c>
      <c r="R1678" t="s">
        <v>2599</v>
      </c>
      <c r="Y1678" t="s">
        <v>2587</v>
      </c>
      <c r="Z1678">
        <v>3917</v>
      </c>
      <c r="AE1678">
        <v>187</v>
      </c>
      <c r="AF1678" s="4">
        <v>0.37</v>
      </c>
      <c r="AG1678">
        <f t="shared" si="165"/>
        <v>117.81</v>
      </c>
      <c r="AH1678" s="4">
        <v>0.18</v>
      </c>
      <c r="AI1678">
        <f t="shared" si="160"/>
        <v>139.02</v>
      </c>
      <c r="AJ1678" s="4">
        <v>0.15</v>
      </c>
      <c r="AK1678">
        <f t="shared" si="161"/>
        <v>20.85</v>
      </c>
      <c r="AL1678">
        <f t="shared" si="162"/>
        <v>159.87</v>
      </c>
      <c r="AM1678">
        <f t="shared" si="163"/>
        <v>27.13</v>
      </c>
      <c r="AN1678" s="4">
        <f t="shared" si="164"/>
        <v>0.145080213903743</v>
      </c>
      <c r="AO1678" t="s">
        <v>221</v>
      </c>
      <c r="AQ1678" t="s">
        <v>217</v>
      </c>
      <c r="AT1678" t="s">
        <v>1662</v>
      </c>
    </row>
    <row r="1679" ht="15.75" customHeight="1" spans="1:46">
      <c r="A1679" t="s">
        <v>2583</v>
      </c>
      <c r="B1679" t="s">
        <v>133</v>
      </c>
      <c r="C1679" t="s">
        <v>2351</v>
      </c>
      <c r="D1679" t="s">
        <v>2480</v>
      </c>
      <c r="E1679" t="s">
        <v>2353</v>
      </c>
      <c r="F1679" t="s">
        <v>2584</v>
      </c>
      <c r="H1679" t="s">
        <v>53</v>
      </c>
      <c r="I1679" t="s">
        <v>2600</v>
      </c>
      <c r="Q1679" t="s">
        <v>57</v>
      </c>
      <c r="R1679" t="s">
        <v>2601</v>
      </c>
      <c r="Y1679" t="s">
        <v>2587</v>
      </c>
      <c r="Z1679">
        <v>3917</v>
      </c>
      <c r="AE1679">
        <v>216</v>
      </c>
      <c r="AF1679" s="4">
        <v>0.37</v>
      </c>
      <c r="AG1679">
        <f t="shared" si="165"/>
        <v>136.08</v>
      </c>
      <c r="AH1679" s="4">
        <v>0.18</v>
      </c>
      <c r="AI1679">
        <f t="shared" si="160"/>
        <v>160.57</v>
      </c>
      <c r="AJ1679" s="4">
        <v>0.15</v>
      </c>
      <c r="AK1679">
        <f t="shared" si="161"/>
        <v>24.09</v>
      </c>
      <c r="AL1679">
        <f t="shared" si="162"/>
        <v>184.66</v>
      </c>
      <c r="AM1679">
        <f t="shared" si="163"/>
        <v>31.34</v>
      </c>
      <c r="AN1679" s="4">
        <f t="shared" si="164"/>
        <v>0.145092592592593</v>
      </c>
      <c r="AO1679" t="s">
        <v>221</v>
      </c>
      <c r="AQ1679" t="s">
        <v>217</v>
      </c>
      <c r="AT1679" t="s">
        <v>1662</v>
      </c>
    </row>
    <row r="1680" ht="15.75" customHeight="1" spans="1:46">
      <c r="A1680" t="s">
        <v>2583</v>
      </c>
      <c r="B1680" t="s">
        <v>135</v>
      </c>
      <c r="C1680" t="s">
        <v>2351</v>
      </c>
      <c r="D1680" t="s">
        <v>2480</v>
      </c>
      <c r="E1680" t="s">
        <v>2353</v>
      </c>
      <c r="F1680" t="s">
        <v>2584</v>
      </c>
      <c r="H1680" t="s">
        <v>53</v>
      </c>
      <c r="I1680" t="s">
        <v>2602</v>
      </c>
      <c r="Q1680" t="s">
        <v>57</v>
      </c>
      <c r="R1680" t="s">
        <v>2603</v>
      </c>
      <c r="Y1680" t="s">
        <v>2587</v>
      </c>
      <c r="Z1680">
        <v>3917</v>
      </c>
      <c r="AE1680">
        <v>200</v>
      </c>
      <c r="AF1680" s="4">
        <v>0.37</v>
      </c>
      <c r="AG1680">
        <f t="shared" si="165"/>
        <v>126</v>
      </c>
      <c r="AH1680" s="4">
        <v>0.18</v>
      </c>
      <c r="AI1680">
        <f t="shared" si="160"/>
        <v>148.68</v>
      </c>
      <c r="AJ1680" s="4">
        <v>0.15</v>
      </c>
      <c r="AK1680">
        <f t="shared" si="161"/>
        <v>22.3</v>
      </c>
      <c r="AL1680">
        <f t="shared" si="162"/>
        <v>170.98</v>
      </c>
      <c r="AM1680">
        <f t="shared" si="163"/>
        <v>29.02</v>
      </c>
      <c r="AN1680" s="4">
        <f t="shared" si="164"/>
        <v>0.1451</v>
      </c>
      <c r="AO1680" t="s">
        <v>221</v>
      </c>
      <c r="AQ1680" t="s">
        <v>217</v>
      </c>
      <c r="AT1680" t="s">
        <v>1662</v>
      </c>
    </row>
    <row r="1681" ht="15.75" customHeight="1" spans="1:46">
      <c r="A1681" t="s">
        <v>2583</v>
      </c>
      <c r="B1681" t="s">
        <v>137</v>
      </c>
      <c r="C1681" t="s">
        <v>2351</v>
      </c>
      <c r="D1681" t="s">
        <v>2480</v>
      </c>
      <c r="E1681" t="s">
        <v>2353</v>
      </c>
      <c r="F1681" t="s">
        <v>2584</v>
      </c>
      <c r="H1681" t="s">
        <v>53</v>
      </c>
      <c r="I1681" t="s">
        <v>2604</v>
      </c>
      <c r="Q1681" t="s">
        <v>57</v>
      </c>
      <c r="R1681" t="s">
        <v>2605</v>
      </c>
      <c r="Y1681" t="s">
        <v>2587</v>
      </c>
      <c r="Z1681">
        <v>3917</v>
      </c>
      <c r="AE1681">
        <v>309</v>
      </c>
      <c r="AF1681" s="4">
        <v>0.37</v>
      </c>
      <c r="AG1681">
        <f t="shared" si="165"/>
        <v>194.67</v>
      </c>
      <c r="AH1681" s="4">
        <v>0.18</v>
      </c>
      <c r="AI1681">
        <f t="shared" si="160"/>
        <v>229.71</v>
      </c>
      <c r="AJ1681" s="4">
        <v>0.15</v>
      </c>
      <c r="AK1681">
        <f t="shared" si="161"/>
        <v>34.46</v>
      </c>
      <c r="AL1681">
        <f t="shared" si="162"/>
        <v>264.17</v>
      </c>
      <c r="AM1681">
        <f t="shared" si="163"/>
        <v>44.83</v>
      </c>
      <c r="AN1681" s="4">
        <f t="shared" si="164"/>
        <v>0.145080906148867</v>
      </c>
      <c r="AO1681" t="s">
        <v>221</v>
      </c>
      <c r="AQ1681" t="s">
        <v>217</v>
      </c>
      <c r="AT1681" t="s">
        <v>1662</v>
      </c>
    </row>
    <row r="1682" ht="15.75" customHeight="1" spans="1:46">
      <c r="A1682" t="s">
        <v>2583</v>
      </c>
      <c r="B1682" t="s">
        <v>138</v>
      </c>
      <c r="C1682" t="s">
        <v>2351</v>
      </c>
      <c r="D1682" t="s">
        <v>2480</v>
      </c>
      <c r="E1682" t="s">
        <v>2353</v>
      </c>
      <c r="F1682" t="s">
        <v>2584</v>
      </c>
      <c r="H1682" t="s">
        <v>53</v>
      </c>
      <c r="I1682" t="s">
        <v>2606</v>
      </c>
      <c r="Q1682" t="s">
        <v>57</v>
      </c>
      <c r="R1682" t="s">
        <v>2607</v>
      </c>
      <c r="Y1682" t="s">
        <v>2587</v>
      </c>
      <c r="Z1682">
        <v>3917</v>
      </c>
      <c r="AE1682">
        <v>306</v>
      </c>
      <c r="AF1682" s="4">
        <v>0.37</v>
      </c>
      <c r="AG1682">
        <f t="shared" si="165"/>
        <v>192.78</v>
      </c>
      <c r="AH1682" s="4">
        <v>0.18</v>
      </c>
      <c r="AI1682">
        <f t="shared" si="160"/>
        <v>227.48</v>
      </c>
      <c r="AJ1682" s="4">
        <v>0.15</v>
      </c>
      <c r="AK1682">
        <f t="shared" si="161"/>
        <v>34.12</v>
      </c>
      <c r="AL1682">
        <f t="shared" si="162"/>
        <v>261.6</v>
      </c>
      <c r="AM1682">
        <f t="shared" si="163"/>
        <v>44.4</v>
      </c>
      <c r="AN1682" s="4">
        <f t="shared" si="164"/>
        <v>0.145098039215686</v>
      </c>
      <c r="AO1682" t="s">
        <v>221</v>
      </c>
      <c r="AQ1682" t="s">
        <v>217</v>
      </c>
      <c r="AT1682" t="s">
        <v>1662</v>
      </c>
    </row>
    <row r="1683" ht="15.75" customHeight="1" spans="1:46">
      <c r="A1683" t="s">
        <v>2583</v>
      </c>
      <c r="B1683" t="s">
        <v>140</v>
      </c>
      <c r="C1683" t="s">
        <v>2351</v>
      </c>
      <c r="D1683" t="s">
        <v>2480</v>
      </c>
      <c r="E1683" t="s">
        <v>2353</v>
      </c>
      <c r="F1683" t="s">
        <v>2584</v>
      </c>
      <c r="H1683" t="s">
        <v>53</v>
      </c>
      <c r="I1683" t="s">
        <v>2608</v>
      </c>
      <c r="Q1683" t="s">
        <v>57</v>
      </c>
      <c r="R1683" t="s">
        <v>2609</v>
      </c>
      <c r="Y1683" t="s">
        <v>2587</v>
      </c>
      <c r="Z1683">
        <v>3917</v>
      </c>
      <c r="AE1683">
        <v>289</v>
      </c>
      <c r="AF1683" s="4">
        <v>0.37</v>
      </c>
      <c r="AG1683">
        <f t="shared" si="165"/>
        <v>182.07</v>
      </c>
      <c r="AH1683" s="4">
        <v>0.18</v>
      </c>
      <c r="AI1683">
        <f t="shared" si="160"/>
        <v>214.84</v>
      </c>
      <c r="AJ1683" s="4">
        <v>0.15</v>
      </c>
      <c r="AK1683">
        <f t="shared" si="161"/>
        <v>32.23</v>
      </c>
      <c r="AL1683">
        <f t="shared" si="162"/>
        <v>247.07</v>
      </c>
      <c r="AM1683">
        <f t="shared" si="163"/>
        <v>41.93</v>
      </c>
      <c r="AN1683" s="4">
        <f t="shared" si="164"/>
        <v>0.145086505190311</v>
      </c>
      <c r="AO1683" t="s">
        <v>221</v>
      </c>
      <c r="AQ1683" t="s">
        <v>217</v>
      </c>
      <c r="AT1683" t="s">
        <v>1662</v>
      </c>
    </row>
    <row r="1684" ht="15.75" customHeight="1" spans="1:46">
      <c r="A1684" t="s">
        <v>2583</v>
      </c>
      <c r="B1684" t="s">
        <v>202</v>
      </c>
      <c r="C1684" t="s">
        <v>2351</v>
      </c>
      <c r="D1684" t="s">
        <v>2480</v>
      </c>
      <c r="E1684" t="s">
        <v>2353</v>
      </c>
      <c r="F1684" t="s">
        <v>2584</v>
      </c>
      <c r="H1684" t="s">
        <v>53</v>
      </c>
      <c r="I1684" t="s">
        <v>2610</v>
      </c>
      <c r="Q1684" t="s">
        <v>57</v>
      </c>
      <c r="R1684" t="s">
        <v>2611</v>
      </c>
      <c r="Y1684" t="s">
        <v>2587</v>
      </c>
      <c r="Z1684">
        <v>3917</v>
      </c>
      <c r="AE1684">
        <v>287</v>
      </c>
      <c r="AF1684" s="4">
        <v>0.37</v>
      </c>
      <c r="AG1684">
        <f t="shared" si="165"/>
        <v>180.81</v>
      </c>
      <c r="AH1684" s="4">
        <v>0.18</v>
      </c>
      <c r="AI1684">
        <f t="shared" si="160"/>
        <v>213.36</v>
      </c>
      <c r="AJ1684" s="4">
        <v>0.15</v>
      </c>
      <c r="AK1684">
        <f t="shared" si="161"/>
        <v>32</v>
      </c>
      <c r="AL1684">
        <f t="shared" si="162"/>
        <v>245.36</v>
      </c>
      <c r="AM1684">
        <f t="shared" si="163"/>
        <v>41.64</v>
      </c>
      <c r="AN1684" s="4">
        <f t="shared" si="164"/>
        <v>0.145087108013937</v>
      </c>
      <c r="AO1684" t="s">
        <v>221</v>
      </c>
      <c r="AQ1684" t="s">
        <v>217</v>
      </c>
      <c r="AT1684" t="s">
        <v>1662</v>
      </c>
    </row>
    <row r="1685" ht="15.75" customHeight="1" spans="1:46">
      <c r="A1685" t="s">
        <v>2583</v>
      </c>
      <c r="B1685" t="s">
        <v>203</v>
      </c>
      <c r="C1685" t="s">
        <v>2351</v>
      </c>
      <c r="D1685" t="s">
        <v>2480</v>
      </c>
      <c r="E1685" t="s">
        <v>2353</v>
      </c>
      <c r="F1685" t="s">
        <v>2584</v>
      </c>
      <c r="H1685" t="s">
        <v>53</v>
      </c>
      <c r="I1685" t="s">
        <v>2612</v>
      </c>
      <c r="Q1685" t="s">
        <v>57</v>
      </c>
      <c r="R1685" t="s">
        <v>2613</v>
      </c>
      <c r="Y1685" t="s">
        <v>2587</v>
      </c>
      <c r="Z1685">
        <v>3917</v>
      </c>
      <c r="AE1685">
        <v>548</v>
      </c>
      <c r="AF1685" s="4">
        <v>0.37</v>
      </c>
      <c r="AG1685">
        <f t="shared" si="165"/>
        <v>345.24</v>
      </c>
      <c r="AH1685" s="4">
        <v>0.18</v>
      </c>
      <c r="AI1685">
        <f t="shared" si="160"/>
        <v>407.38</v>
      </c>
      <c r="AJ1685" s="4">
        <v>0.15</v>
      </c>
      <c r="AK1685">
        <f t="shared" si="161"/>
        <v>61.11</v>
      </c>
      <c r="AL1685">
        <f t="shared" si="162"/>
        <v>468.49</v>
      </c>
      <c r="AM1685">
        <f t="shared" si="163"/>
        <v>79.51</v>
      </c>
      <c r="AN1685" s="4">
        <f t="shared" si="164"/>
        <v>0.145091240875912</v>
      </c>
      <c r="AO1685" t="s">
        <v>221</v>
      </c>
      <c r="AQ1685" t="s">
        <v>217</v>
      </c>
      <c r="AT1685" t="s">
        <v>1662</v>
      </c>
    </row>
    <row r="1686" ht="15.75" customHeight="1" spans="1:46">
      <c r="A1686" t="s">
        <v>2583</v>
      </c>
      <c r="B1686" t="s">
        <v>204</v>
      </c>
      <c r="C1686" t="s">
        <v>2351</v>
      </c>
      <c r="D1686" t="s">
        <v>2480</v>
      </c>
      <c r="E1686" t="s">
        <v>2353</v>
      </c>
      <c r="F1686" t="s">
        <v>2584</v>
      </c>
      <c r="H1686" t="s">
        <v>53</v>
      </c>
      <c r="I1686" t="s">
        <v>2614</v>
      </c>
      <c r="Q1686" t="s">
        <v>57</v>
      </c>
      <c r="R1686" t="s">
        <v>2615</v>
      </c>
      <c r="Y1686" t="s">
        <v>2587</v>
      </c>
      <c r="Z1686">
        <v>3917</v>
      </c>
      <c r="AE1686">
        <v>592</v>
      </c>
      <c r="AF1686" s="4">
        <v>0.37</v>
      </c>
      <c r="AG1686">
        <f t="shared" si="165"/>
        <v>372.96</v>
      </c>
      <c r="AH1686" s="4">
        <v>0.18</v>
      </c>
      <c r="AI1686">
        <f t="shared" si="160"/>
        <v>440.09</v>
      </c>
      <c r="AJ1686" s="4">
        <v>0.15</v>
      </c>
      <c r="AK1686">
        <f t="shared" si="161"/>
        <v>66.01</v>
      </c>
      <c r="AL1686">
        <f t="shared" si="162"/>
        <v>506.1</v>
      </c>
      <c r="AM1686">
        <f t="shared" si="163"/>
        <v>85.9</v>
      </c>
      <c r="AN1686" s="4">
        <f t="shared" si="164"/>
        <v>0.145101351351351</v>
      </c>
      <c r="AO1686" t="s">
        <v>221</v>
      </c>
      <c r="AQ1686" t="s">
        <v>217</v>
      </c>
      <c r="AT1686" t="s">
        <v>1662</v>
      </c>
    </row>
    <row r="1687" ht="15.75" customHeight="1" spans="1:46">
      <c r="A1687" t="s">
        <v>2583</v>
      </c>
      <c r="B1687" t="s">
        <v>205</v>
      </c>
      <c r="C1687" t="s">
        <v>2351</v>
      </c>
      <c r="D1687" t="s">
        <v>2480</v>
      </c>
      <c r="E1687" t="s">
        <v>2353</v>
      </c>
      <c r="F1687" t="s">
        <v>2584</v>
      </c>
      <c r="H1687" t="s">
        <v>53</v>
      </c>
      <c r="I1687" t="s">
        <v>2616</v>
      </c>
      <c r="Q1687" t="s">
        <v>57</v>
      </c>
      <c r="R1687" t="s">
        <v>2617</v>
      </c>
      <c r="Y1687" t="s">
        <v>2587</v>
      </c>
      <c r="Z1687">
        <v>3917</v>
      </c>
      <c r="AE1687">
        <v>582</v>
      </c>
      <c r="AF1687" s="4">
        <v>0.37</v>
      </c>
      <c r="AG1687">
        <f t="shared" si="165"/>
        <v>366.66</v>
      </c>
      <c r="AH1687" s="4">
        <v>0.18</v>
      </c>
      <c r="AI1687">
        <f t="shared" si="160"/>
        <v>432.66</v>
      </c>
      <c r="AJ1687" s="4">
        <v>0.15</v>
      </c>
      <c r="AK1687">
        <f t="shared" si="161"/>
        <v>64.9</v>
      </c>
      <c r="AL1687">
        <f t="shared" si="162"/>
        <v>497.56</v>
      </c>
      <c r="AM1687">
        <f t="shared" si="163"/>
        <v>84.4399999999999</v>
      </c>
      <c r="AN1687" s="4">
        <f t="shared" si="164"/>
        <v>0.145085910652921</v>
      </c>
      <c r="AO1687" t="s">
        <v>221</v>
      </c>
      <c r="AQ1687" t="s">
        <v>217</v>
      </c>
      <c r="AT1687" t="s">
        <v>1662</v>
      </c>
    </row>
    <row r="1688" ht="15.75" customHeight="1" spans="1:46">
      <c r="A1688" t="s">
        <v>2583</v>
      </c>
      <c r="B1688" t="s">
        <v>206</v>
      </c>
      <c r="C1688" t="s">
        <v>2351</v>
      </c>
      <c r="D1688" t="s">
        <v>2480</v>
      </c>
      <c r="E1688" t="s">
        <v>2353</v>
      </c>
      <c r="F1688" t="s">
        <v>2584</v>
      </c>
      <c r="H1688" t="s">
        <v>53</v>
      </c>
      <c r="I1688" t="s">
        <v>2618</v>
      </c>
      <c r="Q1688" t="s">
        <v>57</v>
      </c>
      <c r="R1688" t="s">
        <v>2619</v>
      </c>
      <c r="Y1688" t="s">
        <v>2587</v>
      </c>
      <c r="Z1688">
        <v>3917</v>
      </c>
      <c r="AE1688">
        <v>592</v>
      </c>
      <c r="AF1688" s="4">
        <v>0.37</v>
      </c>
      <c r="AG1688">
        <f t="shared" si="165"/>
        <v>372.96</v>
      </c>
      <c r="AH1688" s="4">
        <v>0.18</v>
      </c>
      <c r="AI1688">
        <f t="shared" si="160"/>
        <v>440.09</v>
      </c>
      <c r="AJ1688" s="4">
        <v>0.15</v>
      </c>
      <c r="AK1688">
        <f t="shared" si="161"/>
        <v>66.01</v>
      </c>
      <c r="AL1688">
        <f t="shared" si="162"/>
        <v>506.1</v>
      </c>
      <c r="AM1688">
        <f t="shared" si="163"/>
        <v>85.9</v>
      </c>
      <c r="AN1688" s="4">
        <f t="shared" si="164"/>
        <v>0.145101351351351</v>
      </c>
      <c r="AO1688" t="s">
        <v>221</v>
      </c>
      <c r="AQ1688" t="s">
        <v>217</v>
      </c>
      <c r="AT1688" t="s">
        <v>1662</v>
      </c>
    </row>
    <row r="1689" ht="15.75" customHeight="1" spans="1:46">
      <c r="A1689" t="s">
        <v>2583</v>
      </c>
      <c r="B1689" t="s">
        <v>207</v>
      </c>
      <c r="C1689" t="s">
        <v>2351</v>
      </c>
      <c r="D1689" t="s">
        <v>2480</v>
      </c>
      <c r="E1689" t="s">
        <v>2353</v>
      </c>
      <c r="F1689" t="s">
        <v>2584</v>
      </c>
      <c r="H1689" t="s">
        <v>53</v>
      </c>
      <c r="I1689" t="s">
        <v>2620</v>
      </c>
      <c r="Q1689" t="s">
        <v>57</v>
      </c>
      <c r="R1689" t="s">
        <v>2621</v>
      </c>
      <c r="Y1689" t="s">
        <v>2587</v>
      </c>
      <c r="Z1689">
        <v>3917</v>
      </c>
      <c r="AE1689">
        <v>592</v>
      </c>
      <c r="AF1689" s="4">
        <v>0.37</v>
      </c>
      <c r="AG1689">
        <f t="shared" si="165"/>
        <v>372.96</v>
      </c>
      <c r="AH1689" s="4">
        <v>0.18</v>
      </c>
      <c r="AI1689">
        <f t="shared" si="160"/>
        <v>440.09</v>
      </c>
      <c r="AJ1689" s="4">
        <v>0.15</v>
      </c>
      <c r="AK1689">
        <f t="shared" si="161"/>
        <v>66.01</v>
      </c>
      <c r="AL1689">
        <f t="shared" si="162"/>
        <v>506.1</v>
      </c>
      <c r="AM1689">
        <f t="shared" si="163"/>
        <v>85.9</v>
      </c>
      <c r="AN1689" s="4">
        <f t="shared" si="164"/>
        <v>0.145101351351351</v>
      </c>
      <c r="AO1689" t="s">
        <v>221</v>
      </c>
      <c r="AQ1689" t="s">
        <v>217</v>
      </c>
      <c r="AT1689" t="s">
        <v>1662</v>
      </c>
    </row>
    <row r="1690" ht="15.75" customHeight="1" spans="1:46">
      <c r="A1690" t="s">
        <v>2622</v>
      </c>
      <c r="B1690" t="s">
        <v>46</v>
      </c>
      <c r="C1690" t="s">
        <v>2351</v>
      </c>
      <c r="D1690" t="s">
        <v>2480</v>
      </c>
      <c r="E1690" t="s">
        <v>2353</v>
      </c>
      <c r="F1690" t="s">
        <v>2623</v>
      </c>
      <c r="H1690" t="s">
        <v>2355</v>
      </c>
      <c r="I1690" t="s">
        <v>2356</v>
      </c>
      <c r="Q1690" t="s">
        <v>57</v>
      </c>
      <c r="R1690" t="s">
        <v>2624</v>
      </c>
      <c r="Y1690" t="s">
        <v>2625</v>
      </c>
      <c r="Z1690">
        <v>3917</v>
      </c>
      <c r="AE1690">
        <v>30</v>
      </c>
      <c r="AF1690" s="4">
        <v>0.37</v>
      </c>
      <c r="AG1690">
        <f t="shared" si="165"/>
        <v>18.9</v>
      </c>
      <c r="AH1690" s="4">
        <v>0.18</v>
      </c>
      <c r="AI1690">
        <f t="shared" si="160"/>
        <v>22.3</v>
      </c>
      <c r="AJ1690" s="4">
        <v>0.15</v>
      </c>
      <c r="AK1690">
        <f t="shared" si="161"/>
        <v>3.35</v>
      </c>
      <c r="AL1690">
        <f t="shared" si="162"/>
        <v>25.65</v>
      </c>
      <c r="AM1690">
        <f t="shared" si="163"/>
        <v>4.35</v>
      </c>
      <c r="AN1690" s="4">
        <f t="shared" si="164"/>
        <v>0.145</v>
      </c>
      <c r="AO1690" t="s">
        <v>221</v>
      </c>
      <c r="AQ1690" t="s">
        <v>217</v>
      </c>
      <c r="AT1690" t="s">
        <v>1662</v>
      </c>
    </row>
    <row r="1691" ht="15.75" customHeight="1" spans="1:46">
      <c r="A1691" t="s">
        <v>2622</v>
      </c>
      <c r="B1691" t="s">
        <v>67</v>
      </c>
      <c r="C1691" t="s">
        <v>2351</v>
      </c>
      <c r="D1691" t="s">
        <v>2480</v>
      </c>
      <c r="E1691" t="s">
        <v>2353</v>
      </c>
      <c r="F1691" t="s">
        <v>2623</v>
      </c>
      <c r="H1691" t="s">
        <v>2355</v>
      </c>
      <c r="I1691" t="s">
        <v>2360</v>
      </c>
      <c r="Q1691" t="s">
        <v>57</v>
      </c>
      <c r="R1691" t="s">
        <v>2626</v>
      </c>
      <c r="Y1691" t="s">
        <v>2625</v>
      </c>
      <c r="Z1691">
        <v>3917</v>
      </c>
      <c r="AE1691">
        <v>40</v>
      </c>
      <c r="AF1691" s="4">
        <v>0.37</v>
      </c>
      <c r="AG1691">
        <f t="shared" si="165"/>
        <v>25.2</v>
      </c>
      <c r="AH1691" s="4">
        <v>0.18</v>
      </c>
      <c r="AI1691">
        <f t="shared" si="160"/>
        <v>29.74</v>
      </c>
      <c r="AJ1691" s="4">
        <v>0.15</v>
      </c>
      <c r="AK1691">
        <f t="shared" si="161"/>
        <v>4.46</v>
      </c>
      <c r="AL1691">
        <f t="shared" si="162"/>
        <v>34.2</v>
      </c>
      <c r="AM1691">
        <f t="shared" si="163"/>
        <v>5.8</v>
      </c>
      <c r="AN1691" s="4">
        <f t="shared" si="164"/>
        <v>0.145</v>
      </c>
      <c r="AO1691" t="s">
        <v>221</v>
      </c>
      <c r="AQ1691" t="s">
        <v>217</v>
      </c>
      <c r="AT1691" t="s">
        <v>1662</v>
      </c>
    </row>
    <row r="1692" ht="15.75" customHeight="1" spans="1:46">
      <c r="A1692" t="s">
        <v>2622</v>
      </c>
      <c r="B1692" t="s">
        <v>71</v>
      </c>
      <c r="C1692" t="s">
        <v>2351</v>
      </c>
      <c r="D1692" t="s">
        <v>2480</v>
      </c>
      <c r="E1692" t="s">
        <v>2353</v>
      </c>
      <c r="F1692" t="s">
        <v>2623</v>
      </c>
      <c r="H1692" t="s">
        <v>2355</v>
      </c>
      <c r="I1692" t="s">
        <v>2363</v>
      </c>
      <c r="Q1692" t="s">
        <v>57</v>
      </c>
      <c r="R1692" t="s">
        <v>2627</v>
      </c>
      <c r="Y1692" t="s">
        <v>2625</v>
      </c>
      <c r="Z1692">
        <v>3917</v>
      </c>
      <c r="AE1692">
        <v>61</v>
      </c>
      <c r="AF1692" s="4">
        <v>0.37</v>
      </c>
      <c r="AG1692">
        <f t="shared" si="165"/>
        <v>38.43</v>
      </c>
      <c r="AH1692" s="4">
        <v>0.18</v>
      </c>
      <c r="AI1692">
        <f t="shared" si="160"/>
        <v>45.35</v>
      </c>
      <c r="AJ1692" s="4">
        <v>0.15</v>
      </c>
      <c r="AK1692">
        <f t="shared" si="161"/>
        <v>6.8</v>
      </c>
      <c r="AL1692">
        <f t="shared" si="162"/>
        <v>52.15</v>
      </c>
      <c r="AM1692">
        <f t="shared" si="163"/>
        <v>8.85</v>
      </c>
      <c r="AN1692" s="4">
        <f t="shared" si="164"/>
        <v>0.145081967213115</v>
      </c>
      <c r="AO1692" t="s">
        <v>221</v>
      </c>
      <c r="AQ1692" t="s">
        <v>217</v>
      </c>
      <c r="AT1692" t="s">
        <v>1662</v>
      </c>
    </row>
    <row r="1693" ht="15.75" customHeight="1" spans="1:46">
      <c r="A1693" t="s">
        <v>2622</v>
      </c>
      <c r="B1693" t="s">
        <v>75</v>
      </c>
      <c r="C1693" t="s">
        <v>2351</v>
      </c>
      <c r="D1693" t="s">
        <v>2480</v>
      </c>
      <c r="E1693" t="s">
        <v>2353</v>
      </c>
      <c r="F1693" t="s">
        <v>2623</v>
      </c>
      <c r="H1693" t="s">
        <v>2355</v>
      </c>
      <c r="I1693" t="s">
        <v>2365</v>
      </c>
      <c r="Q1693" t="s">
        <v>57</v>
      </c>
      <c r="R1693" t="s">
        <v>2628</v>
      </c>
      <c r="Y1693" t="s">
        <v>2625</v>
      </c>
      <c r="Z1693">
        <v>3917</v>
      </c>
      <c r="AE1693">
        <v>139</v>
      </c>
      <c r="AF1693" s="4">
        <v>0.37</v>
      </c>
      <c r="AG1693">
        <f t="shared" si="165"/>
        <v>87.57</v>
      </c>
      <c r="AH1693" s="4">
        <v>0.18</v>
      </c>
      <c r="AI1693">
        <f t="shared" si="160"/>
        <v>103.33</v>
      </c>
      <c r="AJ1693" s="4">
        <v>0.15</v>
      </c>
      <c r="AK1693">
        <f t="shared" si="161"/>
        <v>15.5</v>
      </c>
      <c r="AL1693">
        <f t="shared" si="162"/>
        <v>118.83</v>
      </c>
      <c r="AM1693">
        <f t="shared" si="163"/>
        <v>20.17</v>
      </c>
      <c r="AN1693" s="4">
        <f t="shared" si="164"/>
        <v>0.145107913669065</v>
      </c>
      <c r="AO1693" t="s">
        <v>221</v>
      </c>
      <c r="AQ1693" t="s">
        <v>217</v>
      </c>
      <c r="AT1693" t="s">
        <v>1662</v>
      </c>
    </row>
    <row r="1694" ht="15.75" customHeight="1" spans="1:46">
      <c r="A1694" t="s">
        <v>2622</v>
      </c>
      <c r="B1694" t="s">
        <v>79</v>
      </c>
      <c r="C1694" t="s">
        <v>2351</v>
      </c>
      <c r="D1694" t="s">
        <v>2480</v>
      </c>
      <c r="E1694" t="s">
        <v>2353</v>
      </c>
      <c r="F1694" t="s">
        <v>2623</v>
      </c>
      <c r="H1694" t="s">
        <v>2355</v>
      </c>
      <c r="I1694" t="s">
        <v>2367</v>
      </c>
      <c r="Q1694" t="s">
        <v>57</v>
      </c>
      <c r="R1694" t="s">
        <v>2629</v>
      </c>
      <c r="Y1694" t="s">
        <v>2625</v>
      </c>
      <c r="Z1694">
        <v>3917</v>
      </c>
      <c r="AE1694">
        <v>252</v>
      </c>
      <c r="AF1694" s="4">
        <v>0.37</v>
      </c>
      <c r="AG1694">
        <f t="shared" si="165"/>
        <v>158.76</v>
      </c>
      <c r="AH1694" s="4">
        <v>0.18</v>
      </c>
      <c r="AI1694">
        <f t="shared" si="160"/>
        <v>187.34</v>
      </c>
      <c r="AJ1694" s="4">
        <v>0.15</v>
      </c>
      <c r="AK1694">
        <f t="shared" si="161"/>
        <v>28.1</v>
      </c>
      <c r="AL1694">
        <f t="shared" si="162"/>
        <v>215.44</v>
      </c>
      <c r="AM1694">
        <f t="shared" si="163"/>
        <v>36.56</v>
      </c>
      <c r="AN1694" s="4">
        <f t="shared" si="164"/>
        <v>0.145079365079365</v>
      </c>
      <c r="AO1694" t="s">
        <v>221</v>
      </c>
      <c r="AQ1694" t="s">
        <v>217</v>
      </c>
      <c r="AT1694" t="s">
        <v>1662</v>
      </c>
    </row>
    <row r="1695" ht="15.75" customHeight="1" spans="1:46">
      <c r="A1695" t="s">
        <v>2622</v>
      </c>
      <c r="B1695" t="s">
        <v>83</v>
      </c>
      <c r="C1695" t="s">
        <v>2351</v>
      </c>
      <c r="D1695" t="s">
        <v>2480</v>
      </c>
      <c r="E1695" t="s">
        <v>2353</v>
      </c>
      <c r="F1695" t="s">
        <v>2623</v>
      </c>
      <c r="H1695" t="s">
        <v>2355</v>
      </c>
      <c r="I1695" t="s">
        <v>2369</v>
      </c>
      <c r="Q1695" t="s">
        <v>57</v>
      </c>
      <c r="R1695" t="s">
        <v>2630</v>
      </c>
      <c r="Y1695" t="s">
        <v>2625</v>
      </c>
      <c r="Z1695">
        <v>3917</v>
      </c>
      <c r="AE1695">
        <v>527</v>
      </c>
      <c r="AF1695" s="4">
        <v>0.37</v>
      </c>
      <c r="AG1695">
        <f t="shared" si="165"/>
        <v>332.01</v>
      </c>
      <c r="AH1695" s="4">
        <v>0.18</v>
      </c>
      <c r="AI1695">
        <f t="shared" si="160"/>
        <v>391.77</v>
      </c>
      <c r="AJ1695" s="4">
        <v>0.15</v>
      </c>
      <c r="AK1695">
        <f t="shared" si="161"/>
        <v>58.77</v>
      </c>
      <c r="AL1695">
        <f t="shared" si="162"/>
        <v>450.54</v>
      </c>
      <c r="AM1695">
        <f t="shared" si="163"/>
        <v>76.46</v>
      </c>
      <c r="AN1695" s="4">
        <f t="shared" si="164"/>
        <v>0.145085388994307</v>
      </c>
      <c r="AO1695" t="s">
        <v>221</v>
      </c>
      <c r="AQ1695" t="s">
        <v>217</v>
      </c>
      <c r="AT1695" t="s">
        <v>1662</v>
      </c>
    </row>
    <row r="1696" ht="15.75" customHeight="1" spans="1:46">
      <c r="A1696" t="s">
        <v>2631</v>
      </c>
      <c r="B1696" t="s">
        <v>46</v>
      </c>
      <c r="C1696" t="s">
        <v>2351</v>
      </c>
      <c r="D1696" t="s">
        <v>2480</v>
      </c>
      <c r="E1696" t="s">
        <v>2353</v>
      </c>
      <c r="F1696" t="s">
        <v>2632</v>
      </c>
      <c r="H1696" t="s">
        <v>53</v>
      </c>
      <c r="I1696" t="s">
        <v>2545</v>
      </c>
      <c r="Q1696" t="s">
        <v>57</v>
      </c>
      <c r="R1696" t="s">
        <v>2633</v>
      </c>
      <c r="Y1696" t="s">
        <v>2577</v>
      </c>
      <c r="Z1696">
        <v>3917</v>
      </c>
      <c r="AE1696">
        <v>50</v>
      </c>
      <c r="AF1696" s="4">
        <v>0.37</v>
      </c>
      <c r="AG1696">
        <f t="shared" si="165"/>
        <v>31.5</v>
      </c>
      <c r="AH1696" s="4">
        <v>0.18</v>
      </c>
      <c r="AI1696">
        <f t="shared" si="160"/>
        <v>37.17</v>
      </c>
      <c r="AJ1696" s="4">
        <v>0.15</v>
      </c>
      <c r="AK1696">
        <f t="shared" si="161"/>
        <v>5.58</v>
      </c>
      <c r="AL1696">
        <f t="shared" si="162"/>
        <v>42.75</v>
      </c>
      <c r="AM1696">
        <f t="shared" si="163"/>
        <v>7.25</v>
      </c>
      <c r="AN1696" s="4">
        <f t="shared" si="164"/>
        <v>0.145</v>
      </c>
      <c r="AO1696" t="s">
        <v>221</v>
      </c>
      <c r="AQ1696" t="s">
        <v>217</v>
      </c>
      <c r="AT1696" t="s">
        <v>1662</v>
      </c>
    </row>
    <row r="1697" ht="15.75" customHeight="1" spans="1:46">
      <c r="A1697" t="s">
        <v>2634</v>
      </c>
      <c r="B1697" t="s">
        <v>46</v>
      </c>
      <c r="C1697" t="s">
        <v>2351</v>
      </c>
      <c r="D1697" t="s">
        <v>2480</v>
      </c>
      <c r="E1697" t="s">
        <v>2353</v>
      </c>
      <c r="F1697" t="s">
        <v>2635</v>
      </c>
      <c r="H1697" t="s">
        <v>53</v>
      </c>
      <c r="I1697" t="s">
        <v>2636</v>
      </c>
      <c r="Q1697" t="s">
        <v>57</v>
      </c>
      <c r="R1697" t="s">
        <v>2637</v>
      </c>
      <c r="Y1697" t="s">
        <v>2638</v>
      </c>
      <c r="Z1697">
        <v>3917</v>
      </c>
      <c r="AE1697">
        <v>90</v>
      </c>
      <c r="AF1697" s="4">
        <v>0.37</v>
      </c>
      <c r="AG1697">
        <f t="shared" si="165"/>
        <v>56.7</v>
      </c>
      <c r="AH1697" s="4">
        <v>0.18</v>
      </c>
      <c r="AI1697">
        <f t="shared" si="160"/>
        <v>66.91</v>
      </c>
      <c r="AJ1697" s="4">
        <v>0.15</v>
      </c>
      <c r="AK1697">
        <f t="shared" si="161"/>
        <v>10.04</v>
      </c>
      <c r="AL1697">
        <f t="shared" si="162"/>
        <v>76.95</v>
      </c>
      <c r="AM1697">
        <f t="shared" si="163"/>
        <v>13.05</v>
      </c>
      <c r="AN1697" s="4">
        <f t="shared" si="164"/>
        <v>0.145</v>
      </c>
      <c r="AO1697" t="s">
        <v>221</v>
      </c>
      <c r="AQ1697" t="s">
        <v>217</v>
      </c>
      <c r="AT1697" t="s">
        <v>1662</v>
      </c>
    </row>
    <row r="1698" ht="15.75" customHeight="1" spans="1:46">
      <c r="A1698" t="s">
        <v>2634</v>
      </c>
      <c r="B1698" t="s">
        <v>67</v>
      </c>
      <c r="C1698" t="s">
        <v>2351</v>
      </c>
      <c r="D1698" t="s">
        <v>2480</v>
      </c>
      <c r="E1698" t="s">
        <v>2353</v>
      </c>
      <c r="F1698" t="s">
        <v>2635</v>
      </c>
      <c r="H1698" t="s">
        <v>53</v>
      </c>
      <c r="I1698" t="s">
        <v>2545</v>
      </c>
      <c r="Q1698" t="s">
        <v>57</v>
      </c>
      <c r="R1698" t="s">
        <v>2639</v>
      </c>
      <c r="Y1698" t="s">
        <v>2638</v>
      </c>
      <c r="Z1698">
        <v>3917</v>
      </c>
      <c r="AE1698">
        <v>94</v>
      </c>
      <c r="AF1698" s="4">
        <v>0.37</v>
      </c>
      <c r="AG1698">
        <f t="shared" si="165"/>
        <v>59.22</v>
      </c>
      <c r="AH1698" s="4">
        <v>0.18</v>
      </c>
      <c r="AI1698">
        <f t="shared" si="160"/>
        <v>69.88</v>
      </c>
      <c r="AJ1698" s="4">
        <v>0.15</v>
      </c>
      <c r="AK1698">
        <f t="shared" si="161"/>
        <v>10.48</v>
      </c>
      <c r="AL1698">
        <f t="shared" si="162"/>
        <v>80.36</v>
      </c>
      <c r="AM1698">
        <f t="shared" si="163"/>
        <v>13.64</v>
      </c>
      <c r="AN1698" s="4">
        <f t="shared" si="164"/>
        <v>0.145106382978723</v>
      </c>
      <c r="AO1698" t="s">
        <v>221</v>
      </c>
      <c r="AQ1698" t="s">
        <v>217</v>
      </c>
      <c r="AT1698" t="s">
        <v>1662</v>
      </c>
    </row>
    <row r="1699" ht="15.75" customHeight="1" spans="1:46">
      <c r="A1699" t="s">
        <v>2634</v>
      </c>
      <c r="B1699" t="s">
        <v>71</v>
      </c>
      <c r="C1699" t="s">
        <v>2351</v>
      </c>
      <c r="D1699" t="s">
        <v>2480</v>
      </c>
      <c r="E1699" t="s">
        <v>2353</v>
      </c>
      <c r="F1699" t="s">
        <v>2635</v>
      </c>
      <c r="H1699" t="s">
        <v>53</v>
      </c>
      <c r="I1699" t="s">
        <v>2640</v>
      </c>
      <c r="Q1699" t="s">
        <v>57</v>
      </c>
      <c r="R1699" t="s">
        <v>2641</v>
      </c>
      <c r="Y1699" t="s">
        <v>2638</v>
      </c>
      <c r="Z1699">
        <v>3917</v>
      </c>
      <c r="AE1699">
        <v>137</v>
      </c>
      <c r="AF1699" s="4">
        <v>0.37</v>
      </c>
      <c r="AG1699">
        <f t="shared" si="165"/>
        <v>86.31</v>
      </c>
      <c r="AH1699" s="4">
        <v>0.18</v>
      </c>
      <c r="AI1699">
        <f t="shared" si="160"/>
        <v>101.85</v>
      </c>
      <c r="AJ1699" s="4">
        <v>0.15</v>
      </c>
      <c r="AK1699">
        <f t="shared" si="161"/>
        <v>15.28</v>
      </c>
      <c r="AL1699">
        <f t="shared" si="162"/>
        <v>117.13</v>
      </c>
      <c r="AM1699">
        <f t="shared" si="163"/>
        <v>19.87</v>
      </c>
      <c r="AN1699" s="4">
        <f t="shared" si="164"/>
        <v>0.145036496350365</v>
      </c>
      <c r="AO1699" t="s">
        <v>221</v>
      </c>
      <c r="AQ1699" t="s">
        <v>217</v>
      </c>
      <c r="AT1699" t="s">
        <v>1662</v>
      </c>
    </row>
    <row r="1700" ht="15.75" customHeight="1" spans="1:46">
      <c r="A1700" t="s">
        <v>2634</v>
      </c>
      <c r="B1700" t="s">
        <v>75</v>
      </c>
      <c r="C1700" t="s">
        <v>2351</v>
      </c>
      <c r="D1700" t="s">
        <v>2480</v>
      </c>
      <c r="E1700" t="s">
        <v>2353</v>
      </c>
      <c r="F1700" t="s">
        <v>2635</v>
      </c>
      <c r="H1700" t="s">
        <v>53</v>
      </c>
      <c r="I1700" t="s">
        <v>2554</v>
      </c>
      <c r="Q1700" t="s">
        <v>57</v>
      </c>
      <c r="R1700" t="s">
        <v>2642</v>
      </c>
      <c r="Y1700" t="s">
        <v>2638</v>
      </c>
      <c r="Z1700">
        <v>3917</v>
      </c>
      <c r="AE1700">
        <v>168</v>
      </c>
      <c r="AF1700" s="4">
        <v>0.37</v>
      </c>
      <c r="AG1700">
        <f t="shared" si="165"/>
        <v>105.84</v>
      </c>
      <c r="AH1700" s="4">
        <v>0.18</v>
      </c>
      <c r="AI1700">
        <f t="shared" si="160"/>
        <v>124.89</v>
      </c>
      <c r="AJ1700" s="4">
        <v>0.15</v>
      </c>
      <c r="AK1700">
        <f t="shared" si="161"/>
        <v>18.73</v>
      </c>
      <c r="AL1700">
        <f t="shared" si="162"/>
        <v>143.62</v>
      </c>
      <c r="AM1700">
        <f t="shared" si="163"/>
        <v>24.38</v>
      </c>
      <c r="AN1700" s="4">
        <f t="shared" si="164"/>
        <v>0.145119047619048</v>
      </c>
      <c r="AO1700" t="s">
        <v>221</v>
      </c>
      <c r="AQ1700" t="s">
        <v>217</v>
      </c>
      <c r="AT1700" t="s">
        <v>1662</v>
      </c>
    </row>
    <row r="1701" ht="15.75" customHeight="1" spans="1:46">
      <c r="A1701" t="s">
        <v>2634</v>
      </c>
      <c r="B1701" t="s">
        <v>79</v>
      </c>
      <c r="C1701" t="s">
        <v>2351</v>
      </c>
      <c r="D1701" t="s">
        <v>2480</v>
      </c>
      <c r="E1701" t="s">
        <v>2353</v>
      </c>
      <c r="F1701" t="s">
        <v>2635</v>
      </c>
      <c r="H1701" t="s">
        <v>53</v>
      </c>
      <c r="I1701" t="s">
        <v>2548</v>
      </c>
      <c r="Q1701" t="s">
        <v>57</v>
      </c>
      <c r="R1701" t="s">
        <v>2643</v>
      </c>
      <c r="Y1701" t="s">
        <v>2638</v>
      </c>
      <c r="Z1701">
        <v>3917</v>
      </c>
      <c r="AE1701">
        <v>267</v>
      </c>
      <c r="AF1701" s="4">
        <v>0.37</v>
      </c>
      <c r="AG1701">
        <f t="shared" si="165"/>
        <v>168.21</v>
      </c>
      <c r="AH1701" s="4">
        <v>0.18</v>
      </c>
      <c r="AI1701">
        <f t="shared" si="160"/>
        <v>198.49</v>
      </c>
      <c r="AJ1701" s="4">
        <v>0.15</v>
      </c>
      <c r="AK1701">
        <f t="shared" si="161"/>
        <v>29.77</v>
      </c>
      <c r="AL1701">
        <f t="shared" si="162"/>
        <v>228.26</v>
      </c>
      <c r="AM1701">
        <f t="shared" si="163"/>
        <v>38.74</v>
      </c>
      <c r="AN1701" s="4">
        <f t="shared" si="164"/>
        <v>0.145093632958801</v>
      </c>
      <c r="AO1701" t="s">
        <v>221</v>
      </c>
      <c r="AQ1701" t="s">
        <v>217</v>
      </c>
      <c r="AT1701" t="s">
        <v>1662</v>
      </c>
    </row>
    <row r="1702" ht="15.75" customHeight="1" spans="1:46">
      <c r="A1702" t="s">
        <v>2634</v>
      </c>
      <c r="B1702" t="s">
        <v>83</v>
      </c>
      <c r="C1702" t="s">
        <v>2351</v>
      </c>
      <c r="D1702" t="s">
        <v>2480</v>
      </c>
      <c r="E1702" t="s">
        <v>2353</v>
      </c>
      <c r="F1702" t="s">
        <v>2635</v>
      </c>
      <c r="H1702" t="s">
        <v>53</v>
      </c>
      <c r="I1702" t="s">
        <v>2644</v>
      </c>
      <c r="Q1702" t="s">
        <v>57</v>
      </c>
      <c r="R1702" t="s">
        <v>2645</v>
      </c>
      <c r="Y1702" t="s">
        <v>2638</v>
      </c>
      <c r="Z1702">
        <v>3917</v>
      </c>
      <c r="AE1702">
        <v>511</v>
      </c>
      <c r="AF1702" s="4">
        <v>0.37</v>
      </c>
      <c r="AG1702">
        <f t="shared" si="165"/>
        <v>321.93</v>
      </c>
      <c r="AH1702" s="4">
        <v>0.18</v>
      </c>
      <c r="AI1702">
        <f t="shared" si="160"/>
        <v>379.88</v>
      </c>
      <c r="AJ1702" s="4">
        <v>0.15</v>
      </c>
      <c r="AK1702">
        <f t="shared" si="161"/>
        <v>56.98</v>
      </c>
      <c r="AL1702">
        <f t="shared" si="162"/>
        <v>436.86</v>
      </c>
      <c r="AM1702">
        <f t="shared" si="163"/>
        <v>74.14</v>
      </c>
      <c r="AN1702" s="4">
        <f t="shared" si="164"/>
        <v>0.145088062622309</v>
      </c>
      <c r="AO1702" t="s">
        <v>221</v>
      </c>
      <c r="AQ1702" t="s">
        <v>217</v>
      </c>
      <c r="AT1702" t="s">
        <v>1662</v>
      </c>
    </row>
    <row r="1703" ht="15.75" customHeight="1" spans="1:46">
      <c r="A1703" t="s">
        <v>2634</v>
      </c>
      <c r="B1703" t="s">
        <v>131</v>
      </c>
      <c r="C1703" t="s">
        <v>2351</v>
      </c>
      <c r="D1703" t="s">
        <v>2480</v>
      </c>
      <c r="E1703" t="s">
        <v>2353</v>
      </c>
      <c r="F1703" t="s">
        <v>2635</v>
      </c>
      <c r="H1703" t="s">
        <v>53</v>
      </c>
      <c r="I1703" t="s">
        <v>2557</v>
      </c>
      <c r="Q1703" t="s">
        <v>57</v>
      </c>
      <c r="R1703" t="s">
        <v>2646</v>
      </c>
      <c r="Y1703" t="s">
        <v>2638</v>
      </c>
      <c r="Z1703">
        <v>3917</v>
      </c>
      <c r="AE1703">
        <v>314</v>
      </c>
      <c r="AF1703" s="4">
        <v>0.37</v>
      </c>
      <c r="AG1703">
        <f t="shared" si="165"/>
        <v>197.82</v>
      </c>
      <c r="AH1703" s="4">
        <v>0.18</v>
      </c>
      <c r="AI1703">
        <f t="shared" si="160"/>
        <v>233.43</v>
      </c>
      <c r="AJ1703" s="4">
        <v>0.15</v>
      </c>
      <c r="AK1703">
        <f t="shared" si="161"/>
        <v>35.01</v>
      </c>
      <c r="AL1703">
        <f t="shared" si="162"/>
        <v>268.44</v>
      </c>
      <c r="AM1703">
        <f t="shared" si="163"/>
        <v>45.56</v>
      </c>
      <c r="AN1703" s="4">
        <f t="shared" si="164"/>
        <v>0.145095541401274</v>
      </c>
      <c r="AO1703" t="s">
        <v>221</v>
      </c>
      <c r="AQ1703" t="s">
        <v>217</v>
      </c>
      <c r="AT1703" t="s">
        <v>1662</v>
      </c>
    </row>
    <row r="1704" ht="15.75" customHeight="1" spans="1:46">
      <c r="A1704" t="s">
        <v>2634</v>
      </c>
      <c r="B1704" t="s">
        <v>133</v>
      </c>
      <c r="C1704" t="s">
        <v>2351</v>
      </c>
      <c r="D1704" t="s">
        <v>2480</v>
      </c>
      <c r="E1704" t="s">
        <v>2353</v>
      </c>
      <c r="F1704" t="s">
        <v>2635</v>
      </c>
      <c r="H1704" t="s">
        <v>53</v>
      </c>
      <c r="I1704" t="s">
        <v>2559</v>
      </c>
      <c r="Q1704" t="s">
        <v>57</v>
      </c>
      <c r="R1704" t="s">
        <v>2647</v>
      </c>
      <c r="Y1704" t="s">
        <v>2638</v>
      </c>
      <c r="Z1704">
        <v>3917</v>
      </c>
      <c r="AE1704">
        <v>372</v>
      </c>
      <c r="AF1704" s="4">
        <v>0.37</v>
      </c>
      <c r="AG1704">
        <f t="shared" si="165"/>
        <v>234.36</v>
      </c>
      <c r="AH1704" s="4">
        <v>0.18</v>
      </c>
      <c r="AI1704">
        <f t="shared" si="160"/>
        <v>276.54</v>
      </c>
      <c r="AJ1704" s="4">
        <v>0.15</v>
      </c>
      <c r="AK1704">
        <f t="shared" si="161"/>
        <v>41.48</v>
      </c>
      <c r="AL1704">
        <f t="shared" si="162"/>
        <v>318.02</v>
      </c>
      <c r="AM1704">
        <f t="shared" si="163"/>
        <v>53.98</v>
      </c>
      <c r="AN1704" s="4">
        <f t="shared" si="164"/>
        <v>0.14510752688172</v>
      </c>
      <c r="AO1704" t="s">
        <v>221</v>
      </c>
      <c r="AQ1704" t="s">
        <v>217</v>
      </c>
      <c r="AT1704" t="s">
        <v>1662</v>
      </c>
    </row>
    <row r="1705" ht="15.75" customHeight="1" spans="1:46">
      <c r="A1705" t="s">
        <v>2634</v>
      </c>
      <c r="B1705" t="s">
        <v>135</v>
      </c>
      <c r="C1705" t="s">
        <v>2351</v>
      </c>
      <c r="D1705" t="s">
        <v>2480</v>
      </c>
      <c r="E1705" t="s">
        <v>2353</v>
      </c>
      <c r="F1705" t="s">
        <v>2635</v>
      </c>
      <c r="H1705" t="s">
        <v>53</v>
      </c>
      <c r="I1705" t="s">
        <v>2648</v>
      </c>
      <c r="Q1705" t="s">
        <v>57</v>
      </c>
      <c r="R1705" t="s">
        <v>2649</v>
      </c>
      <c r="Y1705" t="s">
        <v>2638</v>
      </c>
      <c r="Z1705">
        <v>3917</v>
      </c>
      <c r="AE1705">
        <v>669</v>
      </c>
      <c r="AF1705" s="4">
        <v>0.37</v>
      </c>
      <c r="AG1705">
        <f t="shared" si="165"/>
        <v>421.47</v>
      </c>
      <c r="AH1705" s="4">
        <v>0.18</v>
      </c>
      <c r="AI1705">
        <f t="shared" si="160"/>
        <v>497.33</v>
      </c>
      <c r="AJ1705" s="4">
        <v>0.15</v>
      </c>
      <c r="AK1705">
        <f t="shared" si="161"/>
        <v>74.6</v>
      </c>
      <c r="AL1705">
        <f t="shared" si="162"/>
        <v>571.93</v>
      </c>
      <c r="AM1705">
        <f t="shared" si="163"/>
        <v>97.07</v>
      </c>
      <c r="AN1705" s="4">
        <f t="shared" si="164"/>
        <v>0.145097159940209</v>
      </c>
      <c r="AO1705" t="s">
        <v>221</v>
      </c>
      <c r="AQ1705" t="s">
        <v>217</v>
      </c>
      <c r="AT1705" t="s">
        <v>1662</v>
      </c>
    </row>
    <row r="1706" ht="15.75" customHeight="1" spans="1:46">
      <c r="A1706" t="s">
        <v>2650</v>
      </c>
      <c r="B1706" t="s">
        <v>46</v>
      </c>
      <c r="C1706" t="s">
        <v>2351</v>
      </c>
      <c r="D1706" t="s">
        <v>2480</v>
      </c>
      <c r="E1706" t="s">
        <v>2353</v>
      </c>
      <c r="F1706" t="s">
        <v>2651</v>
      </c>
      <c r="H1706" t="s">
        <v>53</v>
      </c>
      <c r="I1706" t="s">
        <v>2652</v>
      </c>
      <c r="Q1706" t="s">
        <v>57</v>
      </c>
      <c r="R1706" t="s">
        <v>2653</v>
      </c>
      <c r="Y1706" t="s">
        <v>2654</v>
      </c>
      <c r="Z1706">
        <v>3917</v>
      </c>
      <c r="AE1706">
        <v>114</v>
      </c>
      <c r="AF1706" s="4">
        <v>0.37</v>
      </c>
      <c r="AG1706">
        <f t="shared" si="165"/>
        <v>71.82</v>
      </c>
      <c r="AH1706" s="4">
        <v>0.18</v>
      </c>
      <c r="AI1706">
        <f t="shared" si="160"/>
        <v>84.75</v>
      </c>
      <c r="AJ1706" s="4">
        <v>0.15</v>
      </c>
      <c r="AK1706">
        <f t="shared" si="161"/>
        <v>12.71</v>
      </c>
      <c r="AL1706">
        <f t="shared" si="162"/>
        <v>97.46</v>
      </c>
      <c r="AM1706">
        <f t="shared" si="163"/>
        <v>16.54</v>
      </c>
      <c r="AN1706" s="4">
        <f t="shared" si="164"/>
        <v>0.145087719298246</v>
      </c>
      <c r="AO1706" t="s">
        <v>221</v>
      </c>
      <c r="AQ1706" t="s">
        <v>217</v>
      </c>
      <c r="AT1706" t="s">
        <v>1662</v>
      </c>
    </row>
    <row r="1707" ht="15.75" customHeight="1" spans="1:46">
      <c r="A1707" t="s">
        <v>2650</v>
      </c>
      <c r="B1707" t="s">
        <v>67</v>
      </c>
      <c r="C1707" t="s">
        <v>2351</v>
      </c>
      <c r="D1707" t="s">
        <v>2480</v>
      </c>
      <c r="E1707" t="s">
        <v>2353</v>
      </c>
      <c r="F1707" t="s">
        <v>2651</v>
      </c>
      <c r="H1707" t="s">
        <v>53</v>
      </c>
      <c r="I1707" t="s">
        <v>2592</v>
      </c>
      <c r="Q1707" t="s">
        <v>57</v>
      </c>
      <c r="R1707" t="s">
        <v>2655</v>
      </c>
      <c r="Y1707" t="s">
        <v>2654</v>
      </c>
      <c r="Z1707">
        <v>3917</v>
      </c>
      <c r="AE1707">
        <v>110</v>
      </c>
      <c r="AF1707" s="4">
        <v>0.37</v>
      </c>
      <c r="AG1707">
        <f t="shared" si="165"/>
        <v>69.3</v>
      </c>
      <c r="AH1707" s="4">
        <v>0.18</v>
      </c>
      <c r="AI1707">
        <f t="shared" si="160"/>
        <v>81.77</v>
      </c>
      <c r="AJ1707" s="4">
        <v>0.15</v>
      </c>
      <c r="AK1707">
        <f t="shared" si="161"/>
        <v>12.27</v>
      </c>
      <c r="AL1707">
        <f t="shared" si="162"/>
        <v>94.04</v>
      </c>
      <c r="AM1707">
        <f t="shared" si="163"/>
        <v>15.96</v>
      </c>
      <c r="AN1707" s="4">
        <f t="shared" si="164"/>
        <v>0.145090909090909</v>
      </c>
      <c r="AO1707" t="s">
        <v>221</v>
      </c>
      <c r="AQ1707" t="s">
        <v>217</v>
      </c>
      <c r="AT1707" t="s">
        <v>1662</v>
      </c>
    </row>
    <row r="1708" ht="15.75" customHeight="1" spans="1:46">
      <c r="A1708" t="s">
        <v>2650</v>
      </c>
      <c r="B1708" t="s">
        <v>71</v>
      </c>
      <c r="C1708" t="s">
        <v>2351</v>
      </c>
      <c r="D1708" t="s">
        <v>2480</v>
      </c>
      <c r="E1708" t="s">
        <v>2353</v>
      </c>
      <c r="F1708" t="s">
        <v>2651</v>
      </c>
      <c r="H1708" t="s">
        <v>53</v>
      </c>
      <c r="I1708" t="s">
        <v>2656</v>
      </c>
      <c r="Q1708" t="s">
        <v>57</v>
      </c>
      <c r="R1708" t="s">
        <v>2657</v>
      </c>
      <c r="Y1708" t="s">
        <v>2654</v>
      </c>
      <c r="Z1708">
        <v>3917</v>
      </c>
      <c r="AE1708">
        <v>168</v>
      </c>
      <c r="AF1708" s="4">
        <v>0.37</v>
      </c>
      <c r="AG1708">
        <f t="shared" si="165"/>
        <v>105.84</v>
      </c>
      <c r="AH1708" s="4">
        <v>0.18</v>
      </c>
      <c r="AI1708">
        <f t="shared" si="160"/>
        <v>124.89</v>
      </c>
      <c r="AJ1708" s="4">
        <v>0.15</v>
      </c>
      <c r="AK1708">
        <f t="shared" si="161"/>
        <v>18.73</v>
      </c>
      <c r="AL1708">
        <f t="shared" si="162"/>
        <v>143.62</v>
      </c>
      <c r="AM1708">
        <f t="shared" si="163"/>
        <v>24.38</v>
      </c>
      <c r="AN1708" s="4">
        <f t="shared" si="164"/>
        <v>0.145119047619048</v>
      </c>
      <c r="AO1708" t="s">
        <v>221</v>
      </c>
      <c r="AQ1708" t="s">
        <v>217</v>
      </c>
      <c r="AT1708" t="s">
        <v>1662</v>
      </c>
    </row>
    <row r="1709" ht="15.75" customHeight="1" spans="1:46">
      <c r="A1709" t="s">
        <v>2650</v>
      </c>
      <c r="B1709" t="s">
        <v>75</v>
      </c>
      <c r="C1709" t="s">
        <v>2351</v>
      </c>
      <c r="D1709" t="s">
        <v>2480</v>
      </c>
      <c r="E1709" t="s">
        <v>2353</v>
      </c>
      <c r="F1709" t="s">
        <v>2651</v>
      </c>
      <c r="H1709" t="s">
        <v>53</v>
      </c>
      <c r="I1709" t="s">
        <v>2594</v>
      </c>
      <c r="Q1709" t="s">
        <v>57</v>
      </c>
      <c r="R1709" t="s">
        <v>2658</v>
      </c>
      <c r="Y1709" t="s">
        <v>2654</v>
      </c>
      <c r="Z1709">
        <v>3917</v>
      </c>
      <c r="AE1709">
        <v>197</v>
      </c>
      <c r="AF1709" s="4">
        <v>0.37</v>
      </c>
      <c r="AG1709">
        <f t="shared" si="165"/>
        <v>124.11</v>
      </c>
      <c r="AH1709" s="4">
        <v>0.18</v>
      </c>
      <c r="AI1709">
        <f t="shared" si="160"/>
        <v>146.45</v>
      </c>
      <c r="AJ1709" s="4">
        <v>0.15</v>
      </c>
      <c r="AK1709">
        <f t="shared" si="161"/>
        <v>21.97</v>
      </c>
      <c r="AL1709">
        <f t="shared" si="162"/>
        <v>168.42</v>
      </c>
      <c r="AM1709">
        <f t="shared" si="163"/>
        <v>28.58</v>
      </c>
      <c r="AN1709" s="4">
        <f t="shared" si="164"/>
        <v>0.14507614213198</v>
      </c>
      <c r="AO1709" t="s">
        <v>221</v>
      </c>
      <c r="AQ1709" t="s">
        <v>217</v>
      </c>
      <c r="AT1709" t="s">
        <v>1662</v>
      </c>
    </row>
    <row r="1710" ht="15.75" customHeight="1" spans="1:46">
      <c r="A1710" t="s">
        <v>2650</v>
      </c>
      <c r="B1710" t="s">
        <v>79</v>
      </c>
      <c r="C1710" t="s">
        <v>2351</v>
      </c>
      <c r="D1710" t="s">
        <v>2480</v>
      </c>
      <c r="E1710" t="s">
        <v>2353</v>
      </c>
      <c r="F1710" t="s">
        <v>2651</v>
      </c>
      <c r="H1710" t="s">
        <v>53</v>
      </c>
      <c r="I1710" t="s">
        <v>2596</v>
      </c>
      <c r="Q1710" t="s">
        <v>57</v>
      </c>
      <c r="R1710" t="s">
        <v>2659</v>
      </c>
      <c r="Y1710" t="s">
        <v>2654</v>
      </c>
      <c r="Z1710">
        <v>3917</v>
      </c>
      <c r="AE1710">
        <v>290</v>
      </c>
      <c r="AF1710" s="4">
        <v>0.37</v>
      </c>
      <c r="AG1710">
        <f t="shared" si="165"/>
        <v>182.7</v>
      </c>
      <c r="AH1710" s="4">
        <v>0.18</v>
      </c>
      <c r="AI1710">
        <f t="shared" si="160"/>
        <v>215.59</v>
      </c>
      <c r="AJ1710" s="4">
        <v>0.15</v>
      </c>
      <c r="AK1710">
        <f t="shared" si="161"/>
        <v>32.34</v>
      </c>
      <c r="AL1710">
        <f t="shared" si="162"/>
        <v>247.93</v>
      </c>
      <c r="AM1710">
        <f t="shared" si="163"/>
        <v>42.07</v>
      </c>
      <c r="AN1710" s="4">
        <f t="shared" si="164"/>
        <v>0.145068965517241</v>
      </c>
      <c r="AO1710" t="s">
        <v>221</v>
      </c>
      <c r="AQ1710" t="s">
        <v>217</v>
      </c>
      <c r="AT1710" t="s">
        <v>1662</v>
      </c>
    </row>
    <row r="1711" ht="15.75" customHeight="1" spans="1:46">
      <c r="A1711" t="s">
        <v>2650</v>
      </c>
      <c r="B1711" t="s">
        <v>83</v>
      </c>
      <c r="C1711" t="s">
        <v>2351</v>
      </c>
      <c r="D1711" t="s">
        <v>2480</v>
      </c>
      <c r="E1711" t="s">
        <v>2353</v>
      </c>
      <c r="F1711" t="s">
        <v>2651</v>
      </c>
      <c r="H1711" t="s">
        <v>53</v>
      </c>
      <c r="I1711" t="s">
        <v>2660</v>
      </c>
      <c r="Q1711" t="s">
        <v>57</v>
      </c>
      <c r="R1711" t="s">
        <v>2661</v>
      </c>
      <c r="Y1711" t="s">
        <v>2654</v>
      </c>
      <c r="Z1711">
        <v>3917</v>
      </c>
      <c r="AE1711">
        <v>319</v>
      </c>
      <c r="AF1711" s="4">
        <v>0.37</v>
      </c>
      <c r="AG1711">
        <f t="shared" si="165"/>
        <v>200.97</v>
      </c>
      <c r="AH1711" s="4">
        <v>0.18</v>
      </c>
      <c r="AI1711">
        <f t="shared" si="160"/>
        <v>237.14</v>
      </c>
      <c r="AJ1711" s="4">
        <v>0.15</v>
      </c>
      <c r="AK1711">
        <f t="shared" si="161"/>
        <v>35.57</v>
      </c>
      <c r="AL1711">
        <f t="shared" si="162"/>
        <v>272.71</v>
      </c>
      <c r="AM1711">
        <f t="shared" si="163"/>
        <v>46.29</v>
      </c>
      <c r="AN1711" s="4">
        <f t="shared" si="164"/>
        <v>0.145109717868339</v>
      </c>
      <c r="AO1711" t="s">
        <v>221</v>
      </c>
      <c r="AQ1711" t="s">
        <v>217</v>
      </c>
      <c r="AT1711" t="s">
        <v>1662</v>
      </c>
    </row>
    <row r="1712" ht="15.75" customHeight="1" spans="1:46">
      <c r="A1712" t="s">
        <v>2650</v>
      </c>
      <c r="B1712" t="s">
        <v>131</v>
      </c>
      <c r="C1712" t="s">
        <v>2351</v>
      </c>
      <c r="D1712" t="s">
        <v>2480</v>
      </c>
      <c r="E1712" t="s">
        <v>2353</v>
      </c>
      <c r="F1712" t="s">
        <v>2651</v>
      </c>
      <c r="H1712" t="s">
        <v>53</v>
      </c>
      <c r="I1712" t="s">
        <v>2598</v>
      </c>
      <c r="Q1712" t="s">
        <v>57</v>
      </c>
      <c r="R1712" t="s">
        <v>2662</v>
      </c>
      <c r="Y1712" t="s">
        <v>2654</v>
      </c>
      <c r="Z1712">
        <v>3917</v>
      </c>
      <c r="AE1712">
        <v>368</v>
      </c>
      <c r="AF1712" s="4">
        <v>0.37</v>
      </c>
      <c r="AG1712">
        <f t="shared" si="165"/>
        <v>231.84</v>
      </c>
      <c r="AH1712" s="4">
        <v>0.18</v>
      </c>
      <c r="AI1712">
        <f t="shared" si="160"/>
        <v>273.57</v>
      </c>
      <c r="AJ1712" s="4">
        <v>0.15</v>
      </c>
      <c r="AK1712">
        <f t="shared" si="161"/>
        <v>41.04</v>
      </c>
      <c r="AL1712">
        <f t="shared" si="162"/>
        <v>314.61</v>
      </c>
      <c r="AM1712">
        <f t="shared" si="163"/>
        <v>53.39</v>
      </c>
      <c r="AN1712" s="4">
        <f t="shared" si="164"/>
        <v>0.14508152173913</v>
      </c>
      <c r="AO1712" t="s">
        <v>221</v>
      </c>
      <c r="AQ1712" t="s">
        <v>217</v>
      </c>
      <c r="AT1712" t="s">
        <v>1662</v>
      </c>
    </row>
    <row r="1713" ht="15.75" customHeight="1" spans="1:46">
      <c r="A1713" t="s">
        <v>2650</v>
      </c>
      <c r="B1713" t="s">
        <v>133</v>
      </c>
      <c r="C1713" t="s">
        <v>2351</v>
      </c>
      <c r="D1713" t="s">
        <v>2480</v>
      </c>
      <c r="E1713" t="s">
        <v>2353</v>
      </c>
      <c r="F1713" t="s">
        <v>2651</v>
      </c>
      <c r="H1713" t="s">
        <v>53</v>
      </c>
      <c r="I1713" t="s">
        <v>2663</v>
      </c>
      <c r="Q1713" t="s">
        <v>57</v>
      </c>
      <c r="R1713" t="s">
        <v>2664</v>
      </c>
      <c r="Y1713" t="s">
        <v>2654</v>
      </c>
      <c r="Z1713">
        <v>3917</v>
      </c>
      <c r="AE1713">
        <v>344</v>
      </c>
      <c r="AF1713" s="4">
        <v>0.37</v>
      </c>
      <c r="AG1713">
        <f t="shared" si="165"/>
        <v>216.72</v>
      </c>
      <c r="AH1713" s="4">
        <v>0.18</v>
      </c>
      <c r="AI1713">
        <f t="shared" si="160"/>
        <v>255.73</v>
      </c>
      <c r="AJ1713" s="4">
        <v>0.15</v>
      </c>
      <c r="AK1713">
        <f t="shared" si="161"/>
        <v>38.36</v>
      </c>
      <c r="AL1713">
        <f t="shared" si="162"/>
        <v>294.09</v>
      </c>
      <c r="AM1713">
        <f t="shared" si="163"/>
        <v>49.91</v>
      </c>
      <c r="AN1713" s="4">
        <f t="shared" si="164"/>
        <v>0.145087209302326</v>
      </c>
      <c r="AO1713" t="s">
        <v>221</v>
      </c>
      <c r="AQ1713" t="s">
        <v>217</v>
      </c>
      <c r="AT1713" t="s">
        <v>1662</v>
      </c>
    </row>
    <row r="1714" ht="15.75" customHeight="1" spans="1:46">
      <c r="A1714" t="s">
        <v>2665</v>
      </c>
      <c r="B1714" t="s">
        <v>46</v>
      </c>
      <c r="C1714" t="s">
        <v>2351</v>
      </c>
      <c r="D1714" t="s">
        <v>2480</v>
      </c>
      <c r="E1714" t="s">
        <v>2353</v>
      </c>
      <c r="F1714" t="s">
        <v>2666</v>
      </c>
      <c r="H1714" t="s">
        <v>2355</v>
      </c>
      <c r="I1714" t="s">
        <v>2356</v>
      </c>
      <c r="Q1714" t="s">
        <v>57</v>
      </c>
      <c r="R1714" t="s">
        <v>2667</v>
      </c>
      <c r="Y1714" t="s">
        <v>2668</v>
      </c>
      <c r="Z1714">
        <v>3917</v>
      </c>
      <c r="AE1714">
        <v>14</v>
      </c>
      <c r="AF1714" s="4">
        <v>0.37</v>
      </c>
      <c r="AG1714">
        <f t="shared" si="165"/>
        <v>8.82</v>
      </c>
      <c r="AH1714" s="4">
        <v>0.18</v>
      </c>
      <c r="AI1714">
        <f t="shared" si="160"/>
        <v>10.41</v>
      </c>
      <c r="AJ1714" s="4">
        <v>0.15</v>
      </c>
      <c r="AK1714">
        <f t="shared" si="161"/>
        <v>1.56</v>
      </c>
      <c r="AL1714">
        <f t="shared" si="162"/>
        <v>11.97</v>
      </c>
      <c r="AM1714">
        <f t="shared" si="163"/>
        <v>2.03</v>
      </c>
      <c r="AN1714" s="4">
        <f t="shared" si="164"/>
        <v>0.145</v>
      </c>
      <c r="AO1714" t="s">
        <v>221</v>
      </c>
      <c r="AQ1714" t="s">
        <v>217</v>
      </c>
      <c r="AT1714" t="s">
        <v>1662</v>
      </c>
    </row>
    <row r="1715" ht="15.75" customHeight="1" spans="1:46">
      <c r="A1715" t="s">
        <v>2665</v>
      </c>
      <c r="B1715" t="s">
        <v>67</v>
      </c>
      <c r="C1715" t="s">
        <v>2351</v>
      </c>
      <c r="D1715" t="s">
        <v>2480</v>
      </c>
      <c r="E1715" t="s">
        <v>2353</v>
      </c>
      <c r="F1715" t="s">
        <v>2666</v>
      </c>
      <c r="H1715" t="s">
        <v>2355</v>
      </c>
      <c r="I1715" t="s">
        <v>2360</v>
      </c>
      <c r="Q1715" t="s">
        <v>57</v>
      </c>
      <c r="R1715" t="s">
        <v>2669</v>
      </c>
      <c r="Y1715" t="s">
        <v>2668</v>
      </c>
      <c r="Z1715">
        <v>3917</v>
      </c>
      <c r="AE1715">
        <v>19</v>
      </c>
      <c r="AF1715" s="4">
        <v>0.37</v>
      </c>
      <c r="AG1715">
        <f t="shared" si="165"/>
        <v>11.97</v>
      </c>
      <c r="AH1715" s="4">
        <v>0.18</v>
      </c>
      <c r="AI1715">
        <f t="shared" si="160"/>
        <v>14.12</v>
      </c>
      <c r="AJ1715" s="4">
        <v>0.15</v>
      </c>
      <c r="AK1715">
        <f t="shared" si="161"/>
        <v>2.12</v>
      </c>
      <c r="AL1715">
        <f t="shared" si="162"/>
        <v>16.24</v>
      </c>
      <c r="AM1715">
        <f t="shared" si="163"/>
        <v>2.76</v>
      </c>
      <c r="AN1715" s="4">
        <f t="shared" si="164"/>
        <v>0.145263157894737</v>
      </c>
      <c r="AO1715" t="s">
        <v>221</v>
      </c>
      <c r="AQ1715" t="s">
        <v>217</v>
      </c>
      <c r="AT1715" t="s">
        <v>1662</v>
      </c>
    </row>
    <row r="1716" ht="15.75" customHeight="1" spans="1:46">
      <c r="A1716" t="s">
        <v>2670</v>
      </c>
      <c r="B1716" t="s">
        <v>46</v>
      </c>
      <c r="C1716" t="s">
        <v>2351</v>
      </c>
      <c r="D1716" t="s">
        <v>2480</v>
      </c>
      <c r="E1716" t="s">
        <v>2353</v>
      </c>
      <c r="F1716" t="s">
        <v>2671</v>
      </c>
      <c r="H1716" t="s">
        <v>53</v>
      </c>
      <c r="I1716" t="s">
        <v>2545</v>
      </c>
      <c r="Q1716" t="s">
        <v>57</v>
      </c>
      <c r="R1716" t="s">
        <v>2672</v>
      </c>
      <c r="Y1716" t="s">
        <v>2673</v>
      </c>
      <c r="Z1716">
        <v>3917</v>
      </c>
      <c r="AE1716">
        <v>111</v>
      </c>
      <c r="AF1716" s="4">
        <v>0.37</v>
      </c>
      <c r="AG1716">
        <f t="shared" si="165"/>
        <v>69.93</v>
      </c>
      <c r="AH1716" s="4">
        <v>0.18</v>
      </c>
      <c r="AI1716">
        <f t="shared" si="160"/>
        <v>82.52</v>
      </c>
      <c r="AJ1716" s="4">
        <v>0.15</v>
      </c>
      <c r="AK1716">
        <f t="shared" si="161"/>
        <v>12.38</v>
      </c>
      <c r="AL1716">
        <f t="shared" si="162"/>
        <v>94.9</v>
      </c>
      <c r="AM1716">
        <f t="shared" si="163"/>
        <v>16.1</v>
      </c>
      <c r="AN1716" s="4">
        <f t="shared" si="164"/>
        <v>0.145045045045045</v>
      </c>
      <c r="AO1716" t="s">
        <v>221</v>
      </c>
      <c r="AQ1716" t="s">
        <v>217</v>
      </c>
      <c r="AT1716" t="s">
        <v>1662</v>
      </c>
    </row>
    <row r="1717" ht="15.75" customHeight="1" spans="1:46">
      <c r="A1717" t="s">
        <v>2670</v>
      </c>
      <c r="B1717" t="s">
        <v>67</v>
      </c>
      <c r="C1717" t="s">
        <v>2351</v>
      </c>
      <c r="D1717" t="s">
        <v>2480</v>
      </c>
      <c r="E1717" t="s">
        <v>2353</v>
      </c>
      <c r="F1717" t="s">
        <v>2671</v>
      </c>
      <c r="H1717" t="s">
        <v>53</v>
      </c>
      <c r="I1717" t="s">
        <v>2554</v>
      </c>
      <c r="Q1717" t="s">
        <v>57</v>
      </c>
      <c r="R1717" t="s">
        <v>2674</v>
      </c>
      <c r="Y1717" t="s">
        <v>2673</v>
      </c>
      <c r="Z1717">
        <v>3917</v>
      </c>
      <c r="AE1717">
        <v>147</v>
      </c>
      <c r="AF1717" s="4">
        <v>0.37</v>
      </c>
      <c r="AG1717">
        <f t="shared" si="165"/>
        <v>92.61</v>
      </c>
      <c r="AH1717" s="4">
        <v>0.18</v>
      </c>
      <c r="AI1717">
        <f t="shared" si="160"/>
        <v>109.28</v>
      </c>
      <c r="AJ1717" s="4">
        <v>0.15</v>
      </c>
      <c r="AK1717">
        <f t="shared" si="161"/>
        <v>16.39</v>
      </c>
      <c r="AL1717">
        <f t="shared" si="162"/>
        <v>125.67</v>
      </c>
      <c r="AM1717">
        <f t="shared" si="163"/>
        <v>21.33</v>
      </c>
      <c r="AN1717" s="4">
        <f t="shared" si="164"/>
        <v>0.145102040816327</v>
      </c>
      <c r="AO1717" t="s">
        <v>221</v>
      </c>
      <c r="AQ1717" t="s">
        <v>217</v>
      </c>
      <c r="AT1717" t="s">
        <v>1662</v>
      </c>
    </row>
    <row r="1718" ht="15.75" customHeight="1" spans="1:46">
      <c r="A1718" t="s">
        <v>2670</v>
      </c>
      <c r="B1718" t="s">
        <v>71</v>
      </c>
      <c r="C1718" t="s">
        <v>2351</v>
      </c>
      <c r="D1718" t="s">
        <v>2480</v>
      </c>
      <c r="E1718" t="s">
        <v>2353</v>
      </c>
      <c r="F1718" t="s">
        <v>2671</v>
      </c>
      <c r="H1718" t="s">
        <v>53</v>
      </c>
      <c r="I1718" t="s">
        <v>2548</v>
      </c>
      <c r="Q1718" t="s">
        <v>57</v>
      </c>
      <c r="R1718" t="s">
        <v>2675</v>
      </c>
      <c r="Y1718" t="s">
        <v>2673</v>
      </c>
      <c r="Z1718">
        <v>3917</v>
      </c>
      <c r="AE1718">
        <v>159</v>
      </c>
      <c r="AF1718" s="4">
        <v>0.37</v>
      </c>
      <c r="AG1718">
        <f t="shared" si="165"/>
        <v>100.17</v>
      </c>
      <c r="AH1718" s="4">
        <v>0.18</v>
      </c>
      <c r="AI1718">
        <f t="shared" si="160"/>
        <v>118.2</v>
      </c>
      <c r="AJ1718" s="4">
        <v>0.15</v>
      </c>
      <c r="AK1718">
        <f t="shared" si="161"/>
        <v>17.73</v>
      </c>
      <c r="AL1718">
        <f t="shared" si="162"/>
        <v>135.93</v>
      </c>
      <c r="AM1718">
        <f t="shared" si="163"/>
        <v>23.07</v>
      </c>
      <c r="AN1718" s="4">
        <f t="shared" si="164"/>
        <v>0.145094339622641</v>
      </c>
      <c r="AO1718" t="s">
        <v>221</v>
      </c>
      <c r="AQ1718" t="s">
        <v>217</v>
      </c>
      <c r="AT1718" t="s">
        <v>1662</v>
      </c>
    </row>
    <row r="1719" ht="15.75" customHeight="1" spans="1:46">
      <c r="A1719" t="s">
        <v>2676</v>
      </c>
      <c r="B1719" t="s">
        <v>46</v>
      </c>
      <c r="C1719" t="s">
        <v>2351</v>
      </c>
      <c r="D1719" t="s">
        <v>2480</v>
      </c>
      <c r="E1719" t="s">
        <v>2423</v>
      </c>
      <c r="F1719" t="s">
        <v>2677</v>
      </c>
      <c r="H1719" t="s">
        <v>2355</v>
      </c>
      <c r="I1719" t="s">
        <v>2356</v>
      </c>
      <c r="Q1719" t="s">
        <v>57</v>
      </c>
      <c r="R1719" t="s">
        <v>2678</v>
      </c>
      <c r="Y1719" t="s">
        <v>2679</v>
      </c>
      <c r="Z1719">
        <v>3917</v>
      </c>
      <c r="AE1719">
        <v>12</v>
      </c>
      <c r="AF1719" s="4">
        <v>0.37</v>
      </c>
      <c r="AG1719">
        <f t="shared" si="165"/>
        <v>7.56</v>
      </c>
      <c r="AH1719" s="4">
        <v>0.18</v>
      </c>
      <c r="AI1719">
        <f t="shared" si="160"/>
        <v>8.92</v>
      </c>
      <c r="AJ1719" s="4">
        <v>0.15</v>
      </c>
      <c r="AK1719">
        <f t="shared" si="161"/>
        <v>1.34</v>
      </c>
      <c r="AL1719">
        <f t="shared" si="162"/>
        <v>10.26</v>
      </c>
      <c r="AM1719">
        <f t="shared" si="163"/>
        <v>1.74</v>
      </c>
      <c r="AN1719" s="4">
        <f t="shared" si="164"/>
        <v>0.145</v>
      </c>
      <c r="AO1719" t="s">
        <v>221</v>
      </c>
      <c r="AQ1719" t="s">
        <v>217</v>
      </c>
      <c r="AT1719" t="s">
        <v>558</v>
      </c>
    </row>
    <row r="1720" ht="15.75" customHeight="1" spans="1:46">
      <c r="A1720" t="s">
        <v>2676</v>
      </c>
      <c r="B1720" t="s">
        <v>67</v>
      </c>
      <c r="C1720" t="s">
        <v>2351</v>
      </c>
      <c r="D1720" t="s">
        <v>2480</v>
      </c>
      <c r="E1720" t="s">
        <v>2423</v>
      </c>
      <c r="F1720" t="s">
        <v>2677</v>
      </c>
      <c r="H1720" t="s">
        <v>2355</v>
      </c>
      <c r="I1720" t="s">
        <v>2360</v>
      </c>
      <c r="Q1720" t="s">
        <v>57</v>
      </c>
      <c r="R1720" t="s">
        <v>2680</v>
      </c>
      <c r="Y1720" t="s">
        <v>2679</v>
      </c>
      <c r="Z1720">
        <v>3917</v>
      </c>
      <c r="AE1720">
        <v>16</v>
      </c>
      <c r="AF1720" s="4">
        <v>0.37</v>
      </c>
      <c r="AG1720">
        <f t="shared" si="165"/>
        <v>10.08</v>
      </c>
      <c r="AH1720" s="4">
        <v>0.18</v>
      </c>
      <c r="AI1720">
        <f t="shared" si="160"/>
        <v>11.89</v>
      </c>
      <c r="AJ1720" s="4">
        <v>0.15</v>
      </c>
      <c r="AK1720">
        <f t="shared" si="161"/>
        <v>1.78</v>
      </c>
      <c r="AL1720">
        <f t="shared" si="162"/>
        <v>13.67</v>
      </c>
      <c r="AM1720">
        <f t="shared" si="163"/>
        <v>2.33</v>
      </c>
      <c r="AN1720" s="4">
        <f t="shared" si="164"/>
        <v>0.145625</v>
      </c>
      <c r="AO1720" t="s">
        <v>221</v>
      </c>
      <c r="AQ1720" t="s">
        <v>217</v>
      </c>
      <c r="AT1720" t="s">
        <v>558</v>
      </c>
    </row>
    <row r="1721" ht="15.75" customHeight="1" spans="1:46">
      <c r="A1721" t="s">
        <v>2676</v>
      </c>
      <c r="B1721" t="s">
        <v>71</v>
      </c>
      <c r="C1721" t="s">
        <v>2351</v>
      </c>
      <c r="D1721" t="s">
        <v>2480</v>
      </c>
      <c r="E1721" t="s">
        <v>2423</v>
      </c>
      <c r="F1721" t="s">
        <v>2677</v>
      </c>
      <c r="H1721" t="s">
        <v>2355</v>
      </c>
      <c r="I1721" t="s">
        <v>2363</v>
      </c>
      <c r="Q1721" t="s">
        <v>57</v>
      </c>
      <c r="R1721" t="s">
        <v>2681</v>
      </c>
      <c r="Y1721" t="s">
        <v>2679</v>
      </c>
      <c r="Z1721">
        <v>3917</v>
      </c>
      <c r="AE1721">
        <v>27</v>
      </c>
      <c r="AF1721" s="4">
        <v>0.37</v>
      </c>
      <c r="AG1721">
        <f t="shared" si="165"/>
        <v>17.01</v>
      </c>
      <c r="AH1721" s="4">
        <v>0.18</v>
      </c>
      <c r="AI1721">
        <f t="shared" si="160"/>
        <v>20.07</v>
      </c>
      <c r="AJ1721" s="4">
        <v>0.15</v>
      </c>
      <c r="AK1721">
        <f t="shared" si="161"/>
        <v>3.01</v>
      </c>
      <c r="AL1721">
        <f t="shared" si="162"/>
        <v>23.08</v>
      </c>
      <c r="AM1721">
        <f t="shared" si="163"/>
        <v>3.92</v>
      </c>
      <c r="AN1721" s="4">
        <f t="shared" si="164"/>
        <v>0.145185185185185</v>
      </c>
      <c r="AO1721" t="s">
        <v>221</v>
      </c>
      <c r="AQ1721" t="s">
        <v>217</v>
      </c>
      <c r="AT1721" t="s">
        <v>558</v>
      </c>
    </row>
    <row r="1722" ht="15.75" customHeight="1" spans="1:46">
      <c r="A1722" t="s">
        <v>2676</v>
      </c>
      <c r="B1722" t="s">
        <v>75</v>
      </c>
      <c r="C1722" t="s">
        <v>2351</v>
      </c>
      <c r="D1722" t="s">
        <v>2480</v>
      </c>
      <c r="E1722" t="s">
        <v>2423</v>
      </c>
      <c r="F1722" t="s">
        <v>2677</v>
      </c>
      <c r="H1722" t="s">
        <v>2355</v>
      </c>
      <c r="I1722" t="s">
        <v>2365</v>
      </c>
      <c r="Q1722" t="s">
        <v>57</v>
      </c>
      <c r="R1722" t="s">
        <v>2682</v>
      </c>
      <c r="Y1722" t="s">
        <v>2679</v>
      </c>
      <c r="Z1722">
        <v>3917</v>
      </c>
      <c r="AE1722">
        <v>42</v>
      </c>
      <c r="AF1722" s="4">
        <v>0.37</v>
      </c>
      <c r="AG1722">
        <f t="shared" si="165"/>
        <v>26.46</v>
      </c>
      <c r="AH1722" s="4">
        <v>0.18</v>
      </c>
      <c r="AI1722">
        <f t="shared" si="160"/>
        <v>31.22</v>
      </c>
      <c r="AJ1722" s="4">
        <v>0.15</v>
      </c>
      <c r="AK1722">
        <f t="shared" si="161"/>
        <v>4.68</v>
      </c>
      <c r="AL1722">
        <f t="shared" si="162"/>
        <v>35.9</v>
      </c>
      <c r="AM1722">
        <f t="shared" si="163"/>
        <v>6.1</v>
      </c>
      <c r="AN1722" s="4">
        <f t="shared" si="164"/>
        <v>0.145238095238095</v>
      </c>
      <c r="AO1722" t="s">
        <v>221</v>
      </c>
      <c r="AQ1722" t="s">
        <v>217</v>
      </c>
      <c r="AT1722" t="s">
        <v>558</v>
      </c>
    </row>
    <row r="1723" ht="15.75" customHeight="1" spans="1:46">
      <c r="A1723" t="s">
        <v>2676</v>
      </c>
      <c r="B1723" t="s">
        <v>79</v>
      </c>
      <c r="C1723" t="s">
        <v>2351</v>
      </c>
      <c r="D1723" t="s">
        <v>2480</v>
      </c>
      <c r="E1723" t="s">
        <v>2423</v>
      </c>
      <c r="F1723" t="s">
        <v>2677</v>
      </c>
      <c r="H1723" t="s">
        <v>2355</v>
      </c>
      <c r="I1723" t="s">
        <v>2367</v>
      </c>
      <c r="Q1723" t="s">
        <v>57</v>
      </c>
      <c r="R1723" t="s">
        <v>2683</v>
      </c>
      <c r="Y1723" t="s">
        <v>2679</v>
      </c>
      <c r="Z1723">
        <v>3917</v>
      </c>
      <c r="AE1723">
        <v>75</v>
      </c>
      <c r="AF1723" s="4">
        <v>0.37</v>
      </c>
      <c r="AG1723">
        <f t="shared" si="165"/>
        <v>47.25</v>
      </c>
      <c r="AH1723" s="4">
        <v>0.18</v>
      </c>
      <c r="AI1723">
        <f t="shared" si="160"/>
        <v>55.76</v>
      </c>
      <c r="AJ1723" s="4">
        <v>0.15</v>
      </c>
      <c r="AK1723">
        <f t="shared" si="161"/>
        <v>8.36</v>
      </c>
      <c r="AL1723">
        <f t="shared" si="162"/>
        <v>64.12</v>
      </c>
      <c r="AM1723">
        <f t="shared" si="163"/>
        <v>10.88</v>
      </c>
      <c r="AN1723" s="4">
        <f t="shared" si="164"/>
        <v>0.145066666666667</v>
      </c>
      <c r="AO1723" t="s">
        <v>221</v>
      </c>
      <c r="AQ1723" t="s">
        <v>217</v>
      </c>
      <c r="AT1723" t="s">
        <v>558</v>
      </c>
    </row>
    <row r="1724" ht="15.75" customHeight="1" spans="1:46">
      <c r="A1724" t="s">
        <v>2676</v>
      </c>
      <c r="B1724" t="s">
        <v>83</v>
      </c>
      <c r="C1724" t="s">
        <v>2351</v>
      </c>
      <c r="D1724" t="s">
        <v>2480</v>
      </c>
      <c r="E1724" t="s">
        <v>2423</v>
      </c>
      <c r="F1724" t="s">
        <v>2677</v>
      </c>
      <c r="H1724" t="s">
        <v>2355</v>
      </c>
      <c r="I1724" t="s">
        <v>2369</v>
      </c>
      <c r="Q1724" t="s">
        <v>57</v>
      </c>
      <c r="R1724" t="s">
        <v>2684</v>
      </c>
      <c r="Y1724" t="s">
        <v>2679</v>
      </c>
      <c r="Z1724">
        <v>3917</v>
      </c>
      <c r="AE1724">
        <v>219</v>
      </c>
      <c r="AF1724" s="4">
        <v>0.37</v>
      </c>
      <c r="AG1724">
        <f t="shared" si="165"/>
        <v>137.97</v>
      </c>
      <c r="AH1724" s="4">
        <v>0.18</v>
      </c>
      <c r="AI1724">
        <f t="shared" si="160"/>
        <v>162.8</v>
      </c>
      <c r="AJ1724" s="4">
        <v>0.15</v>
      </c>
      <c r="AK1724">
        <f t="shared" si="161"/>
        <v>24.42</v>
      </c>
      <c r="AL1724">
        <f t="shared" si="162"/>
        <v>187.22</v>
      </c>
      <c r="AM1724">
        <f t="shared" si="163"/>
        <v>31.78</v>
      </c>
      <c r="AN1724" s="4">
        <f t="shared" si="164"/>
        <v>0.145114155251141</v>
      </c>
      <c r="AO1724" t="s">
        <v>221</v>
      </c>
      <c r="AQ1724" t="s">
        <v>217</v>
      </c>
      <c r="AT1724" t="s">
        <v>558</v>
      </c>
    </row>
    <row r="1725" ht="15.75" customHeight="1" spans="1:46">
      <c r="A1725" t="s">
        <v>2676</v>
      </c>
      <c r="B1725" t="s">
        <v>131</v>
      </c>
      <c r="C1725" t="s">
        <v>2351</v>
      </c>
      <c r="D1725" t="s">
        <v>2480</v>
      </c>
      <c r="E1725" t="s">
        <v>2423</v>
      </c>
      <c r="F1725" t="s">
        <v>2677</v>
      </c>
      <c r="H1725" t="s">
        <v>2355</v>
      </c>
      <c r="I1725" t="s">
        <v>2380</v>
      </c>
      <c r="Q1725" t="s">
        <v>57</v>
      </c>
      <c r="R1725" t="s">
        <v>2685</v>
      </c>
      <c r="Y1725" t="s">
        <v>2679</v>
      </c>
      <c r="Z1725">
        <v>3917</v>
      </c>
      <c r="AE1725">
        <v>497</v>
      </c>
      <c r="AF1725" s="4">
        <v>0.37</v>
      </c>
      <c r="AG1725">
        <f t="shared" si="165"/>
        <v>313.11</v>
      </c>
      <c r="AH1725" s="4">
        <v>0.18</v>
      </c>
      <c r="AI1725">
        <f t="shared" si="160"/>
        <v>369.47</v>
      </c>
      <c r="AJ1725" s="4">
        <v>0.15</v>
      </c>
      <c r="AK1725">
        <f t="shared" si="161"/>
        <v>55.42</v>
      </c>
      <c r="AL1725">
        <f t="shared" si="162"/>
        <v>424.89</v>
      </c>
      <c r="AM1725">
        <f t="shared" si="163"/>
        <v>72.11</v>
      </c>
      <c r="AN1725" s="4">
        <f t="shared" si="164"/>
        <v>0.145090543259557</v>
      </c>
      <c r="AO1725" t="s">
        <v>221</v>
      </c>
      <c r="AQ1725" t="s">
        <v>217</v>
      </c>
      <c r="AT1725" t="s">
        <v>558</v>
      </c>
    </row>
    <row r="1726" ht="15.75" customHeight="1" spans="1:46">
      <c r="A1726" t="s">
        <v>2676</v>
      </c>
      <c r="B1726" t="s">
        <v>133</v>
      </c>
      <c r="C1726" t="s">
        <v>2351</v>
      </c>
      <c r="D1726" t="s">
        <v>2480</v>
      </c>
      <c r="E1726" t="s">
        <v>2423</v>
      </c>
      <c r="F1726" t="s">
        <v>2677</v>
      </c>
      <c r="H1726" t="s">
        <v>2355</v>
      </c>
      <c r="I1726" t="s">
        <v>2383</v>
      </c>
      <c r="Q1726" t="s">
        <v>57</v>
      </c>
      <c r="R1726" t="s">
        <v>2686</v>
      </c>
      <c r="Y1726" t="s">
        <v>2679</v>
      </c>
      <c r="Z1726">
        <v>3917</v>
      </c>
      <c r="AE1726">
        <v>688</v>
      </c>
      <c r="AF1726" s="4">
        <v>0.37</v>
      </c>
      <c r="AG1726">
        <f t="shared" si="165"/>
        <v>433.44</v>
      </c>
      <c r="AH1726" s="4">
        <v>0.18</v>
      </c>
      <c r="AI1726">
        <f t="shared" si="160"/>
        <v>511.46</v>
      </c>
      <c r="AJ1726" s="4">
        <v>0.15</v>
      </c>
      <c r="AK1726">
        <f t="shared" si="161"/>
        <v>76.72</v>
      </c>
      <c r="AL1726">
        <f t="shared" si="162"/>
        <v>588.18</v>
      </c>
      <c r="AM1726">
        <f t="shared" si="163"/>
        <v>99.82</v>
      </c>
      <c r="AN1726" s="4">
        <f t="shared" si="164"/>
        <v>0.145087209302326</v>
      </c>
      <c r="AO1726" t="s">
        <v>221</v>
      </c>
      <c r="AQ1726" t="s">
        <v>217</v>
      </c>
      <c r="AT1726" t="s">
        <v>558</v>
      </c>
    </row>
    <row r="1727" ht="15.75" customHeight="1" spans="1:46">
      <c r="A1727" t="s">
        <v>2676</v>
      </c>
      <c r="B1727" t="s">
        <v>135</v>
      </c>
      <c r="C1727" t="s">
        <v>2351</v>
      </c>
      <c r="D1727" t="s">
        <v>2480</v>
      </c>
      <c r="E1727" t="s">
        <v>2423</v>
      </c>
      <c r="F1727" t="s">
        <v>2677</v>
      </c>
      <c r="H1727" t="s">
        <v>2355</v>
      </c>
      <c r="I1727" t="s">
        <v>2385</v>
      </c>
      <c r="Q1727" t="s">
        <v>57</v>
      </c>
      <c r="R1727" t="s">
        <v>2687</v>
      </c>
      <c r="Y1727" t="s">
        <v>2679</v>
      </c>
      <c r="Z1727">
        <v>3917</v>
      </c>
      <c r="AE1727">
        <v>1086</v>
      </c>
      <c r="AF1727" s="4">
        <v>0.37</v>
      </c>
      <c r="AG1727">
        <f t="shared" si="165"/>
        <v>684.18</v>
      </c>
      <c r="AH1727" s="4">
        <v>0.18</v>
      </c>
      <c r="AI1727">
        <f t="shared" si="160"/>
        <v>807.33</v>
      </c>
      <c r="AJ1727" s="4">
        <v>0.15</v>
      </c>
      <c r="AK1727">
        <f t="shared" si="161"/>
        <v>121.1</v>
      </c>
      <c r="AL1727">
        <f t="shared" si="162"/>
        <v>928.43</v>
      </c>
      <c r="AM1727">
        <f t="shared" si="163"/>
        <v>157.57</v>
      </c>
      <c r="AN1727" s="4">
        <f t="shared" si="164"/>
        <v>0.145092081031307</v>
      </c>
      <c r="AO1727" t="s">
        <v>221</v>
      </c>
      <c r="AQ1727" t="s">
        <v>217</v>
      </c>
      <c r="AT1727" t="s">
        <v>558</v>
      </c>
    </row>
    <row r="1728" ht="15.75" customHeight="1" spans="1:46">
      <c r="A1728" t="s">
        <v>2676</v>
      </c>
      <c r="B1728" t="s">
        <v>137</v>
      </c>
      <c r="C1728" t="s">
        <v>2351</v>
      </c>
      <c r="D1728" t="s">
        <v>2480</v>
      </c>
      <c r="E1728" t="s">
        <v>2423</v>
      </c>
      <c r="F1728" t="s">
        <v>2677</v>
      </c>
      <c r="H1728" t="s">
        <v>2355</v>
      </c>
      <c r="I1728" t="s">
        <v>2387</v>
      </c>
      <c r="Q1728" t="s">
        <v>57</v>
      </c>
      <c r="R1728" t="s">
        <v>2688</v>
      </c>
      <c r="Y1728" t="s">
        <v>2679</v>
      </c>
      <c r="Z1728">
        <v>3917</v>
      </c>
      <c r="AE1728">
        <v>3800</v>
      </c>
      <c r="AF1728" s="4">
        <v>0.37</v>
      </c>
      <c r="AG1728">
        <f t="shared" si="165"/>
        <v>2394</v>
      </c>
      <c r="AH1728" s="4">
        <v>0.18</v>
      </c>
      <c r="AI1728">
        <f t="shared" si="160"/>
        <v>2824.92</v>
      </c>
      <c r="AJ1728" s="4">
        <v>0.15</v>
      </c>
      <c r="AK1728">
        <f t="shared" si="161"/>
        <v>423.74</v>
      </c>
      <c r="AL1728">
        <f t="shared" si="162"/>
        <v>3248.66</v>
      </c>
      <c r="AM1728">
        <f t="shared" si="163"/>
        <v>551.34</v>
      </c>
      <c r="AN1728" s="4">
        <f t="shared" si="164"/>
        <v>0.145089473684211</v>
      </c>
      <c r="AO1728" t="s">
        <v>221</v>
      </c>
      <c r="AQ1728" t="s">
        <v>217</v>
      </c>
      <c r="AT1728" t="s">
        <v>558</v>
      </c>
    </row>
    <row r="1729" ht="15.75" customHeight="1" spans="1:46">
      <c r="A1729" t="s">
        <v>2689</v>
      </c>
      <c r="B1729" t="s">
        <v>46</v>
      </c>
      <c r="C1729" t="s">
        <v>2351</v>
      </c>
      <c r="D1729" t="s">
        <v>2480</v>
      </c>
      <c r="E1729" t="s">
        <v>2423</v>
      </c>
      <c r="F1729" t="s">
        <v>2690</v>
      </c>
      <c r="H1729" t="s">
        <v>2355</v>
      </c>
      <c r="I1729" t="s">
        <v>2380</v>
      </c>
      <c r="Q1729" t="s">
        <v>57</v>
      </c>
      <c r="R1729" t="s">
        <v>2691</v>
      </c>
      <c r="Y1729" t="s">
        <v>2692</v>
      </c>
      <c r="Z1729">
        <v>3917</v>
      </c>
      <c r="AE1729">
        <v>574</v>
      </c>
      <c r="AF1729" s="4">
        <v>0.37</v>
      </c>
      <c r="AG1729">
        <f t="shared" si="165"/>
        <v>361.62</v>
      </c>
      <c r="AH1729" s="4">
        <v>0.18</v>
      </c>
      <c r="AI1729">
        <f t="shared" si="160"/>
        <v>426.71</v>
      </c>
      <c r="AJ1729" s="4">
        <v>0.15</v>
      </c>
      <c r="AK1729">
        <f t="shared" si="161"/>
        <v>64.01</v>
      </c>
      <c r="AL1729">
        <f t="shared" si="162"/>
        <v>490.72</v>
      </c>
      <c r="AM1729">
        <f t="shared" si="163"/>
        <v>83.28</v>
      </c>
      <c r="AN1729" s="4">
        <f t="shared" si="164"/>
        <v>0.145087108013937</v>
      </c>
      <c r="AO1729" t="s">
        <v>221</v>
      </c>
      <c r="AQ1729" t="s">
        <v>217</v>
      </c>
      <c r="AT1729" t="s">
        <v>558</v>
      </c>
    </row>
    <row r="1730" ht="15.75" customHeight="1" spans="1:46">
      <c r="A1730" t="s">
        <v>2689</v>
      </c>
      <c r="B1730" t="s">
        <v>67</v>
      </c>
      <c r="C1730" t="s">
        <v>2351</v>
      </c>
      <c r="D1730" t="s">
        <v>2480</v>
      </c>
      <c r="E1730" t="s">
        <v>2423</v>
      </c>
      <c r="F1730" t="s">
        <v>2690</v>
      </c>
      <c r="H1730" t="s">
        <v>2355</v>
      </c>
      <c r="I1730" t="s">
        <v>2383</v>
      </c>
      <c r="Q1730" t="s">
        <v>57</v>
      </c>
      <c r="R1730" t="s">
        <v>2693</v>
      </c>
      <c r="Y1730" t="s">
        <v>2692</v>
      </c>
      <c r="Z1730">
        <v>3917</v>
      </c>
      <c r="AE1730">
        <v>890</v>
      </c>
      <c r="AF1730" s="4">
        <v>0.37</v>
      </c>
      <c r="AG1730">
        <f t="shared" si="165"/>
        <v>560.7</v>
      </c>
      <c r="AH1730" s="4">
        <v>0.18</v>
      </c>
      <c r="AI1730">
        <f t="shared" ref="AI1730:AI1793" si="166">ROUND(AG1730+(AG1730*AH1730),2)</f>
        <v>661.63</v>
      </c>
      <c r="AJ1730" s="4">
        <v>0.15</v>
      </c>
      <c r="AK1730">
        <f t="shared" ref="AK1730:AK1793" si="167">ROUND(AI1730*AJ1730,2)</f>
        <v>99.24</v>
      </c>
      <c r="AL1730">
        <f t="shared" ref="AL1730:AL1793" si="168">AI1730+AK1730</f>
        <v>760.87</v>
      </c>
      <c r="AM1730">
        <f t="shared" ref="AM1730:AM1793" si="169">AE1730-AL1730</f>
        <v>129.13</v>
      </c>
      <c r="AN1730" s="4">
        <f t="shared" ref="AN1730:AN1793" si="170">AM1730/AE1730</f>
        <v>0.145089887640449</v>
      </c>
      <c r="AO1730" t="s">
        <v>221</v>
      </c>
      <c r="AQ1730" t="s">
        <v>217</v>
      </c>
      <c r="AT1730" t="s">
        <v>558</v>
      </c>
    </row>
    <row r="1731" ht="15.75" customHeight="1" spans="1:46">
      <c r="A1731" t="s">
        <v>2689</v>
      </c>
      <c r="B1731" t="s">
        <v>71</v>
      </c>
      <c r="C1731" t="s">
        <v>2351</v>
      </c>
      <c r="D1731" t="s">
        <v>2480</v>
      </c>
      <c r="E1731" t="s">
        <v>2423</v>
      </c>
      <c r="F1731" t="s">
        <v>2690</v>
      </c>
      <c r="H1731" t="s">
        <v>2355</v>
      </c>
      <c r="I1731" t="s">
        <v>2385</v>
      </c>
      <c r="Q1731" t="s">
        <v>57</v>
      </c>
      <c r="R1731" t="s">
        <v>2694</v>
      </c>
      <c r="Y1731" t="s">
        <v>2692</v>
      </c>
      <c r="Z1731">
        <v>3917</v>
      </c>
      <c r="AE1731">
        <v>1504</v>
      </c>
      <c r="AF1731" s="4">
        <v>0.37</v>
      </c>
      <c r="AG1731">
        <f t="shared" si="165"/>
        <v>947.52</v>
      </c>
      <c r="AH1731" s="4">
        <v>0.18</v>
      </c>
      <c r="AI1731">
        <f t="shared" si="166"/>
        <v>1118.07</v>
      </c>
      <c r="AJ1731" s="4">
        <v>0.15</v>
      </c>
      <c r="AK1731">
        <f t="shared" si="167"/>
        <v>167.71</v>
      </c>
      <c r="AL1731">
        <f t="shared" si="168"/>
        <v>1285.78</v>
      </c>
      <c r="AM1731">
        <f t="shared" si="169"/>
        <v>218.22</v>
      </c>
      <c r="AN1731" s="4">
        <f t="shared" si="170"/>
        <v>0.145093085106383</v>
      </c>
      <c r="AO1731" t="s">
        <v>221</v>
      </c>
      <c r="AQ1731" t="s">
        <v>217</v>
      </c>
      <c r="AT1731" t="s">
        <v>558</v>
      </c>
    </row>
    <row r="1732" ht="15.75" customHeight="1" spans="1:46">
      <c r="A1732" t="s">
        <v>2689</v>
      </c>
      <c r="B1732" t="s">
        <v>75</v>
      </c>
      <c r="C1732" t="s">
        <v>2351</v>
      </c>
      <c r="D1732" t="s">
        <v>2480</v>
      </c>
      <c r="E1732" t="s">
        <v>2423</v>
      </c>
      <c r="F1732" t="s">
        <v>2690</v>
      </c>
      <c r="H1732" t="s">
        <v>2355</v>
      </c>
      <c r="I1732" t="s">
        <v>2387</v>
      </c>
      <c r="Q1732" t="s">
        <v>57</v>
      </c>
      <c r="R1732" t="s">
        <v>2695</v>
      </c>
      <c r="Y1732" t="s">
        <v>2692</v>
      </c>
      <c r="Z1732">
        <v>3917</v>
      </c>
      <c r="AE1732">
        <v>3019</v>
      </c>
      <c r="AF1732" s="4">
        <v>0.37</v>
      </c>
      <c r="AG1732">
        <f t="shared" ref="AG1732:AG1795" si="171">ROUND(AE1732-(AE1732*AF1732),2)</f>
        <v>1901.97</v>
      </c>
      <c r="AH1732" s="4">
        <v>0.18</v>
      </c>
      <c r="AI1732">
        <f t="shared" si="166"/>
        <v>2244.32</v>
      </c>
      <c r="AJ1732" s="4">
        <v>0.15</v>
      </c>
      <c r="AK1732">
        <f t="shared" si="167"/>
        <v>336.65</v>
      </c>
      <c r="AL1732">
        <f t="shared" si="168"/>
        <v>2580.97</v>
      </c>
      <c r="AM1732">
        <f t="shared" si="169"/>
        <v>438.03</v>
      </c>
      <c r="AN1732" s="4">
        <f t="shared" si="170"/>
        <v>0.145091089764823</v>
      </c>
      <c r="AO1732" t="s">
        <v>221</v>
      </c>
      <c r="AQ1732" t="s">
        <v>217</v>
      </c>
      <c r="AT1732" t="s">
        <v>558</v>
      </c>
    </row>
    <row r="1733" ht="15.75" customHeight="1" spans="1:46">
      <c r="A1733" t="s">
        <v>2696</v>
      </c>
      <c r="B1733" t="s">
        <v>46</v>
      </c>
      <c r="C1733" t="s">
        <v>2351</v>
      </c>
      <c r="D1733" t="s">
        <v>2480</v>
      </c>
      <c r="E1733" t="s">
        <v>2423</v>
      </c>
      <c r="F1733" t="s">
        <v>2697</v>
      </c>
      <c r="H1733" t="s">
        <v>2355</v>
      </c>
      <c r="I1733" t="s">
        <v>2380</v>
      </c>
      <c r="Q1733" t="s">
        <v>57</v>
      </c>
      <c r="R1733" t="s">
        <v>2698</v>
      </c>
      <c r="Y1733" t="s">
        <v>2699</v>
      </c>
      <c r="Z1733">
        <v>3917</v>
      </c>
      <c r="AE1733">
        <v>808</v>
      </c>
      <c r="AF1733" s="4">
        <v>0.37</v>
      </c>
      <c r="AG1733">
        <f t="shared" si="171"/>
        <v>509.04</v>
      </c>
      <c r="AH1733" s="4">
        <v>0.18</v>
      </c>
      <c r="AI1733">
        <f t="shared" si="166"/>
        <v>600.67</v>
      </c>
      <c r="AJ1733" s="4">
        <v>0.15</v>
      </c>
      <c r="AK1733">
        <f t="shared" si="167"/>
        <v>90.1</v>
      </c>
      <c r="AL1733">
        <f t="shared" si="168"/>
        <v>690.77</v>
      </c>
      <c r="AM1733">
        <f t="shared" si="169"/>
        <v>117.23</v>
      </c>
      <c r="AN1733" s="4">
        <f t="shared" si="170"/>
        <v>0.145086633663366</v>
      </c>
      <c r="AO1733" t="s">
        <v>221</v>
      </c>
      <c r="AQ1733" t="s">
        <v>217</v>
      </c>
      <c r="AT1733" t="s">
        <v>558</v>
      </c>
    </row>
    <row r="1734" ht="15.75" customHeight="1" spans="1:46">
      <c r="A1734" t="s">
        <v>2696</v>
      </c>
      <c r="B1734" t="s">
        <v>67</v>
      </c>
      <c r="C1734" t="s">
        <v>2351</v>
      </c>
      <c r="D1734" t="s">
        <v>2480</v>
      </c>
      <c r="E1734" t="s">
        <v>2423</v>
      </c>
      <c r="F1734" t="s">
        <v>2697</v>
      </c>
      <c r="H1734" t="s">
        <v>2355</v>
      </c>
      <c r="I1734" t="s">
        <v>2383</v>
      </c>
      <c r="Q1734" t="s">
        <v>57</v>
      </c>
      <c r="R1734" t="s">
        <v>2700</v>
      </c>
      <c r="Y1734" t="s">
        <v>2699</v>
      </c>
      <c r="Z1734">
        <v>3917</v>
      </c>
      <c r="AE1734">
        <v>1150</v>
      </c>
      <c r="AF1734" s="4">
        <v>0.37</v>
      </c>
      <c r="AG1734">
        <f t="shared" si="171"/>
        <v>724.5</v>
      </c>
      <c r="AH1734" s="4">
        <v>0.18</v>
      </c>
      <c r="AI1734">
        <f t="shared" si="166"/>
        <v>854.91</v>
      </c>
      <c r="AJ1734" s="4">
        <v>0.15</v>
      </c>
      <c r="AK1734">
        <f t="shared" si="167"/>
        <v>128.24</v>
      </c>
      <c r="AL1734">
        <f t="shared" si="168"/>
        <v>983.15</v>
      </c>
      <c r="AM1734">
        <f t="shared" si="169"/>
        <v>166.85</v>
      </c>
      <c r="AN1734" s="4">
        <f t="shared" si="170"/>
        <v>0.145086956521739</v>
      </c>
      <c r="AO1734" t="s">
        <v>221</v>
      </c>
      <c r="AQ1734" t="s">
        <v>217</v>
      </c>
      <c r="AT1734" t="s">
        <v>558</v>
      </c>
    </row>
    <row r="1735" ht="15.75" customHeight="1" spans="1:46">
      <c r="A1735" t="s">
        <v>2696</v>
      </c>
      <c r="B1735" t="s">
        <v>71</v>
      </c>
      <c r="C1735" t="s">
        <v>2351</v>
      </c>
      <c r="D1735" t="s">
        <v>2480</v>
      </c>
      <c r="E1735" t="s">
        <v>2423</v>
      </c>
      <c r="F1735" t="s">
        <v>2697</v>
      </c>
      <c r="H1735" t="s">
        <v>2355</v>
      </c>
      <c r="I1735" t="s">
        <v>2385</v>
      </c>
      <c r="Q1735" t="s">
        <v>57</v>
      </c>
      <c r="R1735" t="s">
        <v>2701</v>
      </c>
      <c r="Y1735" t="s">
        <v>2699</v>
      </c>
      <c r="Z1735">
        <v>3917</v>
      </c>
      <c r="AE1735">
        <v>1974</v>
      </c>
      <c r="AF1735" s="4">
        <v>0.37</v>
      </c>
      <c r="AG1735">
        <f t="shared" si="171"/>
        <v>1243.62</v>
      </c>
      <c r="AH1735" s="4">
        <v>0.18</v>
      </c>
      <c r="AI1735">
        <f t="shared" si="166"/>
        <v>1467.47</v>
      </c>
      <c r="AJ1735" s="4">
        <v>0.15</v>
      </c>
      <c r="AK1735">
        <f t="shared" si="167"/>
        <v>220.12</v>
      </c>
      <c r="AL1735">
        <f t="shared" si="168"/>
        <v>1687.59</v>
      </c>
      <c r="AM1735">
        <f t="shared" si="169"/>
        <v>286.41</v>
      </c>
      <c r="AN1735" s="4">
        <f t="shared" si="170"/>
        <v>0.145091185410334</v>
      </c>
      <c r="AO1735" t="s">
        <v>221</v>
      </c>
      <c r="AQ1735" t="s">
        <v>217</v>
      </c>
      <c r="AT1735" t="s">
        <v>558</v>
      </c>
    </row>
    <row r="1736" ht="15.75" customHeight="1" spans="1:46">
      <c r="A1736" t="s">
        <v>2696</v>
      </c>
      <c r="B1736" t="s">
        <v>75</v>
      </c>
      <c r="C1736" t="s">
        <v>2351</v>
      </c>
      <c r="D1736" t="s">
        <v>2480</v>
      </c>
      <c r="E1736" t="s">
        <v>2423</v>
      </c>
      <c r="F1736" t="s">
        <v>2697</v>
      </c>
      <c r="H1736" t="s">
        <v>2355</v>
      </c>
      <c r="I1736" t="s">
        <v>2387</v>
      </c>
      <c r="Q1736" t="s">
        <v>57</v>
      </c>
      <c r="R1736" t="s">
        <v>2702</v>
      </c>
      <c r="Y1736" t="s">
        <v>2699</v>
      </c>
      <c r="Z1736">
        <v>3917</v>
      </c>
      <c r="AE1736">
        <v>3883</v>
      </c>
      <c r="AF1736" s="4">
        <v>0.37</v>
      </c>
      <c r="AG1736">
        <f t="shared" si="171"/>
        <v>2446.29</v>
      </c>
      <c r="AH1736" s="4">
        <v>0.18</v>
      </c>
      <c r="AI1736">
        <f t="shared" si="166"/>
        <v>2886.62</v>
      </c>
      <c r="AJ1736" s="4">
        <v>0.15</v>
      </c>
      <c r="AK1736">
        <f t="shared" si="167"/>
        <v>432.99</v>
      </c>
      <c r="AL1736">
        <f t="shared" si="168"/>
        <v>3319.61</v>
      </c>
      <c r="AM1736">
        <f t="shared" si="169"/>
        <v>563.39</v>
      </c>
      <c r="AN1736" s="4">
        <f t="shared" si="170"/>
        <v>0.14509142415658</v>
      </c>
      <c r="AO1736" t="s">
        <v>221</v>
      </c>
      <c r="AQ1736" t="s">
        <v>217</v>
      </c>
      <c r="AT1736" t="s">
        <v>558</v>
      </c>
    </row>
    <row r="1737" ht="15.75" customHeight="1" spans="1:46">
      <c r="A1737" t="s">
        <v>2703</v>
      </c>
      <c r="B1737" t="s">
        <v>46</v>
      </c>
      <c r="C1737" t="s">
        <v>2351</v>
      </c>
      <c r="D1737" t="s">
        <v>2480</v>
      </c>
      <c r="E1737" t="s">
        <v>2423</v>
      </c>
      <c r="F1737" t="s">
        <v>2704</v>
      </c>
      <c r="H1737" t="s">
        <v>2355</v>
      </c>
      <c r="I1737" t="s">
        <v>2380</v>
      </c>
      <c r="Q1737" t="s">
        <v>57</v>
      </c>
      <c r="R1737" t="s">
        <v>2705</v>
      </c>
      <c r="Y1737" t="s">
        <v>2706</v>
      </c>
      <c r="Z1737">
        <v>3917</v>
      </c>
      <c r="AE1737">
        <v>347</v>
      </c>
      <c r="AF1737" s="4">
        <v>0.37</v>
      </c>
      <c r="AG1737">
        <f t="shared" si="171"/>
        <v>218.61</v>
      </c>
      <c r="AH1737" s="4">
        <v>0.18</v>
      </c>
      <c r="AI1737">
        <f t="shared" si="166"/>
        <v>257.96</v>
      </c>
      <c r="AJ1737" s="4">
        <v>0.15</v>
      </c>
      <c r="AK1737">
        <f t="shared" si="167"/>
        <v>38.69</v>
      </c>
      <c r="AL1737">
        <f t="shared" si="168"/>
        <v>296.65</v>
      </c>
      <c r="AM1737">
        <f t="shared" si="169"/>
        <v>50.35</v>
      </c>
      <c r="AN1737" s="4">
        <f t="shared" si="170"/>
        <v>0.145100864553314</v>
      </c>
      <c r="AO1737" t="s">
        <v>221</v>
      </c>
      <c r="AQ1737" t="s">
        <v>217</v>
      </c>
      <c r="AT1737" t="s">
        <v>558</v>
      </c>
    </row>
    <row r="1738" ht="15.75" customHeight="1" spans="1:46">
      <c r="A1738" t="s">
        <v>2703</v>
      </c>
      <c r="B1738" t="s">
        <v>67</v>
      </c>
      <c r="C1738" t="s">
        <v>2351</v>
      </c>
      <c r="D1738" t="s">
        <v>2480</v>
      </c>
      <c r="E1738" t="s">
        <v>2423</v>
      </c>
      <c r="F1738" t="s">
        <v>2704</v>
      </c>
      <c r="H1738" t="s">
        <v>2355</v>
      </c>
      <c r="I1738" t="s">
        <v>2383</v>
      </c>
      <c r="Q1738" t="s">
        <v>57</v>
      </c>
      <c r="R1738" t="s">
        <v>2707</v>
      </c>
      <c r="Y1738" t="s">
        <v>2706</v>
      </c>
      <c r="Z1738">
        <v>3917</v>
      </c>
      <c r="AE1738">
        <v>462</v>
      </c>
      <c r="AF1738" s="4">
        <v>0.37</v>
      </c>
      <c r="AG1738">
        <f t="shared" si="171"/>
        <v>291.06</v>
      </c>
      <c r="AH1738" s="4">
        <v>0.18</v>
      </c>
      <c r="AI1738">
        <f t="shared" si="166"/>
        <v>343.45</v>
      </c>
      <c r="AJ1738" s="4">
        <v>0.15</v>
      </c>
      <c r="AK1738">
        <f t="shared" si="167"/>
        <v>51.52</v>
      </c>
      <c r="AL1738">
        <f t="shared" si="168"/>
        <v>394.97</v>
      </c>
      <c r="AM1738">
        <f t="shared" si="169"/>
        <v>67.03</v>
      </c>
      <c r="AN1738" s="4">
        <f t="shared" si="170"/>
        <v>0.14508658008658</v>
      </c>
      <c r="AO1738" t="s">
        <v>221</v>
      </c>
      <c r="AQ1738" t="s">
        <v>217</v>
      </c>
      <c r="AT1738" t="s">
        <v>558</v>
      </c>
    </row>
    <row r="1739" ht="15.75" customHeight="1" spans="1:46">
      <c r="A1739" t="s">
        <v>2703</v>
      </c>
      <c r="B1739" t="s">
        <v>71</v>
      </c>
      <c r="C1739" t="s">
        <v>2351</v>
      </c>
      <c r="D1739" t="s">
        <v>2480</v>
      </c>
      <c r="E1739" t="s">
        <v>2423</v>
      </c>
      <c r="F1739" t="s">
        <v>2704</v>
      </c>
      <c r="H1739" t="s">
        <v>2355</v>
      </c>
      <c r="I1739" t="s">
        <v>2385</v>
      </c>
      <c r="Q1739" t="s">
        <v>57</v>
      </c>
      <c r="R1739" t="s">
        <v>2708</v>
      </c>
      <c r="Y1739" t="s">
        <v>2706</v>
      </c>
      <c r="Z1739">
        <v>3917</v>
      </c>
      <c r="AE1739">
        <v>740</v>
      </c>
      <c r="AF1739" s="4">
        <v>0.37</v>
      </c>
      <c r="AG1739">
        <f t="shared" si="171"/>
        <v>466.2</v>
      </c>
      <c r="AH1739" s="4">
        <v>0.18</v>
      </c>
      <c r="AI1739">
        <f t="shared" si="166"/>
        <v>550.12</v>
      </c>
      <c r="AJ1739" s="4">
        <v>0.15</v>
      </c>
      <c r="AK1739">
        <f t="shared" si="167"/>
        <v>82.52</v>
      </c>
      <c r="AL1739">
        <f t="shared" si="168"/>
        <v>632.64</v>
      </c>
      <c r="AM1739">
        <f t="shared" si="169"/>
        <v>107.36</v>
      </c>
      <c r="AN1739" s="4">
        <f t="shared" si="170"/>
        <v>0.145081081081081</v>
      </c>
      <c r="AO1739" t="s">
        <v>221</v>
      </c>
      <c r="AQ1739" t="s">
        <v>217</v>
      </c>
      <c r="AT1739" t="s">
        <v>558</v>
      </c>
    </row>
    <row r="1740" ht="15.75" customHeight="1" spans="1:46">
      <c r="A1740" t="s">
        <v>2703</v>
      </c>
      <c r="B1740" t="s">
        <v>75</v>
      </c>
      <c r="C1740" t="s">
        <v>2351</v>
      </c>
      <c r="D1740" t="s">
        <v>2480</v>
      </c>
      <c r="E1740" t="s">
        <v>2423</v>
      </c>
      <c r="F1740" t="s">
        <v>2704</v>
      </c>
      <c r="H1740" t="s">
        <v>2355</v>
      </c>
      <c r="I1740" t="s">
        <v>2387</v>
      </c>
      <c r="Q1740" t="s">
        <v>57</v>
      </c>
      <c r="R1740" t="s">
        <v>2709</v>
      </c>
      <c r="Y1740" t="s">
        <v>2706</v>
      </c>
      <c r="Z1740">
        <v>3917</v>
      </c>
      <c r="AE1740">
        <v>1552</v>
      </c>
      <c r="AF1740" s="4">
        <v>0.37</v>
      </c>
      <c r="AG1740">
        <f t="shared" si="171"/>
        <v>977.76</v>
      </c>
      <c r="AH1740" s="4">
        <v>0.18</v>
      </c>
      <c r="AI1740">
        <f t="shared" si="166"/>
        <v>1153.76</v>
      </c>
      <c r="AJ1740" s="4">
        <v>0.15</v>
      </c>
      <c r="AK1740">
        <f t="shared" si="167"/>
        <v>173.06</v>
      </c>
      <c r="AL1740">
        <f t="shared" si="168"/>
        <v>1326.82</v>
      </c>
      <c r="AM1740">
        <f t="shared" si="169"/>
        <v>225.18</v>
      </c>
      <c r="AN1740" s="4">
        <f t="shared" si="170"/>
        <v>0.145090206185567</v>
      </c>
      <c r="AO1740" t="s">
        <v>221</v>
      </c>
      <c r="AQ1740" t="s">
        <v>217</v>
      </c>
      <c r="AT1740" t="s">
        <v>558</v>
      </c>
    </row>
    <row r="1741" ht="15.75" customHeight="1" spans="1:46">
      <c r="A1741" t="s">
        <v>2710</v>
      </c>
      <c r="B1741" t="s">
        <v>46</v>
      </c>
      <c r="C1741" t="s">
        <v>2351</v>
      </c>
      <c r="D1741" t="s">
        <v>2480</v>
      </c>
      <c r="E1741" t="s">
        <v>2423</v>
      </c>
      <c r="F1741" t="s">
        <v>2711</v>
      </c>
      <c r="H1741" t="s">
        <v>2355</v>
      </c>
      <c r="I1741" t="s">
        <v>2356</v>
      </c>
      <c r="Q1741" t="s">
        <v>57</v>
      </c>
      <c r="R1741" t="s">
        <v>2712</v>
      </c>
      <c r="Y1741" t="s">
        <v>2713</v>
      </c>
      <c r="Z1741">
        <v>3917</v>
      </c>
      <c r="AE1741">
        <v>18</v>
      </c>
      <c r="AF1741" s="4">
        <v>0.37</v>
      </c>
      <c r="AG1741">
        <f t="shared" si="171"/>
        <v>11.34</v>
      </c>
      <c r="AH1741" s="4">
        <v>0.18</v>
      </c>
      <c r="AI1741">
        <f t="shared" si="166"/>
        <v>13.38</v>
      </c>
      <c r="AJ1741" s="4">
        <v>0.15</v>
      </c>
      <c r="AK1741">
        <f t="shared" si="167"/>
        <v>2.01</v>
      </c>
      <c r="AL1741">
        <f t="shared" si="168"/>
        <v>15.39</v>
      </c>
      <c r="AM1741">
        <f t="shared" si="169"/>
        <v>2.61</v>
      </c>
      <c r="AN1741" s="4">
        <f t="shared" si="170"/>
        <v>0.145</v>
      </c>
      <c r="AO1741" t="s">
        <v>221</v>
      </c>
      <c r="AQ1741" t="s">
        <v>217</v>
      </c>
      <c r="AT1741" t="s">
        <v>558</v>
      </c>
    </row>
    <row r="1742" ht="15.75" customHeight="1" spans="1:46">
      <c r="A1742" t="s">
        <v>2710</v>
      </c>
      <c r="B1742" t="s">
        <v>67</v>
      </c>
      <c r="C1742" t="s">
        <v>2351</v>
      </c>
      <c r="D1742" t="s">
        <v>2480</v>
      </c>
      <c r="E1742" t="s">
        <v>2423</v>
      </c>
      <c r="F1742" t="s">
        <v>2711</v>
      </c>
      <c r="H1742" t="s">
        <v>2355</v>
      </c>
      <c r="I1742" t="s">
        <v>2360</v>
      </c>
      <c r="Q1742" t="s">
        <v>57</v>
      </c>
      <c r="R1742" t="s">
        <v>2714</v>
      </c>
      <c r="Y1742" t="s">
        <v>2713</v>
      </c>
      <c r="Z1742">
        <v>3917</v>
      </c>
      <c r="AE1742">
        <v>19</v>
      </c>
      <c r="AF1742" s="4">
        <v>0.37</v>
      </c>
      <c r="AG1742">
        <f t="shared" si="171"/>
        <v>11.97</v>
      </c>
      <c r="AH1742" s="4">
        <v>0.18</v>
      </c>
      <c r="AI1742">
        <f t="shared" si="166"/>
        <v>14.12</v>
      </c>
      <c r="AJ1742" s="4">
        <v>0.15</v>
      </c>
      <c r="AK1742">
        <f t="shared" si="167"/>
        <v>2.12</v>
      </c>
      <c r="AL1742">
        <f t="shared" si="168"/>
        <v>16.24</v>
      </c>
      <c r="AM1742">
        <f t="shared" si="169"/>
        <v>2.76</v>
      </c>
      <c r="AN1742" s="4">
        <f t="shared" si="170"/>
        <v>0.145263157894737</v>
      </c>
      <c r="AO1742" t="s">
        <v>221</v>
      </c>
      <c r="AQ1742" t="s">
        <v>217</v>
      </c>
      <c r="AT1742" t="s">
        <v>558</v>
      </c>
    </row>
    <row r="1743" ht="15.75" customHeight="1" spans="1:46">
      <c r="A1743" t="s">
        <v>2710</v>
      </c>
      <c r="B1743" t="s">
        <v>71</v>
      </c>
      <c r="C1743" t="s">
        <v>2351</v>
      </c>
      <c r="D1743" t="s">
        <v>2480</v>
      </c>
      <c r="E1743" t="s">
        <v>2423</v>
      </c>
      <c r="F1743" t="s">
        <v>2711</v>
      </c>
      <c r="H1743" t="s">
        <v>2355</v>
      </c>
      <c r="I1743" t="s">
        <v>2363</v>
      </c>
      <c r="Q1743" t="s">
        <v>57</v>
      </c>
      <c r="R1743" t="s">
        <v>2715</v>
      </c>
      <c r="Y1743" t="s">
        <v>2713</v>
      </c>
      <c r="Z1743">
        <v>3917</v>
      </c>
      <c r="AE1743">
        <v>37</v>
      </c>
      <c r="AF1743" s="4">
        <v>0.37</v>
      </c>
      <c r="AG1743">
        <f t="shared" si="171"/>
        <v>23.31</v>
      </c>
      <c r="AH1743" s="4">
        <v>0.18</v>
      </c>
      <c r="AI1743">
        <f t="shared" si="166"/>
        <v>27.51</v>
      </c>
      <c r="AJ1743" s="4">
        <v>0.15</v>
      </c>
      <c r="AK1743">
        <f t="shared" si="167"/>
        <v>4.13</v>
      </c>
      <c r="AL1743">
        <f t="shared" si="168"/>
        <v>31.64</v>
      </c>
      <c r="AM1743">
        <f t="shared" si="169"/>
        <v>5.36</v>
      </c>
      <c r="AN1743" s="4">
        <f t="shared" si="170"/>
        <v>0.144864864864865</v>
      </c>
      <c r="AO1743" t="s">
        <v>221</v>
      </c>
      <c r="AQ1743" t="s">
        <v>217</v>
      </c>
      <c r="AT1743" t="s">
        <v>558</v>
      </c>
    </row>
    <row r="1744" ht="15.75" customHeight="1" spans="1:46">
      <c r="A1744" t="s">
        <v>2710</v>
      </c>
      <c r="B1744" t="s">
        <v>75</v>
      </c>
      <c r="C1744" t="s">
        <v>2351</v>
      </c>
      <c r="D1744" t="s">
        <v>2480</v>
      </c>
      <c r="E1744" t="s">
        <v>2423</v>
      </c>
      <c r="F1744" t="s">
        <v>2711</v>
      </c>
      <c r="H1744" t="s">
        <v>2355</v>
      </c>
      <c r="I1744" t="s">
        <v>2365</v>
      </c>
      <c r="Q1744" t="s">
        <v>57</v>
      </c>
      <c r="R1744" t="s">
        <v>2716</v>
      </c>
      <c r="Y1744" t="s">
        <v>2713</v>
      </c>
      <c r="Z1744">
        <v>3917</v>
      </c>
      <c r="AE1744">
        <v>86</v>
      </c>
      <c r="AF1744" s="4">
        <v>0.37</v>
      </c>
      <c r="AG1744">
        <f t="shared" si="171"/>
        <v>54.18</v>
      </c>
      <c r="AH1744" s="4">
        <v>0.18</v>
      </c>
      <c r="AI1744">
        <f t="shared" si="166"/>
        <v>63.93</v>
      </c>
      <c r="AJ1744" s="4">
        <v>0.15</v>
      </c>
      <c r="AK1744">
        <f t="shared" si="167"/>
        <v>9.59</v>
      </c>
      <c r="AL1744">
        <f t="shared" si="168"/>
        <v>73.52</v>
      </c>
      <c r="AM1744">
        <f t="shared" si="169"/>
        <v>12.48</v>
      </c>
      <c r="AN1744" s="4">
        <f t="shared" si="170"/>
        <v>0.145116279069767</v>
      </c>
      <c r="AO1744" t="s">
        <v>221</v>
      </c>
      <c r="AQ1744" t="s">
        <v>217</v>
      </c>
      <c r="AT1744" t="s">
        <v>558</v>
      </c>
    </row>
    <row r="1745" ht="15.75" customHeight="1" spans="1:46">
      <c r="A1745" t="s">
        <v>2710</v>
      </c>
      <c r="B1745" t="s">
        <v>79</v>
      </c>
      <c r="C1745" t="s">
        <v>2351</v>
      </c>
      <c r="D1745" t="s">
        <v>2480</v>
      </c>
      <c r="E1745" t="s">
        <v>2423</v>
      </c>
      <c r="F1745" t="s">
        <v>2711</v>
      </c>
      <c r="H1745" t="s">
        <v>2355</v>
      </c>
      <c r="I1745" t="s">
        <v>2367</v>
      </c>
      <c r="Q1745" t="s">
        <v>57</v>
      </c>
      <c r="R1745" t="s">
        <v>2717</v>
      </c>
      <c r="Y1745" t="s">
        <v>2713</v>
      </c>
      <c r="Z1745">
        <v>3917</v>
      </c>
      <c r="AE1745">
        <v>133</v>
      </c>
      <c r="AF1745" s="4">
        <v>0.37</v>
      </c>
      <c r="AG1745">
        <f t="shared" si="171"/>
        <v>83.79</v>
      </c>
      <c r="AH1745" s="4">
        <v>0.18</v>
      </c>
      <c r="AI1745">
        <f t="shared" si="166"/>
        <v>98.87</v>
      </c>
      <c r="AJ1745" s="4">
        <v>0.15</v>
      </c>
      <c r="AK1745">
        <f t="shared" si="167"/>
        <v>14.83</v>
      </c>
      <c r="AL1745">
        <f t="shared" si="168"/>
        <v>113.7</v>
      </c>
      <c r="AM1745">
        <f t="shared" si="169"/>
        <v>19.3</v>
      </c>
      <c r="AN1745" s="4">
        <f t="shared" si="170"/>
        <v>0.145112781954887</v>
      </c>
      <c r="AO1745" t="s">
        <v>221</v>
      </c>
      <c r="AQ1745" t="s">
        <v>217</v>
      </c>
      <c r="AT1745" t="s">
        <v>558</v>
      </c>
    </row>
    <row r="1746" ht="15.75" customHeight="1" spans="1:46">
      <c r="A1746" t="s">
        <v>2710</v>
      </c>
      <c r="B1746" t="s">
        <v>83</v>
      </c>
      <c r="C1746" t="s">
        <v>2351</v>
      </c>
      <c r="D1746" t="s">
        <v>2480</v>
      </c>
      <c r="E1746" t="s">
        <v>2423</v>
      </c>
      <c r="F1746" t="s">
        <v>2711</v>
      </c>
      <c r="H1746" t="s">
        <v>2355</v>
      </c>
      <c r="I1746" t="s">
        <v>2369</v>
      </c>
      <c r="Q1746" t="s">
        <v>57</v>
      </c>
      <c r="R1746" t="s">
        <v>2718</v>
      </c>
      <c r="Y1746" t="s">
        <v>2713</v>
      </c>
      <c r="Z1746">
        <v>3917</v>
      </c>
      <c r="AE1746">
        <v>316</v>
      </c>
      <c r="AF1746" s="4">
        <v>0.37</v>
      </c>
      <c r="AG1746">
        <f t="shared" si="171"/>
        <v>199.08</v>
      </c>
      <c r="AH1746" s="4">
        <v>0.18</v>
      </c>
      <c r="AI1746">
        <f t="shared" si="166"/>
        <v>234.91</v>
      </c>
      <c r="AJ1746" s="4">
        <v>0.15</v>
      </c>
      <c r="AK1746">
        <f t="shared" si="167"/>
        <v>35.24</v>
      </c>
      <c r="AL1746">
        <f t="shared" si="168"/>
        <v>270.15</v>
      </c>
      <c r="AM1746">
        <f t="shared" si="169"/>
        <v>45.85</v>
      </c>
      <c r="AN1746" s="4">
        <f t="shared" si="170"/>
        <v>0.145094936708861</v>
      </c>
      <c r="AO1746" t="s">
        <v>221</v>
      </c>
      <c r="AQ1746" t="s">
        <v>217</v>
      </c>
      <c r="AT1746" t="s">
        <v>558</v>
      </c>
    </row>
    <row r="1747" ht="15.75" customHeight="1" spans="1:46">
      <c r="A1747" t="s">
        <v>2710</v>
      </c>
      <c r="B1747" t="s">
        <v>131</v>
      </c>
      <c r="C1747" t="s">
        <v>2351</v>
      </c>
      <c r="D1747" t="s">
        <v>2480</v>
      </c>
      <c r="E1747" t="s">
        <v>2423</v>
      </c>
      <c r="F1747" t="s">
        <v>2711</v>
      </c>
      <c r="H1747" t="s">
        <v>2355</v>
      </c>
      <c r="I1747" t="s">
        <v>2380</v>
      </c>
      <c r="Q1747" t="s">
        <v>57</v>
      </c>
      <c r="R1747" t="s">
        <v>2719</v>
      </c>
      <c r="Y1747" t="s">
        <v>2713</v>
      </c>
      <c r="Z1747">
        <v>3917</v>
      </c>
      <c r="AE1747">
        <v>695</v>
      </c>
      <c r="AF1747" s="4">
        <v>0.37</v>
      </c>
      <c r="AG1747">
        <f t="shared" si="171"/>
        <v>437.85</v>
      </c>
      <c r="AH1747" s="4">
        <v>0.18</v>
      </c>
      <c r="AI1747">
        <f t="shared" si="166"/>
        <v>516.66</v>
      </c>
      <c r="AJ1747" s="4">
        <v>0.15</v>
      </c>
      <c r="AK1747">
        <f t="shared" si="167"/>
        <v>77.5</v>
      </c>
      <c r="AL1747">
        <f t="shared" si="168"/>
        <v>594.16</v>
      </c>
      <c r="AM1747">
        <f t="shared" si="169"/>
        <v>100.84</v>
      </c>
      <c r="AN1747" s="4">
        <f t="shared" si="170"/>
        <v>0.145093525179856</v>
      </c>
      <c r="AO1747" t="s">
        <v>221</v>
      </c>
      <c r="AQ1747" t="s">
        <v>217</v>
      </c>
      <c r="AT1747" t="s">
        <v>558</v>
      </c>
    </row>
    <row r="1748" ht="15.75" customHeight="1" spans="1:46">
      <c r="A1748" t="s">
        <v>2710</v>
      </c>
      <c r="B1748" t="s">
        <v>133</v>
      </c>
      <c r="C1748" t="s">
        <v>2351</v>
      </c>
      <c r="D1748" t="s">
        <v>2480</v>
      </c>
      <c r="E1748" t="s">
        <v>2423</v>
      </c>
      <c r="F1748" t="s">
        <v>2711</v>
      </c>
      <c r="H1748" t="s">
        <v>2355</v>
      </c>
      <c r="I1748" t="s">
        <v>2383</v>
      </c>
      <c r="Q1748" t="s">
        <v>57</v>
      </c>
      <c r="R1748" t="s">
        <v>2720</v>
      </c>
      <c r="Y1748" t="s">
        <v>2713</v>
      </c>
      <c r="Z1748">
        <v>3917</v>
      </c>
      <c r="AE1748">
        <v>954</v>
      </c>
      <c r="AF1748" s="4">
        <v>0.37</v>
      </c>
      <c r="AG1748">
        <f t="shared" si="171"/>
        <v>601.02</v>
      </c>
      <c r="AH1748" s="4">
        <v>0.18</v>
      </c>
      <c r="AI1748">
        <f t="shared" si="166"/>
        <v>709.2</v>
      </c>
      <c r="AJ1748" s="4">
        <v>0.15</v>
      </c>
      <c r="AK1748">
        <f t="shared" si="167"/>
        <v>106.38</v>
      </c>
      <c r="AL1748">
        <f t="shared" si="168"/>
        <v>815.58</v>
      </c>
      <c r="AM1748">
        <f t="shared" si="169"/>
        <v>138.42</v>
      </c>
      <c r="AN1748" s="4">
        <f t="shared" si="170"/>
        <v>0.145094339622641</v>
      </c>
      <c r="AO1748" t="s">
        <v>221</v>
      </c>
      <c r="AQ1748" t="s">
        <v>217</v>
      </c>
      <c r="AT1748" t="s">
        <v>558</v>
      </c>
    </row>
    <row r="1749" ht="15.75" customHeight="1" spans="1:46">
      <c r="A1749" t="s">
        <v>2710</v>
      </c>
      <c r="B1749" t="s">
        <v>135</v>
      </c>
      <c r="C1749" t="s">
        <v>2351</v>
      </c>
      <c r="D1749" t="s">
        <v>2480</v>
      </c>
      <c r="E1749" t="s">
        <v>2423</v>
      </c>
      <c r="F1749" t="s">
        <v>2711</v>
      </c>
      <c r="H1749" t="s">
        <v>2355</v>
      </c>
      <c r="I1749" t="s">
        <v>2385</v>
      </c>
      <c r="Q1749" t="s">
        <v>57</v>
      </c>
      <c r="R1749" t="s">
        <v>2721</v>
      </c>
      <c r="Y1749" t="s">
        <v>2713</v>
      </c>
      <c r="Z1749">
        <v>3917</v>
      </c>
      <c r="AE1749">
        <v>1993</v>
      </c>
      <c r="AF1749" s="4">
        <v>0.37</v>
      </c>
      <c r="AG1749">
        <f t="shared" si="171"/>
        <v>1255.59</v>
      </c>
      <c r="AH1749" s="4">
        <v>0.18</v>
      </c>
      <c r="AI1749">
        <f t="shared" si="166"/>
        <v>1481.6</v>
      </c>
      <c r="AJ1749" s="4">
        <v>0.15</v>
      </c>
      <c r="AK1749">
        <f t="shared" si="167"/>
        <v>222.24</v>
      </c>
      <c r="AL1749">
        <f t="shared" si="168"/>
        <v>1703.84</v>
      </c>
      <c r="AM1749">
        <f t="shared" si="169"/>
        <v>289.16</v>
      </c>
      <c r="AN1749" s="4">
        <f t="shared" si="170"/>
        <v>0.14508780732564</v>
      </c>
      <c r="AO1749" t="s">
        <v>221</v>
      </c>
      <c r="AQ1749" t="s">
        <v>217</v>
      </c>
      <c r="AT1749" t="s">
        <v>558</v>
      </c>
    </row>
    <row r="1750" ht="15.75" customHeight="1" spans="1:46">
      <c r="A1750" t="s">
        <v>2710</v>
      </c>
      <c r="B1750" t="s">
        <v>137</v>
      </c>
      <c r="C1750" t="s">
        <v>2351</v>
      </c>
      <c r="D1750" t="s">
        <v>2480</v>
      </c>
      <c r="E1750" t="s">
        <v>2423</v>
      </c>
      <c r="F1750" t="s">
        <v>2711</v>
      </c>
      <c r="H1750" t="s">
        <v>2355</v>
      </c>
      <c r="I1750" t="s">
        <v>2387</v>
      </c>
      <c r="Q1750" t="s">
        <v>57</v>
      </c>
      <c r="R1750" t="s">
        <v>2722</v>
      </c>
      <c r="Y1750" t="s">
        <v>2713</v>
      </c>
      <c r="Z1750">
        <v>3917</v>
      </c>
      <c r="AE1750">
        <v>3360</v>
      </c>
      <c r="AF1750" s="4">
        <v>0.37</v>
      </c>
      <c r="AG1750">
        <f t="shared" si="171"/>
        <v>2116.8</v>
      </c>
      <c r="AH1750" s="4">
        <v>0.18</v>
      </c>
      <c r="AI1750">
        <f t="shared" si="166"/>
        <v>2497.82</v>
      </c>
      <c r="AJ1750" s="4">
        <v>0.15</v>
      </c>
      <c r="AK1750">
        <f t="shared" si="167"/>
        <v>374.67</v>
      </c>
      <c r="AL1750">
        <f t="shared" si="168"/>
        <v>2872.49</v>
      </c>
      <c r="AM1750">
        <f t="shared" si="169"/>
        <v>487.51</v>
      </c>
      <c r="AN1750" s="4">
        <f t="shared" si="170"/>
        <v>0.145092261904762</v>
      </c>
      <c r="AO1750" t="s">
        <v>221</v>
      </c>
      <c r="AQ1750" t="s">
        <v>217</v>
      </c>
      <c r="AT1750" t="s">
        <v>558</v>
      </c>
    </row>
    <row r="1751" ht="15.75" customHeight="1" spans="1:46">
      <c r="A1751" t="s">
        <v>2710</v>
      </c>
      <c r="B1751" t="s">
        <v>138</v>
      </c>
      <c r="C1751" t="s">
        <v>2351</v>
      </c>
      <c r="D1751" t="s">
        <v>2480</v>
      </c>
      <c r="E1751" t="s">
        <v>2423</v>
      </c>
      <c r="F1751" t="s">
        <v>2711</v>
      </c>
      <c r="H1751" t="s">
        <v>2355</v>
      </c>
      <c r="I1751" t="s">
        <v>2389</v>
      </c>
      <c r="Q1751" t="s">
        <v>57</v>
      </c>
      <c r="R1751" t="s">
        <v>2723</v>
      </c>
      <c r="Y1751" t="s">
        <v>2713</v>
      </c>
      <c r="Z1751">
        <v>3917</v>
      </c>
      <c r="AE1751">
        <v>10139</v>
      </c>
      <c r="AF1751" s="4">
        <v>0.37</v>
      </c>
      <c r="AG1751">
        <f t="shared" si="171"/>
        <v>6387.57</v>
      </c>
      <c r="AH1751" s="4">
        <v>0.18</v>
      </c>
      <c r="AI1751">
        <f t="shared" si="166"/>
        <v>7537.33</v>
      </c>
      <c r="AJ1751" s="4">
        <v>0.15</v>
      </c>
      <c r="AK1751">
        <f t="shared" si="167"/>
        <v>1130.6</v>
      </c>
      <c r="AL1751">
        <f t="shared" si="168"/>
        <v>8667.93</v>
      </c>
      <c r="AM1751">
        <f t="shared" si="169"/>
        <v>1471.07</v>
      </c>
      <c r="AN1751" s="4">
        <f t="shared" si="170"/>
        <v>0.14509024558635</v>
      </c>
      <c r="AO1751" t="s">
        <v>221</v>
      </c>
      <c r="AQ1751" t="s">
        <v>217</v>
      </c>
      <c r="AT1751" t="s">
        <v>558</v>
      </c>
    </row>
    <row r="1752" ht="15.75" customHeight="1" spans="1:46">
      <c r="A1752" t="s">
        <v>2724</v>
      </c>
      <c r="B1752" t="s">
        <v>46</v>
      </c>
      <c r="C1752" t="s">
        <v>2351</v>
      </c>
      <c r="D1752" t="s">
        <v>2480</v>
      </c>
      <c r="E1752" t="s">
        <v>2423</v>
      </c>
      <c r="F1752" t="s">
        <v>2725</v>
      </c>
      <c r="H1752" t="s">
        <v>2355</v>
      </c>
      <c r="I1752" t="s">
        <v>2356</v>
      </c>
      <c r="Q1752" t="s">
        <v>57</v>
      </c>
      <c r="R1752" t="s">
        <v>2726</v>
      </c>
      <c r="Y1752" t="s">
        <v>2727</v>
      </c>
      <c r="Z1752">
        <v>3917</v>
      </c>
      <c r="AE1752">
        <v>59</v>
      </c>
      <c r="AF1752" s="4">
        <v>0.37</v>
      </c>
      <c r="AG1752">
        <f t="shared" si="171"/>
        <v>37.17</v>
      </c>
      <c r="AH1752" s="4">
        <v>0.18</v>
      </c>
      <c r="AI1752">
        <f t="shared" si="166"/>
        <v>43.86</v>
      </c>
      <c r="AJ1752" s="4">
        <v>0.15</v>
      </c>
      <c r="AK1752">
        <f t="shared" si="167"/>
        <v>6.58</v>
      </c>
      <c r="AL1752">
        <f t="shared" si="168"/>
        <v>50.44</v>
      </c>
      <c r="AM1752">
        <f t="shared" si="169"/>
        <v>8.56</v>
      </c>
      <c r="AN1752" s="4">
        <f t="shared" si="170"/>
        <v>0.145084745762712</v>
      </c>
      <c r="AO1752" t="s">
        <v>221</v>
      </c>
      <c r="AQ1752" t="s">
        <v>217</v>
      </c>
      <c r="AT1752" t="s">
        <v>558</v>
      </c>
    </row>
    <row r="1753" ht="15.75" customHeight="1" spans="1:46">
      <c r="A1753" t="s">
        <v>2724</v>
      </c>
      <c r="B1753" t="s">
        <v>67</v>
      </c>
      <c r="C1753" t="s">
        <v>2351</v>
      </c>
      <c r="D1753" t="s">
        <v>2480</v>
      </c>
      <c r="E1753" t="s">
        <v>2423</v>
      </c>
      <c r="F1753" t="s">
        <v>2725</v>
      </c>
      <c r="H1753" t="s">
        <v>2355</v>
      </c>
      <c r="I1753" t="s">
        <v>2360</v>
      </c>
      <c r="Q1753" t="s">
        <v>57</v>
      </c>
      <c r="R1753" t="s">
        <v>2728</v>
      </c>
      <c r="Y1753" t="s">
        <v>2727</v>
      </c>
      <c r="Z1753">
        <v>3917</v>
      </c>
      <c r="AE1753">
        <v>89</v>
      </c>
      <c r="AF1753" s="4">
        <v>0.37</v>
      </c>
      <c r="AG1753">
        <f t="shared" si="171"/>
        <v>56.07</v>
      </c>
      <c r="AH1753" s="4">
        <v>0.18</v>
      </c>
      <c r="AI1753">
        <f t="shared" si="166"/>
        <v>66.16</v>
      </c>
      <c r="AJ1753" s="4">
        <v>0.15</v>
      </c>
      <c r="AK1753">
        <f t="shared" si="167"/>
        <v>9.92</v>
      </c>
      <c r="AL1753">
        <f t="shared" si="168"/>
        <v>76.08</v>
      </c>
      <c r="AM1753">
        <f t="shared" si="169"/>
        <v>12.92</v>
      </c>
      <c r="AN1753" s="4">
        <f t="shared" si="170"/>
        <v>0.145168539325843</v>
      </c>
      <c r="AO1753" t="s">
        <v>221</v>
      </c>
      <c r="AQ1753" t="s">
        <v>217</v>
      </c>
      <c r="AT1753" t="s">
        <v>558</v>
      </c>
    </row>
    <row r="1754" ht="15.75" customHeight="1" spans="1:46">
      <c r="A1754" t="s">
        <v>2724</v>
      </c>
      <c r="B1754" t="s">
        <v>71</v>
      </c>
      <c r="C1754" t="s">
        <v>2351</v>
      </c>
      <c r="D1754" t="s">
        <v>2480</v>
      </c>
      <c r="E1754" t="s">
        <v>2423</v>
      </c>
      <c r="F1754" t="s">
        <v>2725</v>
      </c>
      <c r="H1754" t="s">
        <v>2355</v>
      </c>
      <c r="I1754" t="s">
        <v>2363</v>
      </c>
      <c r="Q1754" t="s">
        <v>57</v>
      </c>
      <c r="R1754" t="s">
        <v>2729</v>
      </c>
      <c r="Y1754" t="s">
        <v>2727</v>
      </c>
      <c r="Z1754">
        <v>3917</v>
      </c>
      <c r="AE1754">
        <v>120</v>
      </c>
      <c r="AF1754" s="4">
        <v>0.37</v>
      </c>
      <c r="AG1754">
        <f t="shared" si="171"/>
        <v>75.6</v>
      </c>
      <c r="AH1754" s="4">
        <v>0.18</v>
      </c>
      <c r="AI1754">
        <f t="shared" si="166"/>
        <v>89.21</v>
      </c>
      <c r="AJ1754" s="4">
        <v>0.15</v>
      </c>
      <c r="AK1754">
        <f t="shared" si="167"/>
        <v>13.38</v>
      </c>
      <c r="AL1754">
        <f t="shared" si="168"/>
        <v>102.59</v>
      </c>
      <c r="AM1754">
        <f t="shared" si="169"/>
        <v>17.41</v>
      </c>
      <c r="AN1754" s="4">
        <f t="shared" si="170"/>
        <v>0.145083333333333</v>
      </c>
      <c r="AO1754" t="s">
        <v>221</v>
      </c>
      <c r="AQ1754" t="s">
        <v>217</v>
      </c>
      <c r="AT1754" t="s">
        <v>558</v>
      </c>
    </row>
    <row r="1755" ht="15.75" customHeight="1" spans="1:46">
      <c r="A1755" t="s">
        <v>2724</v>
      </c>
      <c r="B1755" t="s">
        <v>75</v>
      </c>
      <c r="C1755" t="s">
        <v>2351</v>
      </c>
      <c r="D1755" t="s">
        <v>2480</v>
      </c>
      <c r="E1755" t="s">
        <v>2423</v>
      </c>
      <c r="F1755" t="s">
        <v>2725</v>
      </c>
      <c r="H1755" t="s">
        <v>2355</v>
      </c>
      <c r="I1755" t="s">
        <v>2365</v>
      </c>
      <c r="Q1755" t="s">
        <v>57</v>
      </c>
      <c r="R1755" t="s">
        <v>2730</v>
      </c>
      <c r="Y1755" t="s">
        <v>2727</v>
      </c>
      <c r="Z1755">
        <v>3917</v>
      </c>
      <c r="AE1755">
        <v>209</v>
      </c>
      <c r="AF1755" s="4">
        <v>0.37</v>
      </c>
      <c r="AG1755">
        <f t="shared" si="171"/>
        <v>131.67</v>
      </c>
      <c r="AH1755" s="4">
        <v>0.18</v>
      </c>
      <c r="AI1755">
        <f t="shared" si="166"/>
        <v>155.37</v>
      </c>
      <c r="AJ1755" s="4">
        <v>0.15</v>
      </c>
      <c r="AK1755">
        <f t="shared" si="167"/>
        <v>23.31</v>
      </c>
      <c r="AL1755">
        <f t="shared" si="168"/>
        <v>178.68</v>
      </c>
      <c r="AM1755">
        <f t="shared" si="169"/>
        <v>30.32</v>
      </c>
      <c r="AN1755" s="4">
        <f t="shared" si="170"/>
        <v>0.145071770334928</v>
      </c>
      <c r="AO1755" t="s">
        <v>221</v>
      </c>
      <c r="AQ1755" t="s">
        <v>217</v>
      </c>
      <c r="AT1755" t="s">
        <v>558</v>
      </c>
    </row>
    <row r="1756" ht="15.75" customHeight="1" spans="1:46">
      <c r="A1756" t="s">
        <v>2724</v>
      </c>
      <c r="B1756" t="s">
        <v>79</v>
      </c>
      <c r="C1756" t="s">
        <v>2351</v>
      </c>
      <c r="D1756" t="s">
        <v>2480</v>
      </c>
      <c r="E1756" t="s">
        <v>2423</v>
      </c>
      <c r="F1756" t="s">
        <v>2725</v>
      </c>
      <c r="H1756" t="s">
        <v>2355</v>
      </c>
      <c r="I1756" t="s">
        <v>2367</v>
      </c>
      <c r="Q1756" t="s">
        <v>57</v>
      </c>
      <c r="R1756" t="s">
        <v>2731</v>
      </c>
      <c r="Y1756" t="s">
        <v>2727</v>
      </c>
      <c r="Z1756">
        <v>3917</v>
      </c>
      <c r="AE1756">
        <v>359</v>
      </c>
      <c r="AF1756" s="4">
        <v>0.37</v>
      </c>
      <c r="AG1756">
        <f t="shared" si="171"/>
        <v>226.17</v>
      </c>
      <c r="AH1756" s="4">
        <v>0.18</v>
      </c>
      <c r="AI1756">
        <f t="shared" si="166"/>
        <v>266.88</v>
      </c>
      <c r="AJ1756" s="4">
        <v>0.15</v>
      </c>
      <c r="AK1756">
        <f t="shared" si="167"/>
        <v>40.03</v>
      </c>
      <c r="AL1756">
        <f t="shared" si="168"/>
        <v>306.91</v>
      </c>
      <c r="AM1756">
        <f t="shared" si="169"/>
        <v>52.09</v>
      </c>
      <c r="AN1756" s="4">
        <f t="shared" si="170"/>
        <v>0.145097493036212</v>
      </c>
      <c r="AO1756" t="s">
        <v>221</v>
      </c>
      <c r="AQ1756" t="s">
        <v>217</v>
      </c>
      <c r="AT1756" t="s">
        <v>558</v>
      </c>
    </row>
    <row r="1757" ht="15.75" customHeight="1" spans="1:46">
      <c r="A1757" t="s">
        <v>2724</v>
      </c>
      <c r="B1757" t="s">
        <v>83</v>
      </c>
      <c r="C1757" t="s">
        <v>2351</v>
      </c>
      <c r="D1757" t="s">
        <v>2480</v>
      </c>
      <c r="E1757" t="s">
        <v>2423</v>
      </c>
      <c r="F1757" t="s">
        <v>2725</v>
      </c>
      <c r="H1757" t="s">
        <v>2355</v>
      </c>
      <c r="I1757" t="s">
        <v>2369</v>
      </c>
      <c r="Q1757" t="s">
        <v>57</v>
      </c>
      <c r="R1757" t="s">
        <v>2732</v>
      </c>
      <c r="Y1757" t="s">
        <v>2727</v>
      </c>
      <c r="Z1757">
        <v>3917</v>
      </c>
      <c r="AE1757">
        <v>515</v>
      </c>
      <c r="AF1757" s="4">
        <v>0.37</v>
      </c>
      <c r="AG1757">
        <f t="shared" si="171"/>
        <v>324.45</v>
      </c>
      <c r="AH1757" s="4">
        <v>0.18</v>
      </c>
      <c r="AI1757">
        <f t="shared" si="166"/>
        <v>382.85</v>
      </c>
      <c r="AJ1757" s="4">
        <v>0.15</v>
      </c>
      <c r="AK1757">
        <f t="shared" si="167"/>
        <v>57.43</v>
      </c>
      <c r="AL1757">
        <f t="shared" si="168"/>
        <v>440.28</v>
      </c>
      <c r="AM1757">
        <f t="shared" si="169"/>
        <v>74.72</v>
      </c>
      <c r="AN1757" s="4">
        <f t="shared" si="170"/>
        <v>0.145087378640777</v>
      </c>
      <c r="AO1757" t="s">
        <v>221</v>
      </c>
      <c r="AQ1757" t="s">
        <v>217</v>
      </c>
      <c r="AT1757" t="s">
        <v>558</v>
      </c>
    </row>
    <row r="1758" ht="15.75" customHeight="1" spans="1:46">
      <c r="A1758" t="s">
        <v>2724</v>
      </c>
      <c r="B1758" t="s">
        <v>131</v>
      </c>
      <c r="C1758" t="s">
        <v>2351</v>
      </c>
      <c r="D1758" t="s">
        <v>2480</v>
      </c>
      <c r="E1758" t="s">
        <v>2423</v>
      </c>
      <c r="F1758" t="s">
        <v>2725</v>
      </c>
      <c r="H1758" t="s">
        <v>2355</v>
      </c>
      <c r="I1758" t="s">
        <v>2380</v>
      </c>
      <c r="Q1758" t="s">
        <v>57</v>
      </c>
      <c r="R1758" t="s">
        <v>2733</v>
      </c>
      <c r="Y1758" t="s">
        <v>2727</v>
      </c>
      <c r="Z1758">
        <v>3917</v>
      </c>
      <c r="AE1758">
        <v>1468</v>
      </c>
      <c r="AF1758" s="4">
        <v>0.37</v>
      </c>
      <c r="AG1758">
        <f t="shared" si="171"/>
        <v>924.84</v>
      </c>
      <c r="AH1758" s="4">
        <v>0.18</v>
      </c>
      <c r="AI1758">
        <f t="shared" si="166"/>
        <v>1091.31</v>
      </c>
      <c r="AJ1758" s="4">
        <v>0.15</v>
      </c>
      <c r="AK1758">
        <f t="shared" si="167"/>
        <v>163.7</v>
      </c>
      <c r="AL1758">
        <f t="shared" si="168"/>
        <v>1255.01</v>
      </c>
      <c r="AM1758">
        <f t="shared" si="169"/>
        <v>212.99</v>
      </c>
      <c r="AN1758" s="4">
        <f t="shared" si="170"/>
        <v>0.145088555858311</v>
      </c>
      <c r="AO1758" t="s">
        <v>221</v>
      </c>
      <c r="AQ1758" t="s">
        <v>217</v>
      </c>
      <c r="AT1758" t="s">
        <v>558</v>
      </c>
    </row>
    <row r="1759" ht="15.75" customHeight="1" spans="1:46">
      <c r="A1759" t="s">
        <v>2724</v>
      </c>
      <c r="B1759" t="s">
        <v>133</v>
      </c>
      <c r="C1759" t="s">
        <v>2351</v>
      </c>
      <c r="D1759" t="s">
        <v>2480</v>
      </c>
      <c r="E1759" t="s">
        <v>2423</v>
      </c>
      <c r="F1759" t="s">
        <v>2725</v>
      </c>
      <c r="H1759" t="s">
        <v>2355</v>
      </c>
      <c r="I1759" t="s">
        <v>2383</v>
      </c>
      <c r="Q1759" t="s">
        <v>57</v>
      </c>
      <c r="R1759" t="s">
        <v>2734</v>
      </c>
      <c r="Y1759" t="s">
        <v>2727</v>
      </c>
      <c r="Z1759">
        <v>3917</v>
      </c>
      <c r="AE1759">
        <v>2060</v>
      </c>
      <c r="AF1759" s="4">
        <v>0.37</v>
      </c>
      <c r="AG1759">
        <f t="shared" si="171"/>
        <v>1297.8</v>
      </c>
      <c r="AH1759" s="4">
        <v>0.18</v>
      </c>
      <c r="AI1759">
        <f t="shared" si="166"/>
        <v>1531.4</v>
      </c>
      <c r="AJ1759" s="4">
        <v>0.15</v>
      </c>
      <c r="AK1759">
        <f t="shared" si="167"/>
        <v>229.71</v>
      </c>
      <c r="AL1759">
        <f t="shared" si="168"/>
        <v>1761.11</v>
      </c>
      <c r="AM1759">
        <f t="shared" si="169"/>
        <v>298.89</v>
      </c>
      <c r="AN1759" s="4">
        <f t="shared" si="170"/>
        <v>0.145092233009709</v>
      </c>
      <c r="AO1759" t="s">
        <v>221</v>
      </c>
      <c r="AQ1759" t="s">
        <v>217</v>
      </c>
      <c r="AT1759" t="s">
        <v>558</v>
      </c>
    </row>
    <row r="1760" ht="15.75" customHeight="1" spans="1:46">
      <c r="A1760" t="s">
        <v>2724</v>
      </c>
      <c r="B1760" t="s">
        <v>135</v>
      </c>
      <c r="C1760" t="s">
        <v>2351</v>
      </c>
      <c r="D1760" t="s">
        <v>2480</v>
      </c>
      <c r="E1760" t="s">
        <v>2423</v>
      </c>
      <c r="F1760" t="s">
        <v>2725</v>
      </c>
      <c r="H1760" t="s">
        <v>2355</v>
      </c>
      <c r="I1760" t="s">
        <v>2385</v>
      </c>
      <c r="Q1760" t="s">
        <v>57</v>
      </c>
      <c r="R1760" t="s">
        <v>2735</v>
      </c>
      <c r="Y1760" t="s">
        <v>2727</v>
      </c>
      <c r="Z1760">
        <v>3917</v>
      </c>
      <c r="AE1760">
        <v>3400</v>
      </c>
      <c r="AF1760" s="4">
        <v>0.37</v>
      </c>
      <c r="AG1760">
        <f t="shared" si="171"/>
        <v>2142</v>
      </c>
      <c r="AH1760" s="4">
        <v>0.18</v>
      </c>
      <c r="AI1760">
        <f t="shared" si="166"/>
        <v>2527.56</v>
      </c>
      <c r="AJ1760" s="4">
        <v>0.15</v>
      </c>
      <c r="AK1760">
        <f t="shared" si="167"/>
        <v>379.13</v>
      </c>
      <c r="AL1760">
        <f t="shared" si="168"/>
        <v>2906.69</v>
      </c>
      <c r="AM1760">
        <f t="shared" si="169"/>
        <v>493.31</v>
      </c>
      <c r="AN1760" s="4">
        <f t="shared" si="170"/>
        <v>0.145091176470588</v>
      </c>
      <c r="AO1760" t="s">
        <v>221</v>
      </c>
      <c r="AQ1760" t="s">
        <v>217</v>
      </c>
      <c r="AT1760" t="s">
        <v>558</v>
      </c>
    </row>
    <row r="1761" ht="15.75" customHeight="1" spans="1:46">
      <c r="A1761" t="s">
        <v>2736</v>
      </c>
      <c r="B1761" t="s">
        <v>46</v>
      </c>
      <c r="C1761" t="s">
        <v>2351</v>
      </c>
      <c r="D1761" t="s">
        <v>2480</v>
      </c>
      <c r="E1761" t="s">
        <v>2423</v>
      </c>
      <c r="F1761" t="s">
        <v>2737</v>
      </c>
      <c r="H1761" t="s">
        <v>2355</v>
      </c>
      <c r="I1761" t="s">
        <v>2356</v>
      </c>
      <c r="Q1761" t="s">
        <v>57</v>
      </c>
      <c r="R1761" t="s">
        <v>2738</v>
      </c>
      <c r="Y1761" t="s">
        <v>2739</v>
      </c>
      <c r="Z1761">
        <v>3917</v>
      </c>
      <c r="AE1761">
        <v>19</v>
      </c>
      <c r="AF1761" s="4">
        <v>0.37</v>
      </c>
      <c r="AG1761">
        <f t="shared" si="171"/>
        <v>11.97</v>
      </c>
      <c r="AH1761" s="4">
        <v>0.18</v>
      </c>
      <c r="AI1761">
        <f t="shared" si="166"/>
        <v>14.12</v>
      </c>
      <c r="AJ1761" s="4">
        <v>0.15</v>
      </c>
      <c r="AK1761">
        <f t="shared" si="167"/>
        <v>2.12</v>
      </c>
      <c r="AL1761">
        <f t="shared" si="168"/>
        <v>16.24</v>
      </c>
      <c r="AM1761">
        <f t="shared" si="169"/>
        <v>2.76</v>
      </c>
      <c r="AN1761" s="4">
        <f t="shared" si="170"/>
        <v>0.145263157894737</v>
      </c>
      <c r="AO1761" t="s">
        <v>221</v>
      </c>
      <c r="AQ1761" t="s">
        <v>217</v>
      </c>
      <c r="AT1761" t="s">
        <v>558</v>
      </c>
    </row>
    <row r="1762" ht="15.75" customHeight="1" spans="1:46">
      <c r="A1762" t="s">
        <v>2736</v>
      </c>
      <c r="B1762" t="s">
        <v>67</v>
      </c>
      <c r="C1762" t="s">
        <v>2351</v>
      </c>
      <c r="D1762" t="s">
        <v>2480</v>
      </c>
      <c r="E1762" t="s">
        <v>2423</v>
      </c>
      <c r="F1762" t="s">
        <v>2737</v>
      </c>
      <c r="H1762" t="s">
        <v>2355</v>
      </c>
      <c r="I1762" t="s">
        <v>2360</v>
      </c>
      <c r="Q1762" t="s">
        <v>57</v>
      </c>
      <c r="R1762" t="s">
        <v>2740</v>
      </c>
      <c r="Y1762" t="s">
        <v>2739</v>
      </c>
      <c r="Z1762">
        <v>3917</v>
      </c>
      <c r="AE1762">
        <v>20</v>
      </c>
      <c r="AF1762" s="4">
        <v>0.37</v>
      </c>
      <c r="AG1762">
        <f t="shared" si="171"/>
        <v>12.6</v>
      </c>
      <c r="AH1762" s="4">
        <v>0.18</v>
      </c>
      <c r="AI1762">
        <f t="shared" si="166"/>
        <v>14.87</v>
      </c>
      <c r="AJ1762" s="4">
        <v>0.15</v>
      </c>
      <c r="AK1762">
        <f t="shared" si="167"/>
        <v>2.23</v>
      </c>
      <c r="AL1762">
        <f t="shared" si="168"/>
        <v>17.1</v>
      </c>
      <c r="AM1762">
        <f t="shared" si="169"/>
        <v>2.9</v>
      </c>
      <c r="AN1762" s="4">
        <f t="shared" si="170"/>
        <v>0.145</v>
      </c>
      <c r="AO1762" t="s">
        <v>221</v>
      </c>
      <c r="AQ1762" t="s">
        <v>217</v>
      </c>
      <c r="AT1762" t="s">
        <v>558</v>
      </c>
    </row>
    <row r="1763" ht="15.75" customHeight="1" spans="1:46">
      <c r="A1763" t="s">
        <v>2736</v>
      </c>
      <c r="B1763" t="s">
        <v>71</v>
      </c>
      <c r="C1763" t="s">
        <v>2351</v>
      </c>
      <c r="D1763" t="s">
        <v>2480</v>
      </c>
      <c r="E1763" t="s">
        <v>2423</v>
      </c>
      <c r="F1763" t="s">
        <v>2737</v>
      </c>
      <c r="H1763" t="s">
        <v>2355</v>
      </c>
      <c r="I1763" t="s">
        <v>2363</v>
      </c>
      <c r="Q1763" t="s">
        <v>57</v>
      </c>
      <c r="R1763" t="s">
        <v>2741</v>
      </c>
      <c r="Y1763" t="s">
        <v>2739</v>
      </c>
      <c r="Z1763">
        <v>3917</v>
      </c>
      <c r="AE1763">
        <v>39</v>
      </c>
      <c r="AF1763" s="4">
        <v>0.37</v>
      </c>
      <c r="AG1763">
        <f t="shared" si="171"/>
        <v>24.57</v>
      </c>
      <c r="AH1763" s="4">
        <v>0.18</v>
      </c>
      <c r="AI1763">
        <f t="shared" si="166"/>
        <v>28.99</v>
      </c>
      <c r="AJ1763" s="4">
        <v>0.15</v>
      </c>
      <c r="AK1763">
        <f t="shared" si="167"/>
        <v>4.35</v>
      </c>
      <c r="AL1763">
        <f t="shared" si="168"/>
        <v>33.34</v>
      </c>
      <c r="AM1763">
        <f t="shared" si="169"/>
        <v>5.66</v>
      </c>
      <c r="AN1763" s="4">
        <f t="shared" si="170"/>
        <v>0.145128205128205</v>
      </c>
      <c r="AO1763" t="s">
        <v>221</v>
      </c>
      <c r="AQ1763" t="s">
        <v>217</v>
      </c>
      <c r="AT1763" t="s">
        <v>558</v>
      </c>
    </row>
    <row r="1764" ht="15.75" customHeight="1" spans="1:46">
      <c r="A1764" t="s">
        <v>2736</v>
      </c>
      <c r="B1764" t="s">
        <v>75</v>
      </c>
      <c r="C1764" t="s">
        <v>2351</v>
      </c>
      <c r="D1764" t="s">
        <v>2480</v>
      </c>
      <c r="E1764" t="s">
        <v>2423</v>
      </c>
      <c r="F1764" t="s">
        <v>2737</v>
      </c>
      <c r="H1764" t="s">
        <v>2355</v>
      </c>
      <c r="I1764" t="s">
        <v>2365</v>
      </c>
      <c r="Q1764" t="s">
        <v>57</v>
      </c>
      <c r="R1764" t="s">
        <v>2742</v>
      </c>
      <c r="Y1764" t="s">
        <v>2739</v>
      </c>
      <c r="Z1764">
        <v>3917</v>
      </c>
      <c r="AE1764">
        <v>90</v>
      </c>
      <c r="AF1764" s="4">
        <v>0.37</v>
      </c>
      <c r="AG1764">
        <f t="shared" si="171"/>
        <v>56.7</v>
      </c>
      <c r="AH1764" s="4">
        <v>0.18</v>
      </c>
      <c r="AI1764">
        <f t="shared" si="166"/>
        <v>66.91</v>
      </c>
      <c r="AJ1764" s="4">
        <v>0.15</v>
      </c>
      <c r="AK1764">
        <f t="shared" si="167"/>
        <v>10.04</v>
      </c>
      <c r="AL1764">
        <f t="shared" si="168"/>
        <v>76.95</v>
      </c>
      <c r="AM1764">
        <f t="shared" si="169"/>
        <v>13.05</v>
      </c>
      <c r="AN1764" s="4">
        <f t="shared" si="170"/>
        <v>0.145</v>
      </c>
      <c r="AO1764" t="s">
        <v>221</v>
      </c>
      <c r="AQ1764" t="s">
        <v>217</v>
      </c>
      <c r="AT1764" t="s">
        <v>558</v>
      </c>
    </row>
    <row r="1765" ht="15.75" customHeight="1" spans="1:46">
      <c r="A1765" t="s">
        <v>2736</v>
      </c>
      <c r="B1765" t="s">
        <v>79</v>
      </c>
      <c r="C1765" t="s">
        <v>2351</v>
      </c>
      <c r="D1765" t="s">
        <v>2480</v>
      </c>
      <c r="E1765" t="s">
        <v>2423</v>
      </c>
      <c r="F1765" t="s">
        <v>2737</v>
      </c>
      <c r="H1765" t="s">
        <v>2355</v>
      </c>
      <c r="I1765" t="s">
        <v>2367</v>
      </c>
      <c r="Q1765" t="s">
        <v>57</v>
      </c>
      <c r="R1765" t="s">
        <v>2743</v>
      </c>
      <c r="Y1765" t="s">
        <v>2739</v>
      </c>
      <c r="Z1765">
        <v>3917</v>
      </c>
      <c r="AE1765">
        <v>140</v>
      </c>
      <c r="AF1765" s="4">
        <v>0.37</v>
      </c>
      <c r="AG1765">
        <f t="shared" si="171"/>
        <v>88.2</v>
      </c>
      <c r="AH1765" s="4">
        <v>0.18</v>
      </c>
      <c r="AI1765">
        <f t="shared" si="166"/>
        <v>104.08</v>
      </c>
      <c r="AJ1765" s="4">
        <v>0.15</v>
      </c>
      <c r="AK1765">
        <f t="shared" si="167"/>
        <v>15.61</v>
      </c>
      <c r="AL1765">
        <f t="shared" si="168"/>
        <v>119.69</v>
      </c>
      <c r="AM1765">
        <f t="shared" si="169"/>
        <v>20.31</v>
      </c>
      <c r="AN1765" s="4">
        <f t="shared" si="170"/>
        <v>0.145071428571429</v>
      </c>
      <c r="AO1765" t="s">
        <v>221</v>
      </c>
      <c r="AQ1765" t="s">
        <v>217</v>
      </c>
      <c r="AT1765" t="s">
        <v>558</v>
      </c>
    </row>
    <row r="1766" ht="15.75" customHeight="1" spans="1:46">
      <c r="A1766" t="s">
        <v>2736</v>
      </c>
      <c r="B1766" t="s">
        <v>83</v>
      </c>
      <c r="C1766" t="s">
        <v>2351</v>
      </c>
      <c r="D1766" t="s">
        <v>2480</v>
      </c>
      <c r="E1766" t="s">
        <v>2423</v>
      </c>
      <c r="F1766" t="s">
        <v>2737</v>
      </c>
      <c r="H1766" t="s">
        <v>2355</v>
      </c>
      <c r="I1766" t="s">
        <v>2369</v>
      </c>
      <c r="Q1766" t="s">
        <v>57</v>
      </c>
      <c r="R1766" t="s">
        <v>2744</v>
      </c>
      <c r="Y1766" t="s">
        <v>2739</v>
      </c>
      <c r="Z1766">
        <v>3917</v>
      </c>
      <c r="AE1766">
        <v>333</v>
      </c>
      <c r="AF1766" s="4">
        <v>0.37</v>
      </c>
      <c r="AG1766">
        <f t="shared" si="171"/>
        <v>209.79</v>
      </c>
      <c r="AH1766" s="4">
        <v>0.18</v>
      </c>
      <c r="AI1766">
        <f t="shared" si="166"/>
        <v>247.55</v>
      </c>
      <c r="AJ1766" s="4">
        <v>0.15</v>
      </c>
      <c r="AK1766">
        <f t="shared" si="167"/>
        <v>37.13</v>
      </c>
      <c r="AL1766">
        <f t="shared" si="168"/>
        <v>284.68</v>
      </c>
      <c r="AM1766">
        <f t="shared" si="169"/>
        <v>48.32</v>
      </c>
      <c r="AN1766" s="4">
        <f t="shared" si="170"/>
        <v>0.145105105105105</v>
      </c>
      <c r="AO1766" t="s">
        <v>221</v>
      </c>
      <c r="AQ1766" t="s">
        <v>217</v>
      </c>
      <c r="AT1766" t="s">
        <v>558</v>
      </c>
    </row>
    <row r="1767" ht="15.75" customHeight="1" spans="1:46">
      <c r="A1767" t="s">
        <v>2736</v>
      </c>
      <c r="B1767" t="s">
        <v>131</v>
      </c>
      <c r="C1767" t="s">
        <v>2351</v>
      </c>
      <c r="D1767" t="s">
        <v>2480</v>
      </c>
      <c r="E1767" t="s">
        <v>2423</v>
      </c>
      <c r="F1767" t="s">
        <v>2737</v>
      </c>
      <c r="H1767" t="s">
        <v>2355</v>
      </c>
      <c r="I1767" t="s">
        <v>2380</v>
      </c>
      <c r="Q1767" t="s">
        <v>57</v>
      </c>
      <c r="R1767" t="s">
        <v>2745</v>
      </c>
      <c r="Y1767" t="s">
        <v>2739</v>
      </c>
      <c r="Z1767">
        <v>3917</v>
      </c>
      <c r="AE1767">
        <v>795</v>
      </c>
      <c r="AF1767" s="4">
        <v>0.37</v>
      </c>
      <c r="AG1767">
        <f t="shared" si="171"/>
        <v>500.85</v>
      </c>
      <c r="AH1767" s="4">
        <v>0.18</v>
      </c>
      <c r="AI1767">
        <f t="shared" si="166"/>
        <v>591</v>
      </c>
      <c r="AJ1767" s="4">
        <v>0.15</v>
      </c>
      <c r="AK1767">
        <f t="shared" si="167"/>
        <v>88.65</v>
      </c>
      <c r="AL1767">
        <f t="shared" si="168"/>
        <v>679.65</v>
      </c>
      <c r="AM1767">
        <f t="shared" si="169"/>
        <v>115.35</v>
      </c>
      <c r="AN1767" s="4">
        <f t="shared" si="170"/>
        <v>0.145094339622642</v>
      </c>
      <c r="AO1767" t="s">
        <v>221</v>
      </c>
      <c r="AQ1767" t="s">
        <v>217</v>
      </c>
      <c r="AT1767" t="s">
        <v>558</v>
      </c>
    </row>
    <row r="1768" ht="15.75" customHeight="1" spans="1:46">
      <c r="A1768" t="s">
        <v>2736</v>
      </c>
      <c r="B1768" t="s">
        <v>133</v>
      </c>
      <c r="C1768" t="s">
        <v>2351</v>
      </c>
      <c r="D1768" t="s">
        <v>2480</v>
      </c>
      <c r="E1768" t="s">
        <v>2423</v>
      </c>
      <c r="F1768" t="s">
        <v>2737</v>
      </c>
      <c r="H1768" t="s">
        <v>2355</v>
      </c>
      <c r="I1768" t="s">
        <v>2383</v>
      </c>
      <c r="Q1768" t="s">
        <v>57</v>
      </c>
      <c r="R1768" t="s">
        <v>2746</v>
      </c>
      <c r="Y1768" t="s">
        <v>2739</v>
      </c>
      <c r="Z1768">
        <v>3917</v>
      </c>
      <c r="AE1768">
        <v>1265</v>
      </c>
      <c r="AF1768" s="4">
        <v>0.37</v>
      </c>
      <c r="AG1768">
        <f t="shared" si="171"/>
        <v>796.95</v>
      </c>
      <c r="AH1768" s="4">
        <v>0.18</v>
      </c>
      <c r="AI1768">
        <f t="shared" si="166"/>
        <v>940.4</v>
      </c>
      <c r="AJ1768" s="4">
        <v>0.15</v>
      </c>
      <c r="AK1768">
        <f t="shared" si="167"/>
        <v>141.06</v>
      </c>
      <c r="AL1768">
        <f t="shared" si="168"/>
        <v>1081.46</v>
      </c>
      <c r="AM1768">
        <f t="shared" si="169"/>
        <v>183.54</v>
      </c>
      <c r="AN1768" s="4">
        <f t="shared" si="170"/>
        <v>0.145090909090909</v>
      </c>
      <c r="AO1768" t="s">
        <v>221</v>
      </c>
      <c r="AQ1768" t="s">
        <v>217</v>
      </c>
      <c r="AT1768" t="s">
        <v>558</v>
      </c>
    </row>
    <row r="1769" ht="15.75" customHeight="1" spans="1:46">
      <c r="A1769" t="s">
        <v>2736</v>
      </c>
      <c r="B1769" t="s">
        <v>135</v>
      </c>
      <c r="C1769" t="s">
        <v>2351</v>
      </c>
      <c r="D1769" t="s">
        <v>2480</v>
      </c>
      <c r="E1769" t="s">
        <v>2423</v>
      </c>
      <c r="F1769" t="s">
        <v>2737</v>
      </c>
      <c r="H1769" t="s">
        <v>2355</v>
      </c>
      <c r="I1769" t="s">
        <v>2385</v>
      </c>
      <c r="Q1769" t="s">
        <v>57</v>
      </c>
      <c r="R1769" t="s">
        <v>2747</v>
      </c>
      <c r="Y1769" t="s">
        <v>2739</v>
      </c>
      <c r="Z1769">
        <v>3917</v>
      </c>
      <c r="AE1769">
        <v>2098</v>
      </c>
      <c r="AF1769" s="4">
        <v>0.37</v>
      </c>
      <c r="AG1769">
        <f t="shared" si="171"/>
        <v>1321.74</v>
      </c>
      <c r="AH1769" s="4">
        <v>0.18</v>
      </c>
      <c r="AI1769">
        <f t="shared" si="166"/>
        <v>1559.65</v>
      </c>
      <c r="AJ1769" s="4">
        <v>0.15</v>
      </c>
      <c r="AK1769">
        <f t="shared" si="167"/>
        <v>233.95</v>
      </c>
      <c r="AL1769">
        <f t="shared" si="168"/>
        <v>1793.6</v>
      </c>
      <c r="AM1769">
        <f t="shared" si="169"/>
        <v>304.4</v>
      </c>
      <c r="AN1769" s="4">
        <f t="shared" si="170"/>
        <v>0.145090562440419</v>
      </c>
      <c r="AO1769" t="s">
        <v>221</v>
      </c>
      <c r="AQ1769" t="s">
        <v>217</v>
      </c>
      <c r="AT1769" t="s">
        <v>558</v>
      </c>
    </row>
    <row r="1770" ht="15.75" customHeight="1" spans="1:46">
      <c r="A1770" t="s">
        <v>2736</v>
      </c>
      <c r="B1770" t="s">
        <v>137</v>
      </c>
      <c r="C1770" t="s">
        <v>2351</v>
      </c>
      <c r="D1770" t="s">
        <v>2480</v>
      </c>
      <c r="E1770" t="s">
        <v>2423</v>
      </c>
      <c r="F1770" t="s">
        <v>2737</v>
      </c>
      <c r="H1770" t="s">
        <v>2355</v>
      </c>
      <c r="I1770" t="s">
        <v>2387</v>
      </c>
      <c r="Q1770" t="s">
        <v>57</v>
      </c>
      <c r="R1770" t="s">
        <v>2748</v>
      </c>
      <c r="Y1770" t="s">
        <v>2739</v>
      </c>
      <c r="Z1770">
        <v>3917</v>
      </c>
      <c r="AE1770">
        <v>4968</v>
      </c>
      <c r="AF1770" s="4">
        <v>0.37</v>
      </c>
      <c r="AG1770">
        <f t="shared" si="171"/>
        <v>3129.84</v>
      </c>
      <c r="AH1770" s="4">
        <v>0.18</v>
      </c>
      <c r="AI1770">
        <f t="shared" si="166"/>
        <v>3693.21</v>
      </c>
      <c r="AJ1770" s="4">
        <v>0.15</v>
      </c>
      <c r="AK1770">
        <f t="shared" si="167"/>
        <v>553.98</v>
      </c>
      <c r="AL1770">
        <f t="shared" si="168"/>
        <v>4247.19</v>
      </c>
      <c r="AM1770">
        <f t="shared" si="169"/>
        <v>720.809999999999</v>
      </c>
      <c r="AN1770" s="4">
        <f t="shared" si="170"/>
        <v>0.145090579710145</v>
      </c>
      <c r="AO1770" t="s">
        <v>221</v>
      </c>
      <c r="AQ1770" t="s">
        <v>217</v>
      </c>
      <c r="AT1770" t="s">
        <v>558</v>
      </c>
    </row>
    <row r="1771" ht="15.75" customHeight="1" spans="1:46">
      <c r="A1771" t="s">
        <v>2749</v>
      </c>
      <c r="B1771" t="s">
        <v>46</v>
      </c>
      <c r="C1771" t="s">
        <v>2351</v>
      </c>
      <c r="D1771" t="s">
        <v>2480</v>
      </c>
      <c r="E1771" t="s">
        <v>2423</v>
      </c>
      <c r="F1771" t="s">
        <v>2750</v>
      </c>
      <c r="H1771" t="s">
        <v>2355</v>
      </c>
      <c r="I1771" t="s">
        <v>2356</v>
      </c>
      <c r="Q1771" t="s">
        <v>57</v>
      </c>
      <c r="R1771" t="s">
        <v>2751</v>
      </c>
      <c r="Y1771" t="s">
        <v>2752</v>
      </c>
      <c r="Z1771">
        <v>3917</v>
      </c>
      <c r="AE1771">
        <v>24</v>
      </c>
      <c r="AF1771" s="4">
        <v>0.37</v>
      </c>
      <c r="AG1771">
        <f t="shared" si="171"/>
        <v>15.12</v>
      </c>
      <c r="AH1771" s="4">
        <v>0.18</v>
      </c>
      <c r="AI1771">
        <f t="shared" si="166"/>
        <v>17.84</v>
      </c>
      <c r="AJ1771" s="4">
        <v>0.15</v>
      </c>
      <c r="AK1771">
        <f t="shared" si="167"/>
        <v>2.68</v>
      </c>
      <c r="AL1771">
        <f t="shared" si="168"/>
        <v>20.52</v>
      </c>
      <c r="AM1771">
        <f t="shared" si="169"/>
        <v>3.48</v>
      </c>
      <c r="AN1771" s="4">
        <f t="shared" si="170"/>
        <v>0.145</v>
      </c>
      <c r="AO1771" t="s">
        <v>221</v>
      </c>
      <c r="AQ1771" t="s">
        <v>217</v>
      </c>
      <c r="AT1771" t="s">
        <v>558</v>
      </c>
    </row>
    <row r="1772" ht="15.75" customHeight="1" spans="1:46">
      <c r="A1772" t="s">
        <v>2749</v>
      </c>
      <c r="B1772" t="s">
        <v>67</v>
      </c>
      <c r="C1772" t="s">
        <v>2351</v>
      </c>
      <c r="D1772" t="s">
        <v>2480</v>
      </c>
      <c r="E1772" t="s">
        <v>2423</v>
      </c>
      <c r="F1772" t="s">
        <v>2750</v>
      </c>
      <c r="H1772" t="s">
        <v>2355</v>
      </c>
      <c r="I1772" t="s">
        <v>2360</v>
      </c>
      <c r="Q1772" t="s">
        <v>57</v>
      </c>
      <c r="R1772" t="s">
        <v>2753</v>
      </c>
      <c r="Y1772" t="s">
        <v>2752</v>
      </c>
      <c r="Z1772">
        <v>3917</v>
      </c>
      <c r="AE1772">
        <v>34</v>
      </c>
      <c r="AF1772" s="4">
        <v>0.37</v>
      </c>
      <c r="AG1772">
        <f t="shared" si="171"/>
        <v>21.42</v>
      </c>
      <c r="AH1772" s="4">
        <v>0.18</v>
      </c>
      <c r="AI1772">
        <f t="shared" si="166"/>
        <v>25.28</v>
      </c>
      <c r="AJ1772" s="4">
        <v>0.15</v>
      </c>
      <c r="AK1772">
        <f t="shared" si="167"/>
        <v>3.79</v>
      </c>
      <c r="AL1772">
        <f t="shared" si="168"/>
        <v>29.07</v>
      </c>
      <c r="AM1772">
        <f t="shared" si="169"/>
        <v>4.93</v>
      </c>
      <c r="AN1772" s="4">
        <f t="shared" si="170"/>
        <v>0.145</v>
      </c>
      <c r="AO1772" t="s">
        <v>221</v>
      </c>
      <c r="AQ1772" t="s">
        <v>217</v>
      </c>
      <c r="AT1772" t="s">
        <v>558</v>
      </c>
    </row>
    <row r="1773" ht="15.75" customHeight="1" spans="1:46">
      <c r="A1773" t="s">
        <v>2749</v>
      </c>
      <c r="B1773" t="s">
        <v>71</v>
      </c>
      <c r="C1773" t="s">
        <v>2351</v>
      </c>
      <c r="D1773" t="s">
        <v>2480</v>
      </c>
      <c r="E1773" t="s">
        <v>2423</v>
      </c>
      <c r="F1773" t="s">
        <v>2750</v>
      </c>
      <c r="H1773" t="s">
        <v>2355</v>
      </c>
      <c r="I1773" t="s">
        <v>2363</v>
      </c>
      <c r="Q1773" t="s">
        <v>57</v>
      </c>
      <c r="R1773" t="s">
        <v>2754</v>
      </c>
      <c r="Y1773" t="s">
        <v>2752</v>
      </c>
      <c r="Z1773">
        <v>3917</v>
      </c>
      <c r="AE1773">
        <v>62</v>
      </c>
      <c r="AF1773" s="4">
        <v>0.37</v>
      </c>
      <c r="AG1773">
        <f t="shared" si="171"/>
        <v>39.06</v>
      </c>
      <c r="AH1773" s="4">
        <v>0.18</v>
      </c>
      <c r="AI1773">
        <f t="shared" si="166"/>
        <v>46.09</v>
      </c>
      <c r="AJ1773" s="4">
        <v>0.15</v>
      </c>
      <c r="AK1773">
        <f t="shared" si="167"/>
        <v>6.91</v>
      </c>
      <c r="AL1773">
        <f t="shared" si="168"/>
        <v>53</v>
      </c>
      <c r="AM1773">
        <f t="shared" si="169"/>
        <v>9</v>
      </c>
      <c r="AN1773" s="4">
        <f t="shared" si="170"/>
        <v>0.145161290322581</v>
      </c>
      <c r="AO1773" t="s">
        <v>221</v>
      </c>
      <c r="AQ1773" t="s">
        <v>217</v>
      </c>
      <c r="AT1773" t="s">
        <v>558</v>
      </c>
    </row>
    <row r="1774" ht="15.75" customHeight="1" spans="1:46">
      <c r="A1774" t="s">
        <v>2749</v>
      </c>
      <c r="B1774" t="s">
        <v>75</v>
      </c>
      <c r="C1774" t="s">
        <v>2351</v>
      </c>
      <c r="D1774" t="s">
        <v>2480</v>
      </c>
      <c r="E1774" t="s">
        <v>2423</v>
      </c>
      <c r="F1774" t="s">
        <v>2750</v>
      </c>
      <c r="H1774" t="s">
        <v>2355</v>
      </c>
      <c r="I1774" t="s">
        <v>2365</v>
      </c>
      <c r="Q1774" t="s">
        <v>57</v>
      </c>
      <c r="R1774" t="s">
        <v>2755</v>
      </c>
      <c r="Y1774" t="s">
        <v>2752</v>
      </c>
      <c r="Z1774">
        <v>3917</v>
      </c>
      <c r="AE1774">
        <v>126</v>
      </c>
      <c r="AF1774" s="4">
        <v>0.37</v>
      </c>
      <c r="AG1774">
        <f t="shared" si="171"/>
        <v>79.38</v>
      </c>
      <c r="AH1774" s="4">
        <v>0.18</v>
      </c>
      <c r="AI1774">
        <f t="shared" si="166"/>
        <v>93.67</v>
      </c>
      <c r="AJ1774" s="4">
        <v>0.15</v>
      </c>
      <c r="AK1774">
        <f t="shared" si="167"/>
        <v>14.05</v>
      </c>
      <c r="AL1774">
        <f t="shared" si="168"/>
        <v>107.72</v>
      </c>
      <c r="AM1774">
        <f t="shared" si="169"/>
        <v>18.28</v>
      </c>
      <c r="AN1774" s="4">
        <f t="shared" si="170"/>
        <v>0.145079365079365</v>
      </c>
      <c r="AO1774" t="s">
        <v>221</v>
      </c>
      <c r="AQ1774" t="s">
        <v>217</v>
      </c>
      <c r="AT1774" t="s">
        <v>558</v>
      </c>
    </row>
    <row r="1775" ht="15.75" customHeight="1" spans="1:46">
      <c r="A1775" t="s">
        <v>2749</v>
      </c>
      <c r="B1775" t="s">
        <v>79</v>
      </c>
      <c r="C1775" t="s">
        <v>2351</v>
      </c>
      <c r="D1775" t="s">
        <v>2480</v>
      </c>
      <c r="E1775" t="s">
        <v>2423</v>
      </c>
      <c r="F1775" t="s">
        <v>2750</v>
      </c>
      <c r="H1775" t="s">
        <v>2355</v>
      </c>
      <c r="I1775" t="s">
        <v>2367</v>
      </c>
      <c r="Q1775" t="s">
        <v>57</v>
      </c>
      <c r="R1775" t="s">
        <v>2756</v>
      </c>
      <c r="Y1775" t="s">
        <v>2752</v>
      </c>
      <c r="Z1775">
        <v>3917</v>
      </c>
      <c r="AE1775">
        <v>215</v>
      </c>
      <c r="AF1775" s="4">
        <v>0.37</v>
      </c>
      <c r="AG1775">
        <f t="shared" si="171"/>
        <v>135.45</v>
      </c>
      <c r="AH1775" s="4">
        <v>0.18</v>
      </c>
      <c r="AI1775">
        <f t="shared" si="166"/>
        <v>159.83</v>
      </c>
      <c r="AJ1775" s="4">
        <v>0.15</v>
      </c>
      <c r="AK1775">
        <f t="shared" si="167"/>
        <v>23.97</v>
      </c>
      <c r="AL1775">
        <f t="shared" si="168"/>
        <v>183.8</v>
      </c>
      <c r="AM1775">
        <f t="shared" si="169"/>
        <v>31.2</v>
      </c>
      <c r="AN1775" s="4">
        <f t="shared" si="170"/>
        <v>0.145116279069767</v>
      </c>
      <c r="AO1775" t="s">
        <v>221</v>
      </c>
      <c r="AQ1775" t="s">
        <v>217</v>
      </c>
      <c r="AT1775" t="s">
        <v>558</v>
      </c>
    </row>
    <row r="1776" ht="15.75" customHeight="1" spans="1:46">
      <c r="A1776" t="s">
        <v>2749</v>
      </c>
      <c r="B1776" t="s">
        <v>83</v>
      </c>
      <c r="C1776" t="s">
        <v>2351</v>
      </c>
      <c r="D1776" t="s">
        <v>2480</v>
      </c>
      <c r="E1776" t="s">
        <v>2423</v>
      </c>
      <c r="F1776" t="s">
        <v>2750</v>
      </c>
      <c r="H1776" t="s">
        <v>2355</v>
      </c>
      <c r="I1776" t="s">
        <v>2369</v>
      </c>
      <c r="Q1776" t="s">
        <v>57</v>
      </c>
      <c r="R1776" t="s">
        <v>2757</v>
      </c>
      <c r="Y1776" t="s">
        <v>2752</v>
      </c>
      <c r="Z1776">
        <v>3917</v>
      </c>
      <c r="AE1776">
        <v>440</v>
      </c>
      <c r="AF1776" s="4">
        <v>0.37</v>
      </c>
      <c r="AG1776">
        <f t="shared" si="171"/>
        <v>277.2</v>
      </c>
      <c r="AH1776" s="4">
        <v>0.18</v>
      </c>
      <c r="AI1776">
        <f t="shared" si="166"/>
        <v>327.1</v>
      </c>
      <c r="AJ1776" s="4">
        <v>0.15</v>
      </c>
      <c r="AK1776">
        <f t="shared" si="167"/>
        <v>49.07</v>
      </c>
      <c r="AL1776">
        <f t="shared" si="168"/>
        <v>376.17</v>
      </c>
      <c r="AM1776">
        <f t="shared" si="169"/>
        <v>63.83</v>
      </c>
      <c r="AN1776" s="4">
        <f t="shared" si="170"/>
        <v>0.145068181818182</v>
      </c>
      <c r="AO1776" t="s">
        <v>221</v>
      </c>
      <c r="AQ1776" t="s">
        <v>217</v>
      </c>
      <c r="AT1776" t="s">
        <v>558</v>
      </c>
    </row>
    <row r="1777" ht="15.75" customHeight="1" spans="1:46">
      <c r="A1777" t="s">
        <v>2749</v>
      </c>
      <c r="B1777" t="s">
        <v>131</v>
      </c>
      <c r="C1777" t="s">
        <v>2351</v>
      </c>
      <c r="D1777" t="s">
        <v>2480</v>
      </c>
      <c r="E1777" t="s">
        <v>2423</v>
      </c>
      <c r="F1777" t="s">
        <v>2750</v>
      </c>
      <c r="H1777" t="s">
        <v>2355</v>
      </c>
      <c r="I1777" t="s">
        <v>2380</v>
      </c>
      <c r="Q1777" t="s">
        <v>57</v>
      </c>
      <c r="R1777" t="s">
        <v>2758</v>
      </c>
      <c r="Y1777" t="s">
        <v>2752</v>
      </c>
      <c r="Z1777">
        <v>3917</v>
      </c>
      <c r="AE1777">
        <v>1083</v>
      </c>
      <c r="AF1777" s="4">
        <v>0.37</v>
      </c>
      <c r="AG1777">
        <f t="shared" si="171"/>
        <v>682.29</v>
      </c>
      <c r="AH1777" s="4">
        <v>0.18</v>
      </c>
      <c r="AI1777">
        <f t="shared" si="166"/>
        <v>805.1</v>
      </c>
      <c r="AJ1777" s="4">
        <v>0.15</v>
      </c>
      <c r="AK1777">
        <f t="shared" si="167"/>
        <v>120.77</v>
      </c>
      <c r="AL1777">
        <f t="shared" si="168"/>
        <v>925.87</v>
      </c>
      <c r="AM1777">
        <f t="shared" si="169"/>
        <v>157.13</v>
      </c>
      <c r="AN1777" s="4">
        <f t="shared" si="170"/>
        <v>0.145087719298246</v>
      </c>
      <c r="AO1777" t="s">
        <v>221</v>
      </c>
      <c r="AQ1777" t="s">
        <v>217</v>
      </c>
      <c r="AT1777" t="s">
        <v>558</v>
      </c>
    </row>
    <row r="1778" ht="15.75" customHeight="1" spans="1:46">
      <c r="A1778" t="s">
        <v>2749</v>
      </c>
      <c r="B1778" t="s">
        <v>133</v>
      </c>
      <c r="C1778" t="s">
        <v>2351</v>
      </c>
      <c r="D1778" t="s">
        <v>2480</v>
      </c>
      <c r="E1778" t="s">
        <v>2423</v>
      </c>
      <c r="F1778" t="s">
        <v>2750</v>
      </c>
      <c r="H1778" t="s">
        <v>2355</v>
      </c>
      <c r="I1778" t="s">
        <v>2383</v>
      </c>
      <c r="Q1778" t="s">
        <v>57</v>
      </c>
      <c r="R1778" t="s">
        <v>2759</v>
      </c>
      <c r="Y1778" t="s">
        <v>2752</v>
      </c>
      <c r="Z1778">
        <v>3917</v>
      </c>
      <c r="AE1778">
        <v>1596</v>
      </c>
      <c r="AF1778" s="4">
        <v>0.37</v>
      </c>
      <c r="AG1778">
        <f t="shared" si="171"/>
        <v>1005.48</v>
      </c>
      <c r="AH1778" s="4">
        <v>0.18</v>
      </c>
      <c r="AI1778">
        <f t="shared" si="166"/>
        <v>1186.47</v>
      </c>
      <c r="AJ1778" s="4">
        <v>0.15</v>
      </c>
      <c r="AK1778">
        <f t="shared" si="167"/>
        <v>177.97</v>
      </c>
      <c r="AL1778">
        <f t="shared" si="168"/>
        <v>1364.44</v>
      </c>
      <c r="AM1778">
        <f t="shared" si="169"/>
        <v>231.56</v>
      </c>
      <c r="AN1778" s="4">
        <f t="shared" si="170"/>
        <v>0.145087719298246</v>
      </c>
      <c r="AO1778" t="s">
        <v>221</v>
      </c>
      <c r="AQ1778" t="s">
        <v>217</v>
      </c>
      <c r="AT1778" t="s">
        <v>558</v>
      </c>
    </row>
    <row r="1779" ht="15.75" customHeight="1" spans="1:46">
      <c r="A1779" t="s">
        <v>2749</v>
      </c>
      <c r="B1779" t="s">
        <v>135</v>
      </c>
      <c r="C1779" t="s">
        <v>2351</v>
      </c>
      <c r="D1779" t="s">
        <v>2480</v>
      </c>
      <c r="E1779" t="s">
        <v>2423</v>
      </c>
      <c r="F1779" t="s">
        <v>2750</v>
      </c>
      <c r="H1779" t="s">
        <v>2355</v>
      </c>
      <c r="I1779" t="s">
        <v>2385</v>
      </c>
      <c r="Q1779" t="s">
        <v>57</v>
      </c>
      <c r="R1779" t="s">
        <v>2760</v>
      </c>
      <c r="Y1779" t="s">
        <v>2752</v>
      </c>
      <c r="Z1779">
        <v>3917</v>
      </c>
      <c r="AE1779">
        <v>2571</v>
      </c>
      <c r="AF1779" s="4">
        <v>0.37</v>
      </c>
      <c r="AG1779">
        <f t="shared" si="171"/>
        <v>1619.73</v>
      </c>
      <c r="AH1779" s="4">
        <v>0.18</v>
      </c>
      <c r="AI1779">
        <f t="shared" si="166"/>
        <v>1911.28</v>
      </c>
      <c r="AJ1779" s="4">
        <v>0.15</v>
      </c>
      <c r="AK1779">
        <f t="shared" si="167"/>
        <v>286.69</v>
      </c>
      <c r="AL1779">
        <f t="shared" si="168"/>
        <v>2197.97</v>
      </c>
      <c r="AM1779">
        <f t="shared" si="169"/>
        <v>373.03</v>
      </c>
      <c r="AN1779" s="4">
        <f t="shared" si="170"/>
        <v>0.145091404122909</v>
      </c>
      <c r="AO1779" t="s">
        <v>221</v>
      </c>
      <c r="AQ1779" t="s">
        <v>217</v>
      </c>
      <c r="AT1779" t="s">
        <v>558</v>
      </c>
    </row>
    <row r="1780" ht="15.75" customHeight="1" spans="1:46">
      <c r="A1780" t="s">
        <v>2749</v>
      </c>
      <c r="B1780" t="s">
        <v>137</v>
      </c>
      <c r="C1780" t="s">
        <v>2351</v>
      </c>
      <c r="D1780" t="s">
        <v>2480</v>
      </c>
      <c r="E1780" t="s">
        <v>2423</v>
      </c>
      <c r="F1780" t="s">
        <v>2750</v>
      </c>
      <c r="H1780" t="s">
        <v>2355</v>
      </c>
      <c r="I1780" t="s">
        <v>2387</v>
      </c>
      <c r="Q1780" t="s">
        <v>57</v>
      </c>
      <c r="R1780" t="s">
        <v>2761</v>
      </c>
      <c r="Y1780" t="s">
        <v>2752</v>
      </c>
      <c r="Z1780">
        <v>3917</v>
      </c>
      <c r="AE1780">
        <v>4271</v>
      </c>
      <c r="AF1780" s="4">
        <v>0.37</v>
      </c>
      <c r="AG1780">
        <f t="shared" si="171"/>
        <v>2690.73</v>
      </c>
      <c r="AH1780" s="4">
        <v>0.18</v>
      </c>
      <c r="AI1780">
        <f t="shared" si="166"/>
        <v>3175.06</v>
      </c>
      <c r="AJ1780" s="4">
        <v>0.15</v>
      </c>
      <c r="AK1780">
        <f t="shared" si="167"/>
        <v>476.26</v>
      </c>
      <c r="AL1780">
        <f t="shared" si="168"/>
        <v>3651.32</v>
      </c>
      <c r="AM1780">
        <f t="shared" si="169"/>
        <v>619.68</v>
      </c>
      <c r="AN1780" s="4">
        <f t="shared" si="170"/>
        <v>0.145090142823695</v>
      </c>
      <c r="AO1780" t="s">
        <v>221</v>
      </c>
      <c r="AQ1780" t="s">
        <v>217</v>
      </c>
      <c r="AT1780" t="s">
        <v>558</v>
      </c>
    </row>
    <row r="1781" ht="15.75" customHeight="1" spans="1:46">
      <c r="A1781" t="s">
        <v>2749</v>
      </c>
      <c r="B1781" t="s">
        <v>138</v>
      </c>
      <c r="C1781" t="s">
        <v>2351</v>
      </c>
      <c r="D1781" t="s">
        <v>2480</v>
      </c>
      <c r="E1781" t="s">
        <v>2423</v>
      </c>
      <c r="F1781" t="s">
        <v>2750</v>
      </c>
      <c r="H1781" t="s">
        <v>2355</v>
      </c>
      <c r="I1781" t="s">
        <v>2389</v>
      </c>
      <c r="Q1781" t="s">
        <v>57</v>
      </c>
      <c r="R1781" t="s">
        <v>2762</v>
      </c>
      <c r="Y1781" t="s">
        <v>2752</v>
      </c>
      <c r="Z1781">
        <v>3917</v>
      </c>
      <c r="AE1781">
        <v>16547</v>
      </c>
      <c r="AF1781" s="4">
        <v>0.37</v>
      </c>
      <c r="AG1781">
        <f t="shared" si="171"/>
        <v>10424.61</v>
      </c>
      <c r="AH1781" s="4">
        <v>0.18</v>
      </c>
      <c r="AI1781">
        <f t="shared" si="166"/>
        <v>12301.04</v>
      </c>
      <c r="AJ1781" s="4">
        <v>0.15</v>
      </c>
      <c r="AK1781">
        <f t="shared" si="167"/>
        <v>1845.16</v>
      </c>
      <c r="AL1781">
        <f t="shared" si="168"/>
        <v>14146.2</v>
      </c>
      <c r="AM1781">
        <f t="shared" si="169"/>
        <v>2400.8</v>
      </c>
      <c r="AN1781" s="4">
        <f t="shared" si="170"/>
        <v>0.145089744364537</v>
      </c>
      <c r="AO1781" t="s">
        <v>221</v>
      </c>
      <c r="AQ1781" t="s">
        <v>217</v>
      </c>
      <c r="AT1781" t="s">
        <v>558</v>
      </c>
    </row>
    <row r="1782" ht="15.75" customHeight="1" spans="1:46">
      <c r="A1782" t="s">
        <v>2763</v>
      </c>
      <c r="B1782" t="s">
        <v>46</v>
      </c>
      <c r="C1782" t="s">
        <v>2351</v>
      </c>
      <c r="D1782" t="s">
        <v>2480</v>
      </c>
      <c r="E1782" t="s">
        <v>2423</v>
      </c>
      <c r="F1782" t="s">
        <v>2764</v>
      </c>
      <c r="H1782" t="s">
        <v>2355</v>
      </c>
      <c r="I1782" t="s">
        <v>2356</v>
      </c>
      <c r="Q1782" t="s">
        <v>57</v>
      </c>
      <c r="R1782" t="s">
        <v>2765</v>
      </c>
      <c r="Y1782" t="s">
        <v>2766</v>
      </c>
      <c r="Z1782">
        <v>3917</v>
      </c>
      <c r="AE1782">
        <v>10</v>
      </c>
      <c r="AF1782" s="4">
        <v>0.37</v>
      </c>
      <c r="AG1782">
        <f t="shared" si="171"/>
        <v>6.3</v>
      </c>
      <c r="AH1782" s="4">
        <v>0.18</v>
      </c>
      <c r="AI1782">
        <f t="shared" si="166"/>
        <v>7.43</v>
      </c>
      <c r="AJ1782" s="4">
        <v>0.15</v>
      </c>
      <c r="AK1782">
        <f t="shared" si="167"/>
        <v>1.11</v>
      </c>
      <c r="AL1782">
        <f t="shared" si="168"/>
        <v>8.54</v>
      </c>
      <c r="AM1782">
        <f t="shared" si="169"/>
        <v>1.46</v>
      </c>
      <c r="AN1782" s="4">
        <f t="shared" si="170"/>
        <v>0.146</v>
      </c>
      <c r="AO1782" t="s">
        <v>221</v>
      </c>
      <c r="AQ1782" t="s">
        <v>217</v>
      </c>
      <c r="AT1782" t="s">
        <v>558</v>
      </c>
    </row>
    <row r="1783" ht="15.75" customHeight="1" spans="1:46">
      <c r="A1783" t="s">
        <v>2763</v>
      </c>
      <c r="B1783" t="s">
        <v>67</v>
      </c>
      <c r="C1783" t="s">
        <v>2351</v>
      </c>
      <c r="D1783" t="s">
        <v>2480</v>
      </c>
      <c r="E1783" t="s">
        <v>2423</v>
      </c>
      <c r="F1783" t="s">
        <v>2764</v>
      </c>
      <c r="H1783" t="s">
        <v>2355</v>
      </c>
      <c r="I1783" t="s">
        <v>2360</v>
      </c>
      <c r="Q1783" t="s">
        <v>57</v>
      </c>
      <c r="R1783" t="s">
        <v>2767</v>
      </c>
      <c r="Y1783" t="s">
        <v>2766</v>
      </c>
      <c r="Z1783">
        <v>3917</v>
      </c>
      <c r="AE1783">
        <v>14</v>
      </c>
      <c r="AF1783" s="4">
        <v>0.37</v>
      </c>
      <c r="AG1783">
        <f t="shared" si="171"/>
        <v>8.82</v>
      </c>
      <c r="AH1783" s="4">
        <v>0.18</v>
      </c>
      <c r="AI1783">
        <f t="shared" si="166"/>
        <v>10.41</v>
      </c>
      <c r="AJ1783" s="4">
        <v>0.15</v>
      </c>
      <c r="AK1783">
        <f t="shared" si="167"/>
        <v>1.56</v>
      </c>
      <c r="AL1783">
        <f t="shared" si="168"/>
        <v>11.97</v>
      </c>
      <c r="AM1783">
        <f t="shared" si="169"/>
        <v>2.03</v>
      </c>
      <c r="AN1783" s="4">
        <f t="shared" si="170"/>
        <v>0.145</v>
      </c>
      <c r="AO1783" t="s">
        <v>221</v>
      </c>
      <c r="AQ1783" t="s">
        <v>217</v>
      </c>
      <c r="AT1783" t="s">
        <v>558</v>
      </c>
    </row>
    <row r="1784" ht="15.75" customHeight="1" spans="1:46">
      <c r="A1784" t="s">
        <v>2763</v>
      </c>
      <c r="B1784" t="s">
        <v>71</v>
      </c>
      <c r="C1784" t="s">
        <v>2351</v>
      </c>
      <c r="D1784" t="s">
        <v>2480</v>
      </c>
      <c r="E1784" t="s">
        <v>2423</v>
      </c>
      <c r="F1784" t="s">
        <v>2764</v>
      </c>
      <c r="H1784" t="s">
        <v>2355</v>
      </c>
      <c r="I1784" t="s">
        <v>2363</v>
      </c>
      <c r="Q1784" t="s">
        <v>57</v>
      </c>
      <c r="R1784" t="s">
        <v>2768</v>
      </c>
      <c r="Y1784" t="s">
        <v>2766</v>
      </c>
      <c r="Z1784">
        <v>3917</v>
      </c>
      <c r="AE1784">
        <v>24</v>
      </c>
      <c r="AF1784" s="4">
        <v>0.37</v>
      </c>
      <c r="AG1784">
        <f t="shared" si="171"/>
        <v>15.12</v>
      </c>
      <c r="AH1784" s="4">
        <v>0.18</v>
      </c>
      <c r="AI1784">
        <f t="shared" si="166"/>
        <v>17.84</v>
      </c>
      <c r="AJ1784" s="4">
        <v>0.15</v>
      </c>
      <c r="AK1784">
        <f t="shared" si="167"/>
        <v>2.68</v>
      </c>
      <c r="AL1784">
        <f t="shared" si="168"/>
        <v>20.52</v>
      </c>
      <c r="AM1784">
        <f t="shared" si="169"/>
        <v>3.48</v>
      </c>
      <c r="AN1784" s="4">
        <f t="shared" si="170"/>
        <v>0.145</v>
      </c>
      <c r="AO1784" t="s">
        <v>221</v>
      </c>
      <c r="AQ1784" t="s">
        <v>217</v>
      </c>
      <c r="AT1784" t="s">
        <v>558</v>
      </c>
    </row>
    <row r="1785" ht="15.75" customHeight="1" spans="1:46">
      <c r="A1785" t="s">
        <v>2763</v>
      </c>
      <c r="B1785" t="s">
        <v>75</v>
      </c>
      <c r="C1785" t="s">
        <v>2351</v>
      </c>
      <c r="D1785" t="s">
        <v>2480</v>
      </c>
      <c r="E1785" t="s">
        <v>2423</v>
      </c>
      <c r="F1785" t="s">
        <v>2764</v>
      </c>
      <c r="H1785" t="s">
        <v>2355</v>
      </c>
      <c r="I1785" t="s">
        <v>2365</v>
      </c>
      <c r="Q1785" t="s">
        <v>57</v>
      </c>
      <c r="R1785" t="s">
        <v>2769</v>
      </c>
      <c r="Y1785" t="s">
        <v>2766</v>
      </c>
      <c r="Z1785">
        <v>3917</v>
      </c>
      <c r="AE1785">
        <v>43</v>
      </c>
      <c r="AF1785" s="4">
        <v>0.37</v>
      </c>
      <c r="AG1785">
        <f t="shared" si="171"/>
        <v>27.09</v>
      </c>
      <c r="AH1785" s="4">
        <v>0.18</v>
      </c>
      <c r="AI1785">
        <f t="shared" si="166"/>
        <v>31.97</v>
      </c>
      <c r="AJ1785" s="4">
        <v>0.15</v>
      </c>
      <c r="AK1785">
        <f t="shared" si="167"/>
        <v>4.8</v>
      </c>
      <c r="AL1785">
        <f t="shared" si="168"/>
        <v>36.77</v>
      </c>
      <c r="AM1785">
        <f t="shared" si="169"/>
        <v>6.23</v>
      </c>
      <c r="AN1785" s="4">
        <f t="shared" si="170"/>
        <v>0.144883720930233</v>
      </c>
      <c r="AO1785" t="s">
        <v>221</v>
      </c>
      <c r="AQ1785" t="s">
        <v>217</v>
      </c>
      <c r="AT1785" t="s">
        <v>558</v>
      </c>
    </row>
    <row r="1786" ht="15.75" customHeight="1" spans="1:46">
      <c r="A1786" t="s">
        <v>2763</v>
      </c>
      <c r="B1786" t="s">
        <v>79</v>
      </c>
      <c r="C1786" t="s">
        <v>2351</v>
      </c>
      <c r="D1786" t="s">
        <v>2480</v>
      </c>
      <c r="E1786" t="s">
        <v>2423</v>
      </c>
      <c r="F1786" t="s">
        <v>2764</v>
      </c>
      <c r="H1786" t="s">
        <v>2355</v>
      </c>
      <c r="I1786" t="s">
        <v>2367</v>
      </c>
      <c r="Q1786" t="s">
        <v>57</v>
      </c>
      <c r="R1786" t="s">
        <v>2770</v>
      </c>
      <c r="Y1786" t="s">
        <v>2766</v>
      </c>
      <c r="Z1786">
        <v>3917</v>
      </c>
      <c r="AE1786">
        <v>70</v>
      </c>
      <c r="AF1786" s="4">
        <v>0.37</v>
      </c>
      <c r="AG1786">
        <f t="shared" si="171"/>
        <v>44.1</v>
      </c>
      <c r="AH1786" s="4">
        <v>0.18</v>
      </c>
      <c r="AI1786">
        <f t="shared" si="166"/>
        <v>52.04</v>
      </c>
      <c r="AJ1786" s="4">
        <v>0.15</v>
      </c>
      <c r="AK1786">
        <f t="shared" si="167"/>
        <v>7.81</v>
      </c>
      <c r="AL1786">
        <f t="shared" si="168"/>
        <v>59.85</v>
      </c>
      <c r="AM1786">
        <f t="shared" si="169"/>
        <v>10.15</v>
      </c>
      <c r="AN1786" s="4">
        <f t="shared" si="170"/>
        <v>0.145</v>
      </c>
      <c r="AO1786" t="s">
        <v>221</v>
      </c>
      <c r="AQ1786" t="s">
        <v>217</v>
      </c>
      <c r="AT1786" t="s">
        <v>558</v>
      </c>
    </row>
    <row r="1787" ht="15.75" customHeight="1" spans="1:46">
      <c r="A1787" t="s">
        <v>2763</v>
      </c>
      <c r="B1787" t="s">
        <v>83</v>
      </c>
      <c r="C1787" t="s">
        <v>2351</v>
      </c>
      <c r="D1787" t="s">
        <v>2480</v>
      </c>
      <c r="E1787" t="s">
        <v>2423</v>
      </c>
      <c r="F1787" t="s">
        <v>2764</v>
      </c>
      <c r="H1787" t="s">
        <v>2355</v>
      </c>
      <c r="I1787" t="s">
        <v>2369</v>
      </c>
      <c r="Q1787" t="s">
        <v>57</v>
      </c>
      <c r="R1787" t="s">
        <v>2771</v>
      </c>
      <c r="Y1787" t="s">
        <v>2766</v>
      </c>
      <c r="Z1787">
        <v>3917</v>
      </c>
      <c r="AE1787">
        <v>157</v>
      </c>
      <c r="AF1787" s="4">
        <v>0.37</v>
      </c>
      <c r="AG1787">
        <f t="shared" si="171"/>
        <v>98.91</v>
      </c>
      <c r="AH1787" s="4">
        <v>0.18</v>
      </c>
      <c r="AI1787">
        <f t="shared" si="166"/>
        <v>116.71</v>
      </c>
      <c r="AJ1787" s="4">
        <v>0.15</v>
      </c>
      <c r="AK1787">
        <f t="shared" si="167"/>
        <v>17.51</v>
      </c>
      <c r="AL1787">
        <f t="shared" si="168"/>
        <v>134.22</v>
      </c>
      <c r="AM1787">
        <f t="shared" si="169"/>
        <v>22.78</v>
      </c>
      <c r="AN1787" s="4">
        <f t="shared" si="170"/>
        <v>0.145095541401274</v>
      </c>
      <c r="AO1787" t="s">
        <v>221</v>
      </c>
      <c r="AQ1787" t="s">
        <v>217</v>
      </c>
      <c r="AT1787" t="s">
        <v>558</v>
      </c>
    </row>
    <row r="1788" ht="15.75" customHeight="1" spans="1:46">
      <c r="A1788" t="s">
        <v>2763</v>
      </c>
      <c r="B1788" t="s">
        <v>131</v>
      </c>
      <c r="C1788" t="s">
        <v>2351</v>
      </c>
      <c r="D1788" t="s">
        <v>2480</v>
      </c>
      <c r="E1788" t="s">
        <v>2423</v>
      </c>
      <c r="F1788" t="s">
        <v>2764</v>
      </c>
      <c r="H1788" t="s">
        <v>2355</v>
      </c>
      <c r="I1788" t="s">
        <v>2380</v>
      </c>
      <c r="Q1788" t="s">
        <v>57</v>
      </c>
      <c r="R1788" t="s">
        <v>2772</v>
      </c>
      <c r="Y1788" t="s">
        <v>2766</v>
      </c>
      <c r="Z1788">
        <v>3917</v>
      </c>
      <c r="AE1788">
        <v>324</v>
      </c>
      <c r="AF1788" s="4">
        <v>0.37</v>
      </c>
      <c r="AG1788">
        <f t="shared" si="171"/>
        <v>204.12</v>
      </c>
      <c r="AH1788" s="4">
        <v>0.18</v>
      </c>
      <c r="AI1788">
        <f t="shared" si="166"/>
        <v>240.86</v>
      </c>
      <c r="AJ1788" s="4">
        <v>0.15</v>
      </c>
      <c r="AK1788">
        <f t="shared" si="167"/>
        <v>36.13</v>
      </c>
      <c r="AL1788">
        <f t="shared" si="168"/>
        <v>276.99</v>
      </c>
      <c r="AM1788">
        <f t="shared" si="169"/>
        <v>47.01</v>
      </c>
      <c r="AN1788" s="4">
        <f t="shared" si="170"/>
        <v>0.145092592592593</v>
      </c>
      <c r="AO1788" t="s">
        <v>221</v>
      </c>
      <c r="AQ1788" t="s">
        <v>217</v>
      </c>
      <c r="AT1788" t="s">
        <v>558</v>
      </c>
    </row>
    <row r="1789" ht="15.75" customHeight="1" spans="1:46">
      <c r="A1789" t="s">
        <v>2763</v>
      </c>
      <c r="B1789" t="s">
        <v>133</v>
      </c>
      <c r="C1789" t="s">
        <v>2351</v>
      </c>
      <c r="D1789" t="s">
        <v>2480</v>
      </c>
      <c r="E1789" t="s">
        <v>2423</v>
      </c>
      <c r="F1789" t="s">
        <v>2764</v>
      </c>
      <c r="H1789" t="s">
        <v>2355</v>
      </c>
      <c r="I1789" t="s">
        <v>2383</v>
      </c>
      <c r="Q1789" t="s">
        <v>57</v>
      </c>
      <c r="R1789" t="s">
        <v>2773</v>
      </c>
      <c r="Y1789" t="s">
        <v>2766</v>
      </c>
      <c r="Z1789">
        <v>3917</v>
      </c>
      <c r="AE1789">
        <v>477</v>
      </c>
      <c r="AF1789" s="4">
        <v>0.37</v>
      </c>
      <c r="AG1789">
        <f t="shared" si="171"/>
        <v>300.51</v>
      </c>
      <c r="AH1789" s="4">
        <v>0.18</v>
      </c>
      <c r="AI1789">
        <f t="shared" si="166"/>
        <v>354.6</v>
      </c>
      <c r="AJ1789" s="4">
        <v>0.15</v>
      </c>
      <c r="AK1789">
        <f t="shared" si="167"/>
        <v>53.19</v>
      </c>
      <c r="AL1789">
        <f t="shared" si="168"/>
        <v>407.79</v>
      </c>
      <c r="AM1789">
        <f t="shared" si="169"/>
        <v>69.21</v>
      </c>
      <c r="AN1789" s="4">
        <f t="shared" si="170"/>
        <v>0.145094339622641</v>
      </c>
      <c r="AO1789" t="s">
        <v>221</v>
      </c>
      <c r="AQ1789" t="s">
        <v>217</v>
      </c>
      <c r="AT1789" t="s">
        <v>558</v>
      </c>
    </row>
    <row r="1790" ht="15.75" customHeight="1" spans="1:46">
      <c r="A1790" t="s">
        <v>2763</v>
      </c>
      <c r="B1790" t="s">
        <v>135</v>
      </c>
      <c r="C1790" t="s">
        <v>2351</v>
      </c>
      <c r="D1790" t="s">
        <v>2480</v>
      </c>
      <c r="E1790" t="s">
        <v>2423</v>
      </c>
      <c r="F1790" t="s">
        <v>2764</v>
      </c>
      <c r="H1790" t="s">
        <v>2355</v>
      </c>
      <c r="I1790" t="s">
        <v>2385</v>
      </c>
      <c r="Q1790" t="s">
        <v>57</v>
      </c>
      <c r="R1790" t="s">
        <v>2774</v>
      </c>
      <c r="Y1790" t="s">
        <v>2766</v>
      </c>
      <c r="Z1790">
        <v>3917</v>
      </c>
      <c r="AE1790">
        <v>835</v>
      </c>
      <c r="AF1790" s="4">
        <v>0.37</v>
      </c>
      <c r="AG1790">
        <f t="shared" si="171"/>
        <v>526.05</v>
      </c>
      <c r="AH1790" s="4">
        <v>0.18</v>
      </c>
      <c r="AI1790">
        <f t="shared" si="166"/>
        <v>620.74</v>
      </c>
      <c r="AJ1790" s="4">
        <v>0.15</v>
      </c>
      <c r="AK1790">
        <f t="shared" si="167"/>
        <v>93.11</v>
      </c>
      <c r="AL1790">
        <f t="shared" si="168"/>
        <v>713.85</v>
      </c>
      <c r="AM1790">
        <f t="shared" si="169"/>
        <v>121.15</v>
      </c>
      <c r="AN1790" s="4">
        <f t="shared" si="170"/>
        <v>0.145089820359281</v>
      </c>
      <c r="AO1790" t="s">
        <v>221</v>
      </c>
      <c r="AQ1790" t="s">
        <v>217</v>
      </c>
      <c r="AT1790" t="s">
        <v>558</v>
      </c>
    </row>
    <row r="1791" ht="15.75" customHeight="1" spans="1:46">
      <c r="A1791" t="s">
        <v>2775</v>
      </c>
      <c r="B1791" t="s">
        <v>46</v>
      </c>
      <c r="C1791" t="s">
        <v>2351</v>
      </c>
      <c r="D1791" t="s">
        <v>2480</v>
      </c>
      <c r="E1791" t="s">
        <v>2423</v>
      </c>
      <c r="F1791" t="s">
        <v>2776</v>
      </c>
      <c r="H1791" t="s">
        <v>2355</v>
      </c>
      <c r="I1791" t="s">
        <v>2356</v>
      </c>
      <c r="Q1791" t="s">
        <v>57</v>
      </c>
      <c r="R1791" t="s">
        <v>2777</v>
      </c>
      <c r="Y1791" t="s">
        <v>2778</v>
      </c>
      <c r="Z1791">
        <v>3917</v>
      </c>
      <c r="AE1791">
        <v>13</v>
      </c>
      <c r="AF1791" s="4">
        <v>0.37</v>
      </c>
      <c r="AG1791">
        <f t="shared" si="171"/>
        <v>8.19</v>
      </c>
      <c r="AH1791" s="4">
        <v>0.18</v>
      </c>
      <c r="AI1791">
        <f t="shared" si="166"/>
        <v>9.66</v>
      </c>
      <c r="AJ1791" s="4">
        <v>0.15</v>
      </c>
      <c r="AK1791">
        <f t="shared" si="167"/>
        <v>1.45</v>
      </c>
      <c r="AL1791">
        <f t="shared" si="168"/>
        <v>11.11</v>
      </c>
      <c r="AM1791">
        <f t="shared" si="169"/>
        <v>1.89</v>
      </c>
      <c r="AN1791" s="4">
        <f t="shared" si="170"/>
        <v>0.145384615384615</v>
      </c>
      <c r="AO1791" t="s">
        <v>221</v>
      </c>
      <c r="AQ1791" t="s">
        <v>217</v>
      </c>
      <c r="AT1791" t="s">
        <v>558</v>
      </c>
    </row>
    <row r="1792" ht="15.75" customHeight="1" spans="1:46">
      <c r="A1792" t="s">
        <v>2775</v>
      </c>
      <c r="B1792" t="s">
        <v>67</v>
      </c>
      <c r="C1792" t="s">
        <v>2351</v>
      </c>
      <c r="D1792" t="s">
        <v>2480</v>
      </c>
      <c r="E1792" t="s">
        <v>2423</v>
      </c>
      <c r="F1792" t="s">
        <v>2776</v>
      </c>
      <c r="H1792" t="s">
        <v>2355</v>
      </c>
      <c r="I1792" t="s">
        <v>2360</v>
      </c>
      <c r="Q1792" t="s">
        <v>57</v>
      </c>
      <c r="R1792" t="s">
        <v>2779</v>
      </c>
      <c r="Y1792" t="s">
        <v>2778</v>
      </c>
      <c r="Z1792">
        <v>3917</v>
      </c>
      <c r="AE1792">
        <v>23</v>
      </c>
      <c r="AF1792" s="4">
        <v>0.37</v>
      </c>
      <c r="AG1792">
        <f t="shared" si="171"/>
        <v>14.49</v>
      </c>
      <c r="AH1792" s="4">
        <v>0.18</v>
      </c>
      <c r="AI1792">
        <f t="shared" si="166"/>
        <v>17.1</v>
      </c>
      <c r="AJ1792" s="4">
        <v>0.15</v>
      </c>
      <c r="AK1792">
        <f t="shared" si="167"/>
        <v>2.57</v>
      </c>
      <c r="AL1792">
        <f t="shared" si="168"/>
        <v>19.67</v>
      </c>
      <c r="AM1792">
        <f t="shared" si="169"/>
        <v>3.33</v>
      </c>
      <c r="AN1792" s="4">
        <f t="shared" si="170"/>
        <v>0.144782608695652</v>
      </c>
      <c r="AO1792" t="s">
        <v>221</v>
      </c>
      <c r="AQ1792" t="s">
        <v>217</v>
      </c>
      <c r="AT1792" t="s">
        <v>558</v>
      </c>
    </row>
    <row r="1793" ht="15.75" customHeight="1" spans="1:46">
      <c r="A1793" t="s">
        <v>2775</v>
      </c>
      <c r="B1793" t="s">
        <v>71</v>
      </c>
      <c r="C1793" t="s">
        <v>2351</v>
      </c>
      <c r="D1793" t="s">
        <v>2480</v>
      </c>
      <c r="E1793" t="s">
        <v>2423</v>
      </c>
      <c r="F1793" t="s">
        <v>2776</v>
      </c>
      <c r="H1793" t="s">
        <v>2355</v>
      </c>
      <c r="I1793" t="s">
        <v>2363</v>
      </c>
      <c r="Q1793" t="s">
        <v>57</v>
      </c>
      <c r="R1793" t="s">
        <v>2780</v>
      </c>
      <c r="Y1793" t="s">
        <v>2778</v>
      </c>
      <c r="Z1793">
        <v>3917</v>
      </c>
      <c r="AE1793">
        <v>39</v>
      </c>
      <c r="AF1793" s="4">
        <v>0.37</v>
      </c>
      <c r="AG1793">
        <f t="shared" si="171"/>
        <v>24.57</v>
      </c>
      <c r="AH1793" s="4">
        <v>0.18</v>
      </c>
      <c r="AI1793">
        <f t="shared" si="166"/>
        <v>28.99</v>
      </c>
      <c r="AJ1793" s="4">
        <v>0.15</v>
      </c>
      <c r="AK1793">
        <f t="shared" si="167"/>
        <v>4.35</v>
      </c>
      <c r="AL1793">
        <f t="shared" si="168"/>
        <v>33.34</v>
      </c>
      <c r="AM1793">
        <f t="shared" si="169"/>
        <v>5.66</v>
      </c>
      <c r="AN1793" s="4">
        <f t="shared" si="170"/>
        <v>0.145128205128205</v>
      </c>
      <c r="AO1793" t="s">
        <v>221</v>
      </c>
      <c r="AQ1793" t="s">
        <v>217</v>
      </c>
      <c r="AT1793" t="s">
        <v>558</v>
      </c>
    </row>
    <row r="1794" ht="15.75" customHeight="1" spans="1:46">
      <c r="A1794" t="s">
        <v>2775</v>
      </c>
      <c r="B1794" t="s">
        <v>75</v>
      </c>
      <c r="C1794" t="s">
        <v>2351</v>
      </c>
      <c r="D1794" t="s">
        <v>2480</v>
      </c>
      <c r="E1794" t="s">
        <v>2423</v>
      </c>
      <c r="F1794" t="s">
        <v>2776</v>
      </c>
      <c r="H1794" t="s">
        <v>2355</v>
      </c>
      <c r="I1794" t="s">
        <v>2365</v>
      </c>
      <c r="Q1794" t="s">
        <v>57</v>
      </c>
      <c r="R1794" t="s">
        <v>2781</v>
      </c>
      <c r="Y1794" t="s">
        <v>2778</v>
      </c>
      <c r="Z1794">
        <v>3917</v>
      </c>
      <c r="AE1794">
        <v>69</v>
      </c>
      <c r="AF1794" s="4">
        <v>0.37</v>
      </c>
      <c r="AG1794">
        <f t="shared" si="171"/>
        <v>43.47</v>
      </c>
      <c r="AH1794" s="4">
        <v>0.18</v>
      </c>
      <c r="AI1794">
        <f t="shared" ref="AI1794:AI1857" si="172">ROUND(AG1794+(AG1794*AH1794),2)</f>
        <v>51.29</v>
      </c>
      <c r="AJ1794" s="4">
        <v>0.15</v>
      </c>
      <c r="AK1794">
        <f t="shared" ref="AK1794:AK1857" si="173">ROUND(AI1794*AJ1794,2)</f>
        <v>7.69</v>
      </c>
      <c r="AL1794">
        <f t="shared" ref="AL1794:AL1857" si="174">AI1794+AK1794</f>
        <v>58.98</v>
      </c>
      <c r="AM1794">
        <f t="shared" ref="AM1794:AM1857" si="175">AE1794-AL1794</f>
        <v>10.02</v>
      </c>
      <c r="AN1794" s="4">
        <f t="shared" ref="AN1794:AN1857" si="176">AM1794/AE1794</f>
        <v>0.145217391304348</v>
      </c>
      <c r="AO1794" t="s">
        <v>221</v>
      </c>
      <c r="AQ1794" t="s">
        <v>217</v>
      </c>
      <c r="AT1794" t="s">
        <v>558</v>
      </c>
    </row>
    <row r="1795" ht="15.75" customHeight="1" spans="1:46">
      <c r="A1795" t="s">
        <v>2775</v>
      </c>
      <c r="B1795" t="s">
        <v>79</v>
      </c>
      <c r="C1795" t="s">
        <v>2351</v>
      </c>
      <c r="D1795" t="s">
        <v>2480</v>
      </c>
      <c r="E1795" t="s">
        <v>2423</v>
      </c>
      <c r="F1795" t="s">
        <v>2776</v>
      </c>
      <c r="H1795" t="s">
        <v>2355</v>
      </c>
      <c r="I1795" t="s">
        <v>2367</v>
      </c>
      <c r="Q1795" t="s">
        <v>57</v>
      </c>
      <c r="R1795" t="s">
        <v>2782</v>
      </c>
      <c r="Y1795" t="s">
        <v>2778</v>
      </c>
      <c r="Z1795">
        <v>3917</v>
      </c>
      <c r="AE1795">
        <v>102</v>
      </c>
      <c r="AF1795" s="4">
        <v>0.37</v>
      </c>
      <c r="AG1795">
        <f t="shared" si="171"/>
        <v>64.26</v>
      </c>
      <c r="AH1795" s="4">
        <v>0.18</v>
      </c>
      <c r="AI1795">
        <f t="shared" si="172"/>
        <v>75.83</v>
      </c>
      <c r="AJ1795" s="4">
        <v>0.15</v>
      </c>
      <c r="AK1795">
        <f t="shared" si="173"/>
        <v>11.37</v>
      </c>
      <c r="AL1795">
        <f t="shared" si="174"/>
        <v>87.2</v>
      </c>
      <c r="AM1795">
        <f t="shared" si="175"/>
        <v>14.8</v>
      </c>
      <c r="AN1795" s="4">
        <f t="shared" si="176"/>
        <v>0.145098039215686</v>
      </c>
      <c r="AO1795" t="s">
        <v>221</v>
      </c>
      <c r="AQ1795" t="s">
        <v>217</v>
      </c>
      <c r="AT1795" t="s">
        <v>558</v>
      </c>
    </row>
    <row r="1796" ht="15.75" customHeight="1" spans="1:46">
      <c r="A1796" t="s">
        <v>2775</v>
      </c>
      <c r="B1796" t="s">
        <v>83</v>
      </c>
      <c r="C1796" t="s">
        <v>2351</v>
      </c>
      <c r="D1796" t="s">
        <v>2480</v>
      </c>
      <c r="E1796" t="s">
        <v>2423</v>
      </c>
      <c r="F1796" t="s">
        <v>2776</v>
      </c>
      <c r="H1796" t="s">
        <v>2355</v>
      </c>
      <c r="I1796" t="s">
        <v>2369</v>
      </c>
      <c r="Q1796" t="s">
        <v>57</v>
      </c>
      <c r="R1796" t="s">
        <v>2783</v>
      </c>
      <c r="Y1796" t="s">
        <v>2778</v>
      </c>
      <c r="Z1796">
        <v>3917</v>
      </c>
      <c r="AE1796">
        <v>200</v>
      </c>
      <c r="AF1796" s="4">
        <v>0.37</v>
      </c>
      <c r="AG1796">
        <f t="shared" ref="AG1796:AG1859" si="177">ROUND(AE1796-(AE1796*AF1796),2)</f>
        <v>126</v>
      </c>
      <c r="AH1796" s="4">
        <v>0.18</v>
      </c>
      <c r="AI1796">
        <f t="shared" si="172"/>
        <v>148.68</v>
      </c>
      <c r="AJ1796" s="4">
        <v>0.15</v>
      </c>
      <c r="AK1796">
        <f t="shared" si="173"/>
        <v>22.3</v>
      </c>
      <c r="AL1796">
        <f t="shared" si="174"/>
        <v>170.98</v>
      </c>
      <c r="AM1796">
        <f t="shared" si="175"/>
        <v>29.02</v>
      </c>
      <c r="AN1796" s="4">
        <f t="shared" si="176"/>
        <v>0.1451</v>
      </c>
      <c r="AO1796" t="s">
        <v>221</v>
      </c>
      <c r="AQ1796" t="s">
        <v>217</v>
      </c>
      <c r="AT1796" t="s">
        <v>558</v>
      </c>
    </row>
    <row r="1797" ht="15.75" customHeight="1" spans="1:46">
      <c r="A1797" t="s">
        <v>2775</v>
      </c>
      <c r="B1797" t="s">
        <v>131</v>
      </c>
      <c r="C1797" t="s">
        <v>2351</v>
      </c>
      <c r="D1797" t="s">
        <v>2480</v>
      </c>
      <c r="E1797" t="s">
        <v>2423</v>
      </c>
      <c r="F1797" t="s">
        <v>2776</v>
      </c>
      <c r="H1797" t="s">
        <v>2355</v>
      </c>
      <c r="I1797" t="s">
        <v>2380</v>
      </c>
      <c r="Q1797" t="s">
        <v>57</v>
      </c>
      <c r="R1797" t="s">
        <v>2784</v>
      </c>
      <c r="Y1797" t="s">
        <v>2778</v>
      </c>
      <c r="Z1797">
        <v>3917</v>
      </c>
      <c r="AE1797">
        <v>425</v>
      </c>
      <c r="AF1797" s="4">
        <v>0.37</v>
      </c>
      <c r="AG1797">
        <f t="shared" si="177"/>
        <v>267.75</v>
      </c>
      <c r="AH1797" s="4">
        <v>0.18</v>
      </c>
      <c r="AI1797">
        <f t="shared" si="172"/>
        <v>315.95</v>
      </c>
      <c r="AJ1797" s="4">
        <v>0.15</v>
      </c>
      <c r="AK1797">
        <f t="shared" si="173"/>
        <v>47.39</v>
      </c>
      <c r="AL1797">
        <f t="shared" si="174"/>
        <v>363.34</v>
      </c>
      <c r="AM1797">
        <f t="shared" si="175"/>
        <v>61.66</v>
      </c>
      <c r="AN1797" s="4">
        <f t="shared" si="176"/>
        <v>0.145082352941177</v>
      </c>
      <c r="AO1797" t="s">
        <v>221</v>
      </c>
      <c r="AQ1797" t="s">
        <v>217</v>
      </c>
      <c r="AT1797" t="s">
        <v>558</v>
      </c>
    </row>
    <row r="1798" ht="15.75" customHeight="1" spans="1:46">
      <c r="A1798" t="s">
        <v>2775</v>
      </c>
      <c r="B1798" t="s">
        <v>133</v>
      </c>
      <c r="C1798" t="s">
        <v>2351</v>
      </c>
      <c r="D1798" t="s">
        <v>2480</v>
      </c>
      <c r="E1798" t="s">
        <v>2423</v>
      </c>
      <c r="F1798" t="s">
        <v>2776</v>
      </c>
      <c r="H1798" t="s">
        <v>2355</v>
      </c>
      <c r="I1798" t="s">
        <v>2383</v>
      </c>
      <c r="Q1798" t="s">
        <v>57</v>
      </c>
      <c r="R1798" t="s">
        <v>2785</v>
      </c>
      <c r="Y1798" t="s">
        <v>2778</v>
      </c>
      <c r="Z1798">
        <v>3917</v>
      </c>
      <c r="AE1798">
        <v>752</v>
      </c>
      <c r="AF1798" s="4">
        <v>0.37</v>
      </c>
      <c r="AG1798">
        <f t="shared" si="177"/>
        <v>473.76</v>
      </c>
      <c r="AH1798" s="4">
        <v>0.18</v>
      </c>
      <c r="AI1798">
        <f t="shared" si="172"/>
        <v>559.04</v>
      </c>
      <c r="AJ1798" s="4">
        <v>0.15</v>
      </c>
      <c r="AK1798">
        <f t="shared" si="173"/>
        <v>83.86</v>
      </c>
      <c r="AL1798">
        <f t="shared" si="174"/>
        <v>642.9</v>
      </c>
      <c r="AM1798">
        <f t="shared" si="175"/>
        <v>109.1</v>
      </c>
      <c r="AN1798" s="4">
        <f t="shared" si="176"/>
        <v>0.145079787234043</v>
      </c>
      <c r="AO1798" t="s">
        <v>221</v>
      </c>
      <c r="AQ1798" t="s">
        <v>217</v>
      </c>
      <c r="AT1798" t="s">
        <v>558</v>
      </c>
    </row>
    <row r="1799" ht="15.75" customHeight="1" spans="1:46">
      <c r="A1799" t="s">
        <v>2775</v>
      </c>
      <c r="B1799" t="s">
        <v>135</v>
      </c>
      <c r="C1799" t="s">
        <v>2351</v>
      </c>
      <c r="D1799" t="s">
        <v>2480</v>
      </c>
      <c r="E1799" t="s">
        <v>2423</v>
      </c>
      <c r="F1799" t="s">
        <v>2776</v>
      </c>
      <c r="H1799" t="s">
        <v>2355</v>
      </c>
      <c r="I1799" t="s">
        <v>2385</v>
      </c>
      <c r="Q1799" t="s">
        <v>57</v>
      </c>
      <c r="R1799" t="s">
        <v>2786</v>
      </c>
      <c r="Y1799" t="s">
        <v>2778</v>
      </c>
      <c r="Z1799">
        <v>3917</v>
      </c>
      <c r="AE1799">
        <v>1195</v>
      </c>
      <c r="AF1799" s="4">
        <v>0.37</v>
      </c>
      <c r="AG1799">
        <f t="shared" si="177"/>
        <v>752.85</v>
      </c>
      <c r="AH1799" s="4">
        <v>0.18</v>
      </c>
      <c r="AI1799">
        <f t="shared" si="172"/>
        <v>888.36</v>
      </c>
      <c r="AJ1799" s="4">
        <v>0.15</v>
      </c>
      <c r="AK1799">
        <f t="shared" si="173"/>
        <v>133.25</v>
      </c>
      <c r="AL1799">
        <f t="shared" si="174"/>
        <v>1021.61</v>
      </c>
      <c r="AM1799">
        <f t="shared" si="175"/>
        <v>173.39</v>
      </c>
      <c r="AN1799" s="4">
        <f t="shared" si="176"/>
        <v>0.145096234309623</v>
      </c>
      <c r="AO1799" t="s">
        <v>221</v>
      </c>
      <c r="AQ1799" t="s">
        <v>217</v>
      </c>
      <c r="AT1799" t="s">
        <v>558</v>
      </c>
    </row>
    <row r="1800" ht="15.75" customHeight="1" spans="1:46">
      <c r="A1800" t="s">
        <v>2787</v>
      </c>
      <c r="B1800" t="s">
        <v>46</v>
      </c>
      <c r="C1800" t="s">
        <v>2351</v>
      </c>
      <c r="D1800" t="s">
        <v>2480</v>
      </c>
      <c r="E1800" t="s">
        <v>2423</v>
      </c>
      <c r="F1800" t="s">
        <v>2788</v>
      </c>
      <c r="H1800" t="s">
        <v>2355</v>
      </c>
      <c r="I1800" t="s">
        <v>2356</v>
      </c>
      <c r="Q1800" t="s">
        <v>57</v>
      </c>
      <c r="R1800" t="s">
        <v>2789</v>
      </c>
      <c r="Y1800" t="s">
        <v>2790</v>
      </c>
      <c r="Z1800">
        <v>3917</v>
      </c>
      <c r="AE1800">
        <v>64</v>
      </c>
      <c r="AF1800" s="4">
        <v>0.37</v>
      </c>
      <c r="AG1800">
        <f t="shared" si="177"/>
        <v>40.32</v>
      </c>
      <c r="AH1800" s="4">
        <v>0.18</v>
      </c>
      <c r="AI1800">
        <f t="shared" si="172"/>
        <v>47.58</v>
      </c>
      <c r="AJ1800" s="4">
        <v>0.15</v>
      </c>
      <c r="AK1800">
        <f t="shared" si="173"/>
        <v>7.14</v>
      </c>
      <c r="AL1800">
        <f t="shared" si="174"/>
        <v>54.72</v>
      </c>
      <c r="AM1800">
        <f t="shared" si="175"/>
        <v>9.28</v>
      </c>
      <c r="AN1800" s="4">
        <f t="shared" si="176"/>
        <v>0.145</v>
      </c>
      <c r="AO1800" t="s">
        <v>221</v>
      </c>
      <c r="AQ1800" t="s">
        <v>217</v>
      </c>
      <c r="AT1800" t="s">
        <v>558</v>
      </c>
    </row>
    <row r="1801" ht="15.75" customHeight="1" spans="1:46">
      <c r="A1801" t="s">
        <v>2787</v>
      </c>
      <c r="B1801" t="s">
        <v>67</v>
      </c>
      <c r="C1801" t="s">
        <v>2351</v>
      </c>
      <c r="D1801" t="s">
        <v>2480</v>
      </c>
      <c r="E1801" t="s">
        <v>2423</v>
      </c>
      <c r="F1801" t="s">
        <v>2788</v>
      </c>
      <c r="H1801" t="s">
        <v>2355</v>
      </c>
      <c r="I1801" t="s">
        <v>2360</v>
      </c>
      <c r="Q1801" t="s">
        <v>57</v>
      </c>
      <c r="R1801" t="s">
        <v>2791</v>
      </c>
      <c r="Y1801" t="s">
        <v>2790</v>
      </c>
      <c r="Z1801">
        <v>3917</v>
      </c>
      <c r="AE1801">
        <v>80</v>
      </c>
      <c r="AF1801" s="4">
        <v>0.37</v>
      </c>
      <c r="AG1801">
        <f t="shared" si="177"/>
        <v>50.4</v>
      </c>
      <c r="AH1801" s="4">
        <v>0.18</v>
      </c>
      <c r="AI1801">
        <f t="shared" si="172"/>
        <v>59.47</v>
      </c>
      <c r="AJ1801" s="4">
        <v>0.15</v>
      </c>
      <c r="AK1801">
        <f t="shared" si="173"/>
        <v>8.92</v>
      </c>
      <c r="AL1801">
        <f t="shared" si="174"/>
        <v>68.39</v>
      </c>
      <c r="AM1801">
        <f t="shared" si="175"/>
        <v>11.61</v>
      </c>
      <c r="AN1801" s="4">
        <f t="shared" si="176"/>
        <v>0.145125</v>
      </c>
      <c r="AO1801" t="s">
        <v>221</v>
      </c>
      <c r="AQ1801" t="s">
        <v>217</v>
      </c>
      <c r="AT1801" t="s">
        <v>558</v>
      </c>
    </row>
    <row r="1802" ht="15.75" customHeight="1" spans="1:46">
      <c r="A1802" t="s">
        <v>2787</v>
      </c>
      <c r="B1802" t="s">
        <v>71</v>
      </c>
      <c r="C1802" t="s">
        <v>2351</v>
      </c>
      <c r="D1802" t="s">
        <v>2480</v>
      </c>
      <c r="E1802" t="s">
        <v>2423</v>
      </c>
      <c r="F1802" t="s">
        <v>2788</v>
      </c>
      <c r="H1802" t="s">
        <v>2355</v>
      </c>
      <c r="I1802" t="s">
        <v>2363</v>
      </c>
      <c r="Q1802" t="s">
        <v>57</v>
      </c>
      <c r="R1802" t="s">
        <v>2792</v>
      </c>
      <c r="Y1802" t="s">
        <v>2790</v>
      </c>
      <c r="Z1802">
        <v>3917</v>
      </c>
      <c r="AE1802">
        <v>116</v>
      </c>
      <c r="AF1802" s="4">
        <v>0.37</v>
      </c>
      <c r="AG1802">
        <f t="shared" si="177"/>
        <v>73.08</v>
      </c>
      <c r="AH1802" s="4">
        <v>0.18</v>
      </c>
      <c r="AI1802">
        <f t="shared" si="172"/>
        <v>86.23</v>
      </c>
      <c r="AJ1802" s="4">
        <v>0.15</v>
      </c>
      <c r="AK1802">
        <f t="shared" si="173"/>
        <v>12.93</v>
      </c>
      <c r="AL1802">
        <f t="shared" si="174"/>
        <v>99.16</v>
      </c>
      <c r="AM1802">
        <f t="shared" si="175"/>
        <v>16.84</v>
      </c>
      <c r="AN1802" s="4">
        <f t="shared" si="176"/>
        <v>0.145172413793103</v>
      </c>
      <c r="AO1802" t="s">
        <v>221</v>
      </c>
      <c r="AQ1802" t="s">
        <v>217</v>
      </c>
      <c r="AT1802" t="s">
        <v>558</v>
      </c>
    </row>
    <row r="1803" ht="15.75" customHeight="1" spans="1:46">
      <c r="A1803" t="s">
        <v>2787</v>
      </c>
      <c r="B1803" t="s">
        <v>75</v>
      </c>
      <c r="C1803" t="s">
        <v>2351</v>
      </c>
      <c r="D1803" t="s">
        <v>2480</v>
      </c>
      <c r="E1803" t="s">
        <v>2423</v>
      </c>
      <c r="F1803" t="s">
        <v>2788</v>
      </c>
      <c r="H1803" t="s">
        <v>2355</v>
      </c>
      <c r="I1803" t="s">
        <v>2365</v>
      </c>
      <c r="Q1803" t="s">
        <v>57</v>
      </c>
      <c r="R1803" t="s">
        <v>2793</v>
      </c>
      <c r="Y1803" t="s">
        <v>2790</v>
      </c>
      <c r="Z1803">
        <v>3917</v>
      </c>
      <c r="AE1803">
        <v>194</v>
      </c>
      <c r="AF1803" s="4">
        <v>0.37</v>
      </c>
      <c r="AG1803">
        <f t="shared" si="177"/>
        <v>122.22</v>
      </c>
      <c r="AH1803" s="4">
        <v>0.18</v>
      </c>
      <c r="AI1803">
        <f t="shared" si="172"/>
        <v>144.22</v>
      </c>
      <c r="AJ1803" s="4">
        <v>0.15</v>
      </c>
      <c r="AK1803">
        <f t="shared" si="173"/>
        <v>21.63</v>
      </c>
      <c r="AL1803">
        <f t="shared" si="174"/>
        <v>165.85</v>
      </c>
      <c r="AM1803">
        <f t="shared" si="175"/>
        <v>28.15</v>
      </c>
      <c r="AN1803" s="4">
        <f t="shared" si="176"/>
        <v>0.145103092783505</v>
      </c>
      <c r="AO1803" t="s">
        <v>221</v>
      </c>
      <c r="AQ1803" t="s">
        <v>217</v>
      </c>
      <c r="AT1803" t="s">
        <v>558</v>
      </c>
    </row>
    <row r="1804" ht="15.75" customHeight="1" spans="1:46">
      <c r="A1804" t="s">
        <v>2787</v>
      </c>
      <c r="B1804" t="s">
        <v>79</v>
      </c>
      <c r="C1804" t="s">
        <v>2351</v>
      </c>
      <c r="D1804" t="s">
        <v>2480</v>
      </c>
      <c r="E1804" t="s">
        <v>2423</v>
      </c>
      <c r="F1804" t="s">
        <v>2788</v>
      </c>
      <c r="H1804" t="s">
        <v>2355</v>
      </c>
      <c r="I1804" t="s">
        <v>2367</v>
      </c>
      <c r="Q1804" t="s">
        <v>57</v>
      </c>
      <c r="R1804" t="s">
        <v>2794</v>
      </c>
      <c r="Y1804" t="s">
        <v>2790</v>
      </c>
      <c r="Z1804">
        <v>3917</v>
      </c>
      <c r="AE1804">
        <v>273</v>
      </c>
      <c r="AF1804" s="4">
        <v>0.37</v>
      </c>
      <c r="AG1804">
        <f t="shared" si="177"/>
        <v>171.99</v>
      </c>
      <c r="AH1804" s="4">
        <v>0.18</v>
      </c>
      <c r="AI1804">
        <f t="shared" si="172"/>
        <v>202.95</v>
      </c>
      <c r="AJ1804" s="4">
        <v>0.15</v>
      </c>
      <c r="AK1804">
        <f t="shared" si="173"/>
        <v>30.44</v>
      </c>
      <c r="AL1804">
        <f t="shared" si="174"/>
        <v>233.39</v>
      </c>
      <c r="AM1804">
        <f t="shared" si="175"/>
        <v>39.61</v>
      </c>
      <c r="AN1804" s="4">
        <f t="shared" si="176"/>
        <v>0.145091575091575</v>
      </c>
      <c r="AO1804" t="s">
        <v>221</v>
      </c>
      <c r="AQ1804" t="s">
        <v>217</v>
      </c>
      <c r="AT1804" t="s">
        <v>558</v>
      </c>
    </row>
    <row r="1805" ht="15.75" customHeight="1" spans="1:46">
      <c r="A1805" t="s">
        <v>2787</v>
      </c>
      <c r="B1805" t="s">
        <v>83</v>
      </c>
      <c r="C1805" t="s">
        <v>2351</v>
      </c>
      <c r="D1805" t="s">
        <v>2480</v>
      </c>
      <c r="E1805" t="s">
        <v>2423</v>
      </c>
      <c r="F1805" t="s">
        <v>2788</v>
      </c>
      <c r="H1805" t="s">
        <v>2355</v>
      </c>
      <c r="I1805" t="s">
        <v>2369</v>
      </c>
      <c r="Q1805" t="s">
        <v>57</v>
      </c>
      <c r="R1805" t="s">
        <v>2795</v>
      </c>
      <c r="Y1805" t="s">
        <v>2790</v>
      </c>
      <c r="Z1805">
        <v>3917</v>
      </c>
      <c r="AE1805">
        <v>430</v>
      </c>
      <c r="AF1805" s="4">
        <v>0.37</v>
      </c>
      <c r="AG1805">
        <f t="shared" si="177"/>
        <v>270.9</v>
      </c>
      <c r="AH1805" s="4">
        <v>0.18</v>
      </c>
      <c r="AI1805">
        <f t="shared" si="172"/>
        <v>319.66</v>
      </c>
      <c r="AJ1805" s="4">
        <v>0.15</v>
      </c>
      <c r="AK1805">
        <f t="shared" si="173"/>
        <v>47.95</v>
      </c>
      <c r="AL1805">
        <f t="shared" si="174"/>
        <v>367.61</v>
      </c>
      <c r="AM1805">
        <f t="shared" si="175"/>
        <v>62.39</v>
      </c>
      <c r="AN1805" s="4">
        <f t="shared" si="176"/>
        <v>0.145093023255814</v>
      </c>
      <c r="AO1805" t="s">
        <v>221</v>
      </c>
      <c r="AQ1805" t="s">
        <v>217</v>
      </c>
      <c r="AT1805" t="s">
        <v>558</v>
      </c>
    </row>
    <row r="1806" ht="15.75" customHeight="1" spans="1:46">
      <c r="A1806" t="s">
        <v>2796</v>
      </c>
      <c r="B1806" t="s">
        <v>46</v>
      </c>
      <c r="C1806" t="s">
        <v>2351</v>
      </c>
      <c r="D1806" t="s">
        <v>2480</v>
      </c>
      <c r="E1806" t="s">
        <v>2423</v>
      </c>
      <c r="F1806" t="s">
        <v>2797</v>
      </c>
      <c r="H1806" t="s">
        <v>53</v>
      </c>
      <c r="I1806" t="s">
        <v>2545</v>
      </c>
      <c r="Q1806" t="s">
        <v>57</v>
      </c>
      <c r="R1806" t="s">
        <v>2798</v>
      </c>
      <c r="Y1806" t="s">
        <v>2799</v>
      </c>
      <c r="Z1806">
        <v>3917</v>
      </c>
      <c r="AE1806">
        <v>22</v>
      </c>
      <c r="AF1806" s="4">
        <v>0.37</v>
      </c>
      <c r="AG1806">
        <f t="shared" si="177"/>
        <v>13.86</v>
      </c>
      <c r="AH1806" s="4">
        <v>0.18</v>
      </c>
      <c r="AI1806">
        <f t="shared" si="172"/>
        <v>16.35</v>
      </c>
      <c r="AJ1806" s="4">
        <v>0.15</v>
      </c>
      <c r="AK1806">
        <f t="shared" si="173"/>
        <v>2.45</v>
      </c>
      <c r="AL1806">
        <f t="shared" si="174"/>
        <v>18.8</v>
      </c>
      <c r="AM1806">
        <f t="shared" si="175"/>
        <v>3.2</v>
      </c>
      <c r="AN1806" s="4">
        <f t="shared" si="176"/>
        <v>0.145454545454545</v>
      </c>
      <c r="AO1806" t="s">
        <v>221</v>
      </c>
      <c r="AQ1806" t="s">
        <v>217</v>
      </c>
      <c r="AT1806" t="s">
        <v>558</v>
      </c>
    </row>
    <row r="1807" ht="15.75" customHeight="1" spans="1:46">
      <c r="A1807" t="s">
        <v>2796</v>
      </c>
      <c r="B1807" t="s">
        <v>67</v>
      </c>
      <c r="C1807" t="s">
        <v>2351</v>
      </c>
      <c r="D1807" t="s">
        <v>2480</v>
      </c>
      <c r="E1807" t="s">
        <v>2423</v>
      </c>
      <c r="F1807" t="s">
        <v>2797</v>
      </c>
      <c r="H1807" t="s">
        <v>53</v>
      </c>
      <c r="I1807" t="s">
        <v>2554</v>
      </c>
      <c r="Q1807" t="s">
        <v>57</v>
      </c>
      <c r="R1807" t="s">
        <v>2800</v>
      </c>
      <c r="Y1807" t="s">
        <v>2799</v>
      </c>
      <c r="Z1807">
        <v>3917</v>
      </c>
      <c r="AE1807">
        <v>25</v>
      </c>
      <c r="AF1807" s="4">
        <v>0.37</v>
      </c>
      <c r="AG1807">
        <f t="shared" si="177"/>
        <v>15.75</v>
      </c>
      <c r="AH1807" s="4">
        <v>0.18</v>
      </c>
      <c r="AI1807">
        <f t="shared" si="172"/>
        <v>18.59</v>
      </c>
      <c r="AJ1807" s="4">
        <v>0.15</v>
      </c>
      <c r="AK1807">
        <f t="shared" si="173"/>
        <v>2.79</v>
      </c>
      <c r="AL1807">
        <f t="shared" si="174"/>
        <v>21.38</v>
      </c>
      <c r="AM1807">
        <f t="shared" si="175"/>
        <v>3.62</v>
      </c>
      <c r="AN1807" s="4">
        <f t="shared" si="176"/>
        <v>0.1448</v>
      </c>
      <c r="AO1807" t="s">
        <v>221</v>
      </c>
      <c r="AQ1807" t="s">
        <v>217</v>
      </c>
      <c r="AT1807" t="s">
        <v>558</v>
      </c>
    </row>
    <row r="1808" ht="15.75" customHeight="1" spans="1:46">
      <c r="A1808" t="s">
        <v>2796</v>
      </c>
      <c r="B1808" t="s">
        <v>71</v>
      </c>
      <c r="C1808" t="s">
        <v>2351</v>
      </c>
      <c r="D1808" t="s">
        <v>2480</v>
      </c>
      <c r="E1808" t="s">
        <v>2423</v>
      </c>
      <c r="F1808" t="s">
        <v>2797</v>
      </c>
      <c r="H1808" t="s">
        <v>53</v>
      </c>
      <c r="I1808" t="s">
        <v>2548</v>
      </c>
      <c r="Q1808" t="s">
        <v>57</v>
      </c>
      <c r="R1808" t="s">
        <v>2801</v>
      </c>
      <c r="Y1808" t="s">
        <v>2799</v>
      </c>
      <c r="Z1808">
        <v>3917</v>
      </c>
      <c r="AE1808">
        <v>35</v>
      </c>
      <c r="AF1808" s="4">
        <v>0.37</v>
      </c>
      <c r="AG1808">
        <f t="shared" si="177"/>
        <v>22.05</v>
      </c>
      <c r="AH1808" s="4">
        <v>0.18</v>
      </c>
      <c r="AI1808">
        <f t="shared" si="172"/>
        <v>26.02</v>
      </c>
      <c r="AJ1808" s="4">
        <v>0.15</v>
      </c>
      <c r="AK1808">
        <f t="shared" si="173"/>
        <v>3.9</v>
      </c>
      <c r="AL1808">
        <f t="shared" si="174"/>
        <v>29.92</v>
      </c>
      <c r="AM1808">
        <f t="shared" si="175"/>
        <v>5.08</v>
      </c>
      <c r="AN1808" s="4">
        <f t="shared" si="176"/>
        <v>0.145142857142857</v>
      </c>
      <c r="AO1808" t="s">
        <v>221</v>
      </c>
      <c r="AQ1808" t="s">
        <v>217</v>
      </c>
      <c r="AT1808" t="s">
        <v>558</v>
      </c>
    </row>
    <row r="1809" ht="15.75" customHeight="1" spans="1:46">
      <c r="A1809" t="s">
        <v>2796</v>
      </c>
      <c r="B1809" t="s">
        <v>75</v>
      </c>
      <c r="C1809" t="s">
        <v>2351</v>
      </c>
      <c r="D1809" t="s">
        <v>2480</v>
      </c>
      <c r="E1809" t="s">
        <v>2423</v>
      </c>
      <c r="F1809" t="s">
        <v>2797</v>
      </c>
      <c r="H1809" t="s">
        <v>53</v>
      </c>
      <c r="I1809" t="s">
        <v>2557</v>
      </c>
      <c r="Q1809" t="s">
        <v>57</v>
      </c>
      <c r="R1809" t="s">
        <v>2802</v>
      </c>
      <c r="Y1809" t="s">
        <v>2799</v>
      </c>
      <c r="Z1809">
        <v>3917</v>
      </c>
      <c r="AE1809">
        <v>53</v>
      </c>
      <c r="AF1809" s="4">
        <v>0.37</v>
      </c>
      <c r="AG1809">
        <f t="shared" si="177"/>
        <v>33.39</v>
      </c>
      <c r="AH1809" s="4">
        <v>0.18</v>
      </c>
      <c r="AI1809">
        <f t="shared" si="172"/>
        <v>39.4</v>
      </c>
      <c r="AJ1809" s="4">
        <v>0.15</v>
      </c>
      <c r="AK1809">
        <f t="shared" si="173"/>
        <v>5.91</v>
      </c>
      <c r="AL1809">
        <f t="shared" si="174"/>
        <v>45.31</v>
      </c>
      <c r="AM1809">
        <f t="shared" si="175"/>
        <v>7.69</v>
      </c>
      <c r="AN1809" s="4">
        <f t="shared" si="176"/>
        <v>0.145094339622641</v>
      </c>
      <c r="AO1809" t="s">
        <v>221</v>
      </c>
      <c r="AQ1809" t="s">
        <v>217</v>
      </c>
      <c r="AT1809" t="s">
        <v>558</v>
      </c>
    </row>
    <row r="1810" ht="15.75" customHeight="1" spans="1:46">
      <c r="A1810" t="s">
        <v>2796</v>
      </c>
      <c r="B1810" t="s">
        <v>79</v>
      </c>
      <c r="C1810" t="s">
        <v>2351</v>
      </c>
      <c r="D1810" t="s">
        <v>2480</v>
      </c>
      <c r="E1810" t="s">
        <v>2423</v>
      </c>
      <c r="F1810" t="s">
        <v>2797</v>
      </c>
      <c r="H1810" t="s">
        <v>53</v>
      </c>
      <c r="I1810" t="s">
        <v>2559</v>
      </c>
      <c r="Q1810" t="s">
        <v>57</v>
      </c>
      <c r="R1810" t="s">
        <v>2803</v>
      </c>
      <c r="Y1810" t="s">
        <v>2799</v>
      </c>
      <c r="Z1810">
        <v>3917</v>
      </c>
      <c r="AE1810">
        <v>60</v>
      </c>
      <c r="AF1810" s="4">
        <v>0.37</v>
      </c>
      <c r="AG1810">
        <f t="shared" si="177"/>
        <v>37.8</v>
      </c>
      <c r="AH1810" s="4">
        <v>0.18</v>
      </c>
      <c r="AI1810">
        <f t="shared" si="172"/>
        <v>44.6</v>
      </c>
      <c r="AJ1810" s="4">
        <v>0.15</v>
      </c>
      <c r="AK1810">
        <f t="shared" si="173"/>
        <v>6.69</v>
      </c>
      <c r="AL1810">
        <f t="shared" si="174"/>
        <v>51.29</v>
      </c>
      <c r="AM1810">
        <f t="shared" si="175"/>
        <v>8.71</v>
      </c>
      <c r="AN1810" s="4">
        <f t="shared" si="176"/>
        <v>0.145166666666667</v>
      </c>
      <c r="AO1810" t="s">
        <v>221</v>
      </c>
      <c r="AQ1810" t="s">
        <v>217</v>
      </c>
      <c r="AT1810" t="s">
        <v>558</v>
      </c>
    </row>
    <row r="1811" ht="15.75" customHeight="1" spans="1:46">
      <c r="A1811" t="s">
        <v>2796</v>
      </c>
      <c r="B1811" t="s">
        <v>83</v>
      </c>
      <c r="C1811" t="s">
        <v>2351</v>
      </c>
      <c r="D1811" t="s">
        <v>2480</v>
      </c>
      <c r="E1811" t="s">
        <v>2423</v>
      </c>
      <c r="F1811" t="s">
        <v>2797</v>
      </c>
      <c r="H1811" t="s">
        <v>53</v>
      </c>
      <c r="I1811" t="s">
        <v>2561</v>
      </c>
      <c r="Q1811" t="s">
        <v>57</v>
      </c>
      <c r="R1811" t="s">
        <v>2804</v>
      </c>
      <c r="Y1811" t="s">
        <v>2799</v>
      </c>
      <c r="Z1811">
        <v>3917</v>
      </c>
      <c r="AE1811">
        <v>65</v>
      </c>
      <c r="AF1811" s="4">
        <v>0.37</v>
      </c>
      <c r="AG1811">
        <f t="shared" si="177"/>
        <v>40.95</v>
      </c>
      <c r="AH1811" s="4">
        <v>0.18</v>
      </c>
      <c r="AI1811">
        <f t="shared" si="172"/>
        <v>48.32</v>
      </c>
      <c r="AJ1811" s="4">
        <v>0.15</v>
      </c>
      <c r="AK1811">
        <f t="shared" si="173"/>
        <v>7.25</v>
      </c>
      <c r="AL1811">
        <f t="shared" si="174"/>
        <v>55.57</v>
      </c>
      <c r="AM1811">
        <f t="shared" si="175"/>
        <v>9.43</v>
      </c>
      <c r="AN1811" s="4">
        <f t="shared" si="176"/>
        <v>0.145076923076923</v>
      </c>
      <c r="AO1811" t="s">
        <v>221</v>
      </c>
      <c r="AQ1811" t="s">
        <v>217</v>
      </c>
      <c r="AT1811" t="s">
        <v>558</v>
      </c>
    </row>
    <row r="1812" ht="15.75" customHeight="1" spans="1:46">
      <c r="A1812" t="s">
        <v>2796</v>
      </c>
      <c r="B1812" t="s">
        <v>131</v>
      </c>
      <c r="C1812" t="s">
        <v>2351</v>
      </c>
      <c r="D1812" t="s">
        <v>2480</v>
      </c>
      <c r="E1812" t="s">
        <v>2423</v>
      </c>
      <c r="F1812" t="s">
        <v>2797</v>
      </c>
      <c r="H1812" t="s">
        <v>53</v>
      </c>
      <c r="I1812" t="s">
        <v>2563</v>
      </c>
      <c r="Q1812" t="s">
        <v>57</v>
      </c>
      <c r="R1812" t="s">
        <v>2805</v>
      </c>
      <c r="Y1812" t="s">
        <v>2799</v>
      </c>
      <c r="Z1812">
        <v>3917</v>
      </c>
      <c r="AE1812">
        <v>194</v>
      </c>
      <c r="AF1812" s="4">
        <v>0.37</v>
      </c>
      <c r="AG1812">
        <f t="shared" si="177"/>
        <v>122.22</v>
      </c>
      <c r="AH1812" s="4">
        <v>0.18</v>
      </c>
      <c r="AI1812">
        <f t="shared" si="172"/>
        <v>144.22</v>
      </c>
      <c r="AJ1812" s="4">
        <v>0.15</v>
      </c>
      <c r="AK1812">
        <f t="shared" si="173"/>
        <v>21.63</v>
      </c>
      <c r="AL1812">
        <f t="shared" si="174"/>
        <v>165.85</v>
      </c>
      <c r="AM1812">
        <f t="shared" si="175"/>
        <v>28.15</v>
      </c>
      <c r="AN1812" s="4">
        <f t="shared" si="176"/>
        <v>0.145103092783505</v>
      </c>
      <c r="AO1812" t="s">
        <v>221</v>
      </c>
      <c r="AQ1812" t="s">
        <v>217</v>
      </c>
      <c r="AT1812" t="s">
        <v>558</v>
      </c>
    </row>
    <row r="1813" ht="15.75" customHeight="1" spans="1:46">
      <c r="A1813" t="s">
        <v>2806</v>
      </c>
      <c r="B1813" t="s">
        <v>46</v>
      </c>
      <c r="C1813" t="s">
        <v>2351</v>
      </c>
      <c r="D1813" t="s">
        <v>2480</v>
      </c>
      <c r="E1813" t="s">
        <v>2423</v>
      </c>
      <c r="F1813" t="s">
        <v>2807</v>
      </c>
      <c r="H1813" t="s">
        <v>53</v>
      </c>
      <c r="I1813" t="s">
        <v>2356</v>
      </c>
      <c r="Q1813" t="s">
        <v>57</v>
      </c>
      <c r="R1813" t="s">
        <v>2808</v>
      </c>
      <c r="Y1813" t="s">
        <v>2809</v>
      </c>
      <c r="Z1813">
        <v>3917</v>
      </c>
      <c r="AE1813">
        <v>198</v>
      </c>
      <c r="AF1813" s="4">
        <v>0.37</v>
      </c>
      <c r="AG1813">
        <f t="shared" si="177"/>
        <v>124.74</v>
      </c>
      <c r="AH1813" s="4">
        <v>0.18</v>
      </c>
      <c r="AI1813">
        <f t="shared" si="172"/>
        <v>147.19</v>
      </c>
      <c r="AJ1813" s="4">
        <v>0.15</v>
      </c>
      <c r="AK1813">
        <f t="shared" si="173"/>
        <v>22.08</v>
      </c>
      <c r="AL1813">
        <f t="shared" si="174"/>
        <v>169.27</v>
      </c>
      <c r="AM1813">
        <f t="shared" si="175"/>
        <v>28.73</v>
      </c>
      <c r="AN1813" s="4">
        <f t="shared" si="176"/>
        <v>0.14510101010101</v>
      </c>
      <c r="AO1813" t="s">
        <v>221</v>
      </c>
      <c r="AQ1813" t="s">
        <v>217</v>
      </c>
      <c r="AT1813" t="s">
        <v>558</v>
      </c>
    </row>
    <row r="1814" ht="15.75" customHeight="1" spans="1:46">
      <c r="A1814" t="s">
        <v>2806</v>
      </c>
      <c r="B1814" t="s">
        <v>67</v>
      </c>
      <c r="C1814" t="s">
        <v>2351</v>
      </c>
      <c r="D1814" t="s">
        <v>2480</v>
      </c>
      <c r="E1814" t="s">
        <v>2423</v>
      </c>
      <c r="F1814" t="s">
        <v>2807</v>
      </c>
      <c r="H1814" t="s">
        <v>53</v>
      </c>
      <c r="I1814" t="s">
        <v>2360</v>
      </c>
      <c r="Q1814" t="s">
        <v>57</v>
      </c>
      <c r="R1814" t="s">
        <v>2810</v>
      </c>
      <c r="Y1814" t="s">
        <v>2809</v>
      </c>
      <c r="Z1814">
        <v>3917</v>
      </c>
      <c r="AE1814">
        <v>252</v>
      </c>
      <c r="AF1814" s="4">
        <v>0.37</v>
      </c>
      <c r="AG1814">
        <f t="shared" si="177"/>
        <v>158.76</v>
      </c>
      <c r="AH1814" s="4">
        <v>0.18</v>
      </c>
      <c r="AI1814">
        <f t="shared" si="172"/>
        <v>187.34</v>
      </c>
      <c r="AJ1814" s="4">
        <v>0.15</v>
      </c>
      <c r="AK1814">
        <f t="shared" si="173"/>
        <v>28.1</v>
      </c>
      <c r="AL1814">
        <f t="shared" si="174"/>
        <v>215.44</v>
      </c>
      <c r="AM1814">
        <f t="shared" si="175"/>
        <v>36.56</v>
      </c>
      <c r="AN1814" s="4">
        <f t="shared" si="176"/>
        <v>0.145079365079365</v>
      </c>
      <c r="AO1814" t="s">
        <v>221</v>
      </c>
      <c r="AQ1814" t="s">
        <v>217</v>
      </c>
      <c r="AT1814" t="s">
        <v>558</v>
      </c>
    </row>
    <row r="1815" ht="15.75" customHeight="1" spans="1:46">
      <c r="A1815" t="s">
        <v>2806</v>
      </c>
      <c r="B1815" t="s">
        <v>71</v>
      </c>
      <c r="C1815" t="s">
        <v>2351</v>
      </c>
      <c r="D1815" t="s">
        <v>2480</v>
      </c>
      <c r="E1815" t="s">
        <v>2423</v>
      </c>
      <c r="F1815" t="s">
        <v>2807</v>
      </c>
      <c r="H1815" t="s">
        <v>53</v>
      </c>
      <c r="I1815" t="s">
        <v>2363</v>
      </c>
      <c r="Q1815" t="s">
        <v>57</v>
      </c>
      <c r="R1815" t="s">
        <v>2811</v>
      </c>
      <c r="Y1815" t="s">
        <v>2809</v>
      </c>
      <c r="Z1815">
        <v>3917</v>
      </c>
      <c r="AE1815">
        <v>406</v>
      </c>
      <c r="AF1815" s="4">
        <v>0.37</v>
      </c>
      <c r="AG1815">
        <f t="shared" si="177"/>
        <v>255.78</v>
      </c>
      <c r="AH1815" s="4">
        <v>0.18</v>
      </c>
      <c r="AI1815">
        <f t="shared" si="172"/>
        <v>301.82</v>
      </c>
      <c r="AJ1815" s="4">
        <v>0.15</v>
      </c>
      <c r="AK1815">
        <f t="shared" si="173"/>
        <v>45.27</v>
      </c>
      <c r="AL1815">
        <f t="shared" si="174"/>
        <v>347.09</v>
      </c>
      <c r="AM1815">
        <f t="shared" si="175"/>
        <v>58.91</v>
      </c>
      <c r="AN1815" s="4">
        <f t="shared" si="176"/>
        <v>0.145098522167488</v>
      </c>
      <c r="AO1815" t="s">
        <v>221</v>
      </c>
      <c r="AQ1815" t="s">
        <v>217</v>
      </c>
      <c r="AT1815" t="s">
        <v>558</v>
      </c>
    </row>
    <row r="1816" ht="15.75" customHeight="1" spans="1:46">
      <c r="A1816" t="s">
        <v>2806</v>
      </c>
      <c r="B1816" t="s">
        <v>75</v>
      </c>
      <c r="C1816" t="s">
        <v>2351</v>
      </c>
      <c r="D1816" t="s">
        <v>2480</v>
      </c>
      <c r="E1816" t="s">
        <v>2423</v>
      </c>
      <c r="F1816" t="s">
        <v>2807</v>
      </c>
      <c r="H1816" t="s">
        <v>53</v>
      </c>
      <c r="I1816" t="s">
        <v>2365</v>
      </c>
      <c r="Q1816" t="s">
        <v>57</v>
      </c>
      <c r="R1816" t="s">
        <v>2812</v>
      </c>
      <c r="Y1816" t="s">
        <v>2809</v>
      </c>
      <c r="Z1816">
        <v>3917</v>
      </c>
      <c r="AE1816">
        <v>825</v>
      </c>
      <c r="AF1816" s="4">
        <v>0.37</v>
      </c>
      <c r="AG1816">
        <f t="shared" si="177"/>
        <v>519.75</v>
      </c>
      <c r="AH1816" s="4">
        <v>0.18</v>
      </c>
      <c r="AI1816">
        <f t="shared" si="172"/>
        <v>613.31</v>
      </c>
      <c r="AJ1816" s="4">
        <v>0.15</v>
      </c>
      <c r="AK1816">
        <f t="shared" si="173"/>
        <v>92</v>
      </c>
      <c r="AL1816">
        <f t="shared" si="174"/>
        <v>705.31</v>
      </c>
      <c r="AM1816">
        <f t="shared" si="175"/>
        <v>119.69</v>
      </c>
      <c r="AN1816" s="4">
        <f t="shared" si="176"/>
        <v>0.145078787878788</v>
      </c>
      <c r="AO1816" t="s">
        <v>221</v>
      </c>
      <c r="AQ1816" t="s">
        <v>217</v>
      </c>
      <c r="AT1816" t="s">
        <v>558</v>
      </c>
    </row>
    <row r="1817" ht="15.75" customHeight="1" spans="1:46">
      <c r="A1817" t="s">
        <v>2806</v>
      </c>
      <c r="B1817" t="s">
        <v>79</v>
      </c>
      <c r="C1817" t="s">
        <v>2351</v>
      </c>
      <c r="D1817" t="s">
        <v>2480</v>
      </c>
      <c r="E1817" t="s">
        <v>2423</v>
      </c>
      <c r="F1817" t="s">
        <v>2807</v>
      </c>
      <c r="H1817" t="s">
        <v>53</v>
      </c>
      <c r="I1817" t="s">
        <v>2367</v>
      </c>
      <c r="Q1817" t="s">
        <v>57</v>
      </c>
      <c r="R1817" t="s">
        <v>2813</v>
      </c>
      <c r="Y1817" t="s">
        <v>2809</v>
      </c>
      <c r="Z1817">
        <v>3917</v>
      </c>
      <c r="AE1817">
        <v>1021</v>
      </c>
      <c r="AF1817" s="4">
        <v>0.37</v>
      </c>
      <c r="AG1817">
        <f t="shared" si="177"/>
        <v>643.23</v>
      </c>
      <c r="AH1817" s="4">
        <v>0.18</v>
      </c>
      <c r="AI1817">
        <f t="shared" si="172"/>
        <v>759.01</v>
      </c>
      <c r="AJ1817" s="4">
        <v>0.15</v>
      </c>
      <c r="AK1817">
        <f t="shared" si="173"/>
        <v>113.85</v>
      </c>
      <c r="AL1817">
        <f t="shared" si="174"/>
        <v>872.86</v>
      </c>
      <c r="AM1817">
        <f t="shared" si="175"/>
        <v>148.14</v>
      </c>
      <c r="AN1817" s="4">
        <f t="shared" si="176"/>
        <v>0.145093046033301</v>
      </c>
      <c r="AO1817" t="s">
        <v>221</v>
      </c>
      <c r="AQ1817" t="s">
        <v>217</v>
      </c>
      <c r="AT1817" t="s">
        <v>558</v>
      </c>
    </row>
    <row r="1818" ht="15.75" customHeight="1" spans="1:46">
      <c r="A1818" t="s">
        <v>2806</v>
      </c>
      <c r="B1818" t="s">
        <v>83</v>
      </c>
      <c r="C1818" t="s">
        <v>2351</v>
      </c>
      <c r="D1818" t="s">
        <v>2480</v>
      </c>
      <c r="E1818" t="s">
        <v>2423</v>
      </c>
      <c r="F1818" t="s">
        <v>2807</v>
      </c>
      <c r="H1818" t="s">
        <v>53</v>
      </c>
      <c r="I1818" t="s">
        <v>2545</v>
      </c>
      <c r="Q1818" t="s">
        <v>57</v>
      </c>
      <c r="R1818" t="s">
        <v>2814</v>
      </c>
      <c r="Y1818" t="s">
        <v>2809</v>
      </c>
      <c r="Z1818">
        <v>3917</v>
      </c>
      <c r="AE1818">
        <v>150</v>
      </c>
      <c r="AF1818" s="4">
        <v>0.37</v>
      </c>
      <c r="AG1818">
        <f t="shared" si="177"/>
        <v>94.5</v>
      </c>
      <c r="AH1818" s="4">
        <v>0.18</v>
      </c>
      <c r="AI1818">
        <f t="shared" si="172"/>
        <v>111.51</v>
      </c>
      <c r="AJ1818" s="4">
        <v>0.15</v>
      </c>
      <c r="AK1818">
        <f t="shared" si="173"/>
        <v>16.73</v>
      </c>
      <c r="AL1818">
        <f t="shared" si="174"/>
        <v>128.24</v>
      </c>
      <c r="AM1818">
        <f t="shared" si="175"/>
        <v>21.76</v>
      </c>
      <c r="AN1818" s="4">
        <f t="shared" si="176"/>
        <v>0.145066666666667</v>
      </c>
      <c r="AO1818" t="s">
        <v>221</v>
      </c>
      <c r="AQ1818" t="s">
        <v>217</v>
      </c>
      <c r="AT1818" t="s">
        <v>558</v>
      </c>
    </row>
    <row r="1819" ht="15.75" customHeight="1" spans="1:46">
      <c r="A1819" t="s">
        <v>2815</v>
      </c>
      <c r="B1819" t="s">
        <v>46</v>
      </c>
      <c r="C1819" t="s">
        <v>2351</v>
      </c>
      <c r="D1819" t="s">
        <v>2480</v>
      </c>
      <c r="E1819" t="s">
        <v>2423</v>
      </c>
      <c r="F1819" t="s">
        <v>2816</v>
      </c>
      <c r="H1819" t="s">
        <v>53</v>
      </c>
      <c r="I1819" t="s">
        <v>2356</v>
      </c>
      <c r="Q1819" t="s">
        <v>57</v>
      </c>
      <c r="R1819" t="s">
        <v>2817</v>
      </c>
      <c r="Y1819" t="s">
        <v>2818</v>
      </c>
      <c r="Z1819">
        <v>3917</v>
      </c>
      <c r="AE1819">
        <v>123</v>
      </c>
      <c r="AF1819" s="4">
        <v>0.37</v>
      </c>
      <c r="AG1819">
        <f t="shared" si="177"/>
        <v>77.49</v>
      </c>
      <c r="AH1819" s="4">
        <v>0.18</v>
      </c>
      <c r="AI1819">
        <f t="shared" si="172"/>
        <v>91.44</v>
      </c>
      <c r="AJ1819" s="4">
        <v>0.15</v>
      </c>
      <c r="AK1819">
        <f t="shared" si="173"/>
        <v>13.72</v>
      </c>
      <c r="AL1819">
        <f t="shared" si="174"/>
        <v>105.16</v>
      </c>
      <c r="AM1819">
        <f t="shared" si="175"/>
        <v>17.84</v>
      </c>
      <c r="AN1819" s="4">
        <f t="shared" si="176"/>
        <v>0.145040650406504</v>
      </c>
      <c r="AO1819" t="s">
        <v>221</v>
      </c>
      <c r="AQ1819" t="s">
        <v>217</v>
      </c>
      <c r="AT1819" t="s">
        <v>558</v>
      </c>
    </row>
    <row r="1820" ht="15.75" customHeight="1" spans="1:46">
      <c r="A1820" t="s">
        <v>2815</v>
      </c>
      <c r="B1820" t="s">
        <v>67</v>
      </c>
      <c r="C1820" t="s">
        <v>2351</v>
      </c>
      <c r="D1820" t="s">
        <v>2480</v>
      </c>
      <c r="E1820" t="s">
        <v>2423</v>
      </c>
      <c r="F1820" t="s">
        <v>2816</v>
      </c>
      <c r="H1820" t="s">
        <v>53</v>
      </c>
      <c r="I1820" t="s">
        <v>2360</v>
      </c>
      <c r="Q1820" t="s">
        <v>57</v>
      </c>
      <c r="R1820" t="s">
        <v>2819</v>
      </c>
      <c r="Y1820" t="s">
        <v>2818</v>
      </c>
      <c r="Z1820">
        <v>3917</v>
      </c>
      <c r="AE1820">
        <v>172</v>
      </c>
      <c r="AF1820" s="4">
        <v>0.37</v>
      </c>
      <c r="AG1820">
        <f t="shared" si="177"/>
        <v>108.36</v>
      </c>
      <c r="AH1820" s="4">
        <v>0.18</v>
      </c>
      <c r="AI1820">
        <f t="shared" si="172"/>
        <v>127.86</v>
      </c>
      <c r="AJ1820" s="4">
        <v>0.15</v>
      </c>
      <c r="AK1820">
        <f t="shared" si="173"/>
        <v>19.18</v>
      </c>
      <c r="AL1820">
        <f t="shared" si="174"/>
        <v>147.04</v>
      </c>
      <c r="AM1820">
        <f t="shared" si="175"/>
        <v>24.96</v>
      </c>
      <c r="AN1820" s="4">
        <f t="shared" si="176"/>
        <v>0.145116279069767</v>
      </c>
      <c r="AO1820" t="s">
        <v>221</v>
      </c>
      <c r="AQ1820" t="s">
        <v>217</v>
      </c>
      <c r="AT1820" t="s">
        <v>558</v>
      </c>
    </row>
    <row r="1821" ht="15.75" customHeight="1" spans="1:46">
      <c r="A1821" t="s">
        <v>2815</v>
      </c>
      <c r="B1821" t="s">
        <v>71</v>
      </c>
      <c r="C1821" t="s">
        <v>2351</v>
      </c>
      <c r="D1821" t="s">
        <v>2480</v>
      </c>
      <c r="E1821" t="s">
        <v>2423</v>
      </c>
      <c r="F1821" t="s">
        <v>2816</v>
      </c>
      <c r="H1821" t="s">
        <v>53</v>
      </c>
      <c r="I1821" t="s">
        <v>2363</v>
      </c>
      <c r="Q1821" t="s">
        <v>57</v>
      </c>
      <c r="R1821" t="s">
        <v>2820</v>
      </c>
      <c r="Y1821" t="s">
        <v>2818</v>
      </c>
      <c r="Z1821">
        <v>3917</v>
      </c>
      <c r="AE1821">
        <v>291</v>
      </c>
      <c r="AF1821" s="4">
        <v>0.37</v>
      </c>
      <c r="AG1821">
        <f t="shared" si="177"/>
        <v>183.33</v>
      </c>
      <c r="AH1821" s="4">
        <v>0.18</v>
      </c>
      <c r="AI1821">
        <f t="shared" si="172"/>
        <v>216.33</v>
      </c>
      <c r="AJ1821" s="4">
        <v>0.15</v>
      </c>
      <c r="AK1821">
        <f t="shared" si="173"/>
        <v>32.45</v>
      </c>
      <c r="AL1821">
        <f t="shared" si="174"/>
        <v>248.78</v>
      </c>
      <c r="AM1821">
        <f t="shared" si="175"/>
        <v>42.22</v>
      </c>
      <c r="AN1821" s="4">
        <f t="shared" si="176"/>
        <v>0.145085910652921</v>
      </c>
      <c r="AO1821" t="s">
        <v>221</v>
      </c>
      <c r="AQ1821" t="s">
        <v>217</v>
      </c>
      <c r="AT1821" t="s">
        <v>558</v>
      </c>
    </row>
    <row r="1822" ht="15.75" customHeight="1" spans="1:46">
      <c r="A1822" t="s">
        <v>2815</v>
      </c>
      <c r="B1822" t="s">
        <v>75</v>
      </c>
      <c r="C1822" t="s">
        <v>2351</v>
      </c>
      <c r="D1822" t="s">
        <v>2480</v>
      </c>
      <c r="E1822" t="s">
        <v>2423</v>
      </c>
      <c r="F1822" t="s">
        <v>2816</v>
      </c>
      <c r="H1822" t="s">
        <v>53</v>
      </c>
      <c r="I1822" t="s">
        <v>2365</v>
      </c>
      <c r="Q1822" t="s">
        <v>57</v>
      </c>
      <c r="R1822" t="s">
        <v>2821</v>
      </c>
      <c r="Y1822" t="s">
        <v>2818</v>
      </c>
      <c r="Z1822">
        <v>3917</v>
      </c>
      <c r="AE1822">
        <v>510</v>
      </c>
      <c r="AF1822" s="4">
        <v>0.37</v>
      </c>
      <c r="AG1822">
        <f t="shared" si="177"/>
        <v>321.3</v>
      </c>
      <c r="AH1822" s="4">
        <v>0.18</v>
      </c>
      <c r="AI1822">
        <f t="shared" si="172"/>
        <v>379.13</v>
      </c>
      <c r="AJ1822" s="4">
        <v>0.15</v>
      </c>
      <c r="AK1822">
        <f t="shared" si="173"/>
        <v>56.87</v>
      </c>
      <c r="AL1822">
        <f t="shared" si="174"/>
        <v>436</v>
      </c>
      <c r="AM1822">
        <f t="shared" si="175"/>
        <v>74</v>
      </c>
      <c r="AN1822" s="4">
        <f t="shared" si="176"/>
        <v>0.145098039215686</v>
      </c>
      <c r="AO1822" t="s">
        <v>221</v>
      </c>
      <c r="AQ1822" t="s">
        <v>217</v>
      </c>
      <c r="AT1822" t="s">
        <v>558</v>
      </c>
    </row>
    <row r="1823" ht="15.75" customHeight="1" spans="1:46">
      <c r="A1823" t="s">
        <v>2815</v>
      </c>
      <c r="B1823" t="s">
        <v>79</v>
      </c>
      <c r="C1823" t="s">
        <v>2351</v>
      </c>
      <c r="D1823" t="s">
        <v>2480</v>
      </c>
      <c r="E1823" t="s">
        <v>2423</v>
      </c>
      <c r="F1823" t="s">
        <v>2816</v>
      </c>
      <c r="H1823" t="s">
        <v>53</v>
      </c>
      <c r="I1823" t="s">
        <v>2367</v>
      </c>
      <c r="Q1823" t="s">
        <v>57</v>
      </c>
      <c r="R1823" t="s">
        <v>2822</v>
      </c>
      <c r="Y1823" t="s">
        <v>2818</v>
      </c>
      <c r="Z1823">
        <v>3917</v>
      </c>
      <c r="AE1823">
        <v>750</v>
      </c>
      <c r="AF1823" s="4">
        <v>0.37</v>
      </c>
      <c r="AG1823">
        <f t="shared" si="177"/>
        <v>472.5</v>
      </c>
      <c r="AH1823" s="4">
        <v>0.18</v>
      </c>
      <c r="AI1823">
        <f t="shared" si="172"/>
        <v>557.55</v>
      </c>
      <c r="AJ1823" s="4">
        <v>0.15</v>
      </c>
      <c r="AK1823">
        <f t="shared" si="173"/>
        <v>83.63</v>
      </c>
      <c r="AL1823">
        <f t="shared" si="174"/>
        <v>641.18</v>
      </c>
      <c r="AM1823">
        <f t="shared" si="175"/>
        <v>108.82</v>
      </c>
      <c r="AN1823" s="4">
        <f t="shared" si="176"/>
        <v>0.145093333333333</v>
      </c>
      <c r="AO1823" t="s">
        <v>221</v>
      </c>
      <c r="AQ1823" t="s">
        <v>217</v>
      </c>
      <c r="AT1823" t="s">
        <v>558</v>
      </c>
    </row>
    <row r="1824" ht="15.75" customHeight="1" spans="1:46">
      <c r="A1824" t="s">
        <v>2815</v>
      </c>
      <c r="B1824" t="s">
        <v>83</v>
      </c>
      <c r="C1824" t="s">
        <v>2351</v>
      </c>
      <c r="D1824" t="s">
        <v>2480</v>
      </c>
      <c r="E1824" t="s">
        <v>2423</v>
      </c>
      <c r="F1824" t="s">
        <v>2816</v>
      </c>
      <c r="H1824" t="s">
        <v>53</v>
      </c>
      <c r="I1824" t="s">
        <v>2369</v>
      </c>
      <c r="Q1824" t="s">
        <v>57</v>
      </c>
      <c r="R1824" t="s">
        <v>2823</v>
      </c>
      <c r="Y1824" t="s">
        <v>2818</v>
      </c>
      <c r="Z1824">
        <v>3917</v>
      </c>
      <c r="AE1824">
        <v>1300</v>
      </c>
      <c r="AF1824" s="4">
        <v>0.37</v>
      </c>
      <c r="AG1824">
        <f t="shared" si="177"/>
        <v>819</v>
      </c>
      <c r="AH1824" s="4">
        <v>0.18</v>
      </c>
      <c r="AI1824">
        <f t="shared" si="172"/>
        <v>966.42</v>
      </c>
      <c r="AJ1824" s="4">
        <v>0.15</v>
      </c>
      <c r="AK1824">
        <f t="shared" si="173"/>
        <v>144.96</v>
      </c>
      <c r="AL1824">
        <f t="shared" si="174"/>
        <v>1111.38</v>
      </c>
      <c r="AM1824">
        <f t="shared" si="175"/>
        <v>188.62</v>
      </c>
      <c r="AN1824" s="4">
        <f t="shared" si="176"/>
        <v>0.145092307692308</v>
      </c>
      <c r="AO1824" t="s">
        <v>221</v>
      </c>
      <c r="AQ1824" t="s">
        <v>217</v>
      </c>
      <c r="AT1824" t="s">
        <v>558</v>
      </c>
    </row>
    <row r="1825" ht="15.75" customHeight="1" spans="1:46">
      <c r="A1825" t="s">
        <v>2815</v>
      </c>
      <c r="B1825" t="s">
        <v>131</v>
      </c>
      <c r="C1825" t="s">
        <v>2351</v>
      </c>
      <c r="D1825" t="s">
        <v>2480</v>
      </c>
      <c r="E1825" t="s">
        <v>2423</v>
      </c>
      <c r="F1825" t="s">
        <v>2816</v>
      </c>
      <c r="H1825" t="s">
        <v>53</v>
      </c>
      <c r="I1825" t="s">
        <v>2545</v>
      </c>
      <c r="Q1825" t="s">
        <v>57</v>
      </c>
      <c r="R1825" t="s">
        <v>2824</v>
      </c>
      <c r="Y1825" t="s">
        <v>2818</v>
      </c>
      <c r="Z1825">
        <v>3917</v>
      </c>
      <c r="AE1825">
        <v>91</v>
      </c>
      <c r="AF1825" s="4">
        <v>0.37</v>
      </c>
      <c r="AG1825">
        <f t="shared" si="177"/>
        <v>57.33</v>
      </c>
      <c r="AH1825" s="4">
        <v>0.18</v>
      </c>
      <c r="AI1825">
        <f t="shared" si="172"/>
        <v>67.65</v>
      </c>
      <c r="AJ1825" s="4">
        <v>0.15</v>
      </c>
      <c r="AK1825">
        <f t="shared" si="173"/>
        <v>10.15</v>
      </c>
      <c r="AL1825">
        <f t="shared" si="174"/>
        <v>77.8</v>
      </c>
      <c r="AM1825">
        <f t="shared" si="175"/>
        <v>13.2</v>
      </c>
      <c r="AN1825" s="4">
        <f t="shared" si="176"/>
        <v>0.145054945054945</v>
      </c>
      <c r="AO1825" t="s">
        <v>221</v>
      </c>
      <c r="AQ1825" t="s">
        <v>217</v>
      </c>
      <c r="AT1825" t="s">
        <v>558</v>
      </c>
    </row>
    <row r="1826" ht="15.75" customHeight="1" spans="1:46">
      <c r="A1826" t="s">
        <v>2815</v>
      </c>
      <c r="B1826" t="s">
        <v>133</v>
      </c>
      <c r="C1826" t="s">
        <v>2351</v>
      </c>
      <c r="D1826" t="s">
        <v>2480</v>
      </c>
      <c r="E1826" t="s">
        <v>2423</v>
      </c>
      <c r="F1826" t="s">
        <v>2816</v>
      </c>
      <c r="H1826" t="s">
        <v>53</v>
      </c>
      <c r="I1826" t="s">
        <v>2554</v>
      </c>
      <c r="Q1826" t="s">
        <v>57</v>
      </c>
      <c r="R1826" t="s">
        <v>2825</v>
      </c>
      <c r="Y1826" t="s">
        <v>2818</v>
      </c>
      <c r="Z1826">
        <v>3917</v>
      </c>
      <c r="AE1826">
        <v>141</v>
      </c>
      <c r="AF1826" s="4">
        <v>0.37</v>
      </c>
      <c r="AG1826">
        <f t="shared" si="177"/>
        <v>88.83</v>
      </c>
      <c r="AH1826" s="4">
        <v>0.18</v>
      </c>
      <c r="AI1826">
        <f t="shared" si="172"/>
        <v>104.82</v>
      </c>
      <c r="AJ1826" s="4">
        <v>0.15</v>
      </c>
      <c r="AK1826">
        <f t="shared" si="173"/>
        <v>15.72</v>
      </c>
      <c r="AL1826">
        <f t="shared" si="174"/>
        <v>120.54</v>
      </c>
      <c r="AM1826">
        <f t="shared" si="175"/>
        <v>20.46</v>
      </c>
      <c r="AN1826" s="4">
        <f t="shared" si="176"/>
        <v>0.145106382978723</v>
      </c>
      <c r="AO1826" t="s">
        <v>221</v>
      </c>
      <c r="AQ1826" t="s">
        <v>217</v>
      </c>
      <c r="AT1826" t="s">
        <v>558</v>
      </c>
    </row>
    <row r="1827" ht="15.75" customHeight="1" spans="1:46">
      <c r="A1827" t="s">
        <v>2815</v>
      </c>
      <c r="B1827" t="s">
        <v>135</v>
      </c>
      <c r="C1827" t="s">
        <v>2351</v>
      </c>
      <c r="D1827" t="s">
        <v>2480</v>
      </c>
      <c r="E1827" t="s">
        <v>2423</v>
      </c>
      <c r="F1827" t="s">
        <v>2816</v>
      </c>
      <c r="H1827" t="s">
        <v>53</v>
      </c>
      <c r="I1827" t="s">
        <v>2548</v>
      </c>
      <c r="Q1827" t="s">
        <v>57</v>
      </c>
      <c r="R1827" t="s">
        <v>2826</v>
      </c>
      <c r="Y1827" t="s">
        <v>2818</v>
      </c>
      <c r="Z1827">
        <v>3917</v>
      </c>
      <c r="AE1827">
        <v>153</v>
      </c>
      <c r="AF1827" s="4">
        <v>0.37</v>
      </c>
      <c r="AG1827">
        <f t="shared" si="177"/>
        <v>96.39</v>
      </c>
      <c r="AH1827" s="4">
        <v>0.18</v>
      </c>
      <c r="AI1827">
        <f t="shared" si="172"/>
        <v>113.74</v>
      </c>
      <c r="AJ1827" s="4">
        <v>0.15</v>
      </c>
      <c r="AK1827">
        <f t="shared" si="173"/>
        <v>17.06</v>
      </c>
      <c r="AL1827">
        <f t="shared" si="174"/>
        <v>130.8</v>
      </c>
      <c r="AM1827">
        <f t="shared" si="175"/>
        <v>22.2</v>
      </c>
      <c r="AN1827" s="4">
        <f t="shared" si="176"/>
        <v>0.145098039215686</v>
      </c>
      <c r="AO1827" t="s">
        <v>221</v>
      </c>
      <c r="AQ1827" t="s">
        <v>217</v>
      </c>
      <c r="AT1827" t="s">
        <v>558</v>
      </c>
    </row>
    <row r="1828" ht="15.75" customHeight="1" spans="1:46">
      <c r="A1828" t="s">
        <v>2827</v>
      </c>
      <c r="B1828" t="s">
        <v>46</v>
      </c>
      <c r="C1828" t="s">
        <v>2351</v>
      </c>
      <c r="D1828" t="s">
        <v>2480</v>
      </c>
      <c r="E1828" t="s">
        <v>2423</v>
      </c>
      <c r="F1828" t="s">
        <v>2828</v>
      </c>
      <c r="H1828" t="s">
        <v>53</v>
      </c>
      <c r="I1828" t="s">
        <v>2356</v>
      </c>
      <c r="Q1828" t="s">
        <v>57</v>
      </c>
      <c r="R1828" t="s">
        <v>2829</v>
      </c>
      <c r="Y1828" t="s">
        <v>2830</v>
      </c>
      <c r="Z1828">
        <v>3917</v>
      </c>
      <c r="AE1828">
        <v>85</v>
      </c>
      <c r="AF1828" s="4">
        <v>0.37</v>
      </c>
      <c r="AG1828">
        <f t="shared" si="177"/>
        <v>53.55</v>
      </c>
      <c r="AH1828" s="4">
        <v>0.18</v>
      </c>
      <c r="AI1828">
        <f t="shared" si="172"/>
        <v>63.19</v>
      </c>
      <c r="AJ1828" s="4">
        <v>0.15</v>
      </c>
      <c r="AK1828">
        <f t="shared" si="173"/>
        <v>9.48</v>
      </c>
      <c r="AL1828">
        <f t="shared" si="174"/>
        <v>72.67</v>
      </c>
      <c r="AM1828">
        <f t="shared" si="175"/>
        <v>12.33</v>
      </c>
      <c r="AN1828" s="4">
        <f t="shared" si="176"/>
        <v>0.145058823529412</v>
      </c>
      <c r="AO1828" t="s">
        <v>221</v>
      </c>
      <c r="AQ1828" t="s">
        <v>217</v>
      </c>
      <c r="AT1828" t="s">
        <v>558</v>
      </c>
    </row>
    <row r="1829" ht="15.75" customHeight="1" spans="1:46">
      <c r="A1829" t="s">
        <v>2827</v>
      </c>
      <c r="B1829" t="s">
        <v>67</v>
      </c>
      <c r="C1829" t="s">
        <v>2351</v>
      </c>
      <c r="D1829" t="s">
        <v>2480</v>
      </c>
      <c r="E1829" t="s">
        <v>2423</v>
      </c>
      <c r="F1829" t="s">
        <v>2828</v>
      </c>
      <c r="H1829" t="s">
        <v>53</v>
      </c>
      <c r="I1829" t="s">
        <v>2360</v>
      </c>
      <c r="Q1829" t="s">
        <v>57</v>
      </c>
      <c r="R1829" t="s">
        <v>2831</v>
      </c>
      <c r="Y1829" t="s">
        <v>2830</v>
      </c>
      <c r="Z1829">
        <v>3917</v>
      </c>
      <c r="AE1829">
        <v>128</v>
      </c>
      <c r="AF1829" s="4">
        <v>0.37</v>
      </c>
      <c r="AG1829">
        <f t="shared" si="177"/>
        <v>80.64</v>
      </c>
      <c r="AH1829" s="4">
        <v>0.18</v>
      </c>
      <c r="AI1829">
        <f t="shared" si="172"/>
        <v>95.16</v>
      </c>
      <c r="AJ1829" s="4">
        <v>0.15</v>
      </c>
      <c r="AK1829">
        <f t="shared" si="173"/>
        <v>14.27</v>
      </c>
      <c r="AL1829">
        <f t="shared" si="174"/>
        <v>109.43</v>
      </c>
      <c r="AM1829">
        <f t="shared" si="175"/>
        <v>18.57</v>
      </c>
      <c r="AN1829" s="4">
        <f t="shared" si="176"/>
        <v>0.145078125</v>
      </c>
      <c r="AO1829" t="s">
        <v>221</v>
      </c>
      <c r="AQ1829" t="s">
        <v>217</v>
      </c>
      <c r="AT1829" t="s">
        <v>558</v>
      </c>
    </row>
    <row r="1830" ht="15.75" customHeight="1" spans="1:46">
      <c r="A1830" t="s">
        <v>2827</v>
      </c>
      <c r="B1830" t="s">
        <v>71</v>
      </c>
      <c r="C1830" t="s">
        <v>2351</v>
      </c>
      <c r="D1830" t="s">
        <v>2480</v>
      </c>
      <c r="E1830" t="s">
        <v>2423</v>
      </c>
      <c r="F1830" t="s">
        <v>2828</v>
      </c>
      <c r="H1830" t="s">
        <v>53</v>
      </c>
      <c r="I1830" t="s">
        <v>2363</v>
      </c>
      <c r="Q1830" t="s">
        <v>57</v>
      </c>
      <c r="R1830" t="s">
        <v>2832</v>
      </c>
      <c r="Y1830" t="s">
        <v>2830</v>
      </c>
      <c r="Z1830">
        <v>3917</v>
      </c>
      <c r="AE1830">
        <v>365</v>
      </c>
      <c r="AF1830" s="4">
        <v>0.37</v>
      </c>
      <c r="AG1830">
        <f t="shared" si="177"/>
        <v>229.95</v>
      </c>
      <c r="AH1830" s="4">
        <v>0.18</v>
      </c>
      <c r="AI1830">
        <f t="shared" si="172"/>
        <v>271.34</v>
      </c>
      <c r="AJ1830" s="4">
        <v>0.15</v>
      </c>
      <c r="AK1830">
        <f t="shared" si="173"/>
        <v>40.7</v>
      </c>
      <c r="AL1830">
        <f t="shared" si="174"/>
        <v>312.04</v>
      </c>
      <c r="AM1830">
        <f t="shared" si="175"/>
        <v>52.96</v>
      </c>
      <c r="AN1830" s="4">
        <f t="shared" si="176"/>
        <v>0.145095890410959</v>
      </c>
      <c r="AO1830" t="s">
        <v>221</v>
      </c>
      <c r="AQ1830" t="s">
        <v>217</v>
      </c>
      <c r="AT1830" t="s">
        <v>558</v>
      </c>
    </row>
    <row r="1831" ht="15.75" customHeight="1" spans="1:46">
      <c r="A1831" t="s">
        <v>2827</v>
      </c>
      <c r="B1831" t="s">
        <v>75</v>
      </c>
      <c r="C1831" t="s">
        <v>2351</v>
      </c>
      <c r="D1831" t="s">
        <v>2480</v>
      </c>
      <c r="E1831" t="s">
        <v>2423</v>
      </c>
      <c r="F1831" t="s">
        <v>2828</v>
      </c>
      <c r="H1831" t="s">
        <v>53</v>
      </c>
      <c r="I1831" t="s">
        <v>2365</v>
      </c>
      <c r="Q1831" t="s">
        <v>57</v>
      </c>
      <c r="R1831" t="s">
        <v>2833</v>
      </c>
      <c r="Y1831" t="s">
        <v>2830</v>
      </c>
      <c r="Z1831">
        <v>3917</v>
      </c>
      <c r="AE1831">
        <v>500</v>
      </c>
      <c r="AF1831" s="4">
        <v>0.37</v>
      </c>
      <c r="AG1831">
        <f t="shared" si="177"/>
        <v>315</v>
      </c>
      <c r="AH1831" s="4">
        <v>0.18</v>
      </c>
      <c r="AI1831">
        <f t="shared" si="172"/>
        <v>371.7</v>
      </c>
      <c r="AJ1831" s="4">
        <v>0.15</v>
      </c>
      <c r="AK1831">
        <f t="shared" si="173"/>
        <v>55.76</v>
      </c>
      <c r="AL1831">
        <f t="shared" si="174"/>
        <v>427.46</v>
      </c>
      <c r="AM1831">
        <f t="shared" si="175"/>
        <v>72.54</v>
      </c>
      <c r="AN1831" s="4">
        <f t="shared" si="176"/>
        <v>0.14508</v>
      </c>
      <c r="AO1831" t="s">
        <v>221</v>
      </c>
      <c r="AQ1831" t="s">
        <v>217</v>
      </c>
      <c r="AT1831" t="s">
        <v>558</v>
      </c>
    </row>
    <row r="1832" ht="15.75" customHeight="1" spans="1:46">
      <c r="A1832" t="s">
        <v>2827</v>
      </c>
      <c r="B1832" t="s">
        <v>79</v>
      </c>
      <c r="C1832" t="s">
        <v>2351</v>
      </c>
      <c r="D1832" t="s">
        <v>2480</v>
      </c>
      <c r="E1832" t="s">
        <v>2423</v>
      </c>
      <c r="F1832" t="s">
        <v>2828</v>
      </c>
      <c r="H1832" t="s">
        <v>53</v>
      </c>
      <c r="I1832" t="s">
        <v>2545</v>
      </c>
      <c r="Q1832" t="s">
        <v>57</v>
      </c>
      <c r="R1832" t="s">
        <v>2834</v>
      </c>
      <c r="Y1832" t="s">
        <v>2830</v>
      </c>
      <c r="Z1832">
        <v>3917</v>
      </c>
      <c r="AE1832">
        <v>75</v>
      </c>
      <c r="AF1832" s="4">
        <v>0.37</v>
      </c>
      <c r="AG1832">
        <f t="shared" si="177"/>
        <v>47.25</v>
      </c>
      <c r="AH1832" s="4">
        <v>0.18</v>
      </c>
      <c r="AI1832">
        <f t="shared" si="172"/>
        <v>55.76</v>
      </c>
      <c r="AJ1832" s="4">
        <v>0.15</v>
      </c>
      <c r="AK1832">
        <f t="shared" si="173"/>
        <v>8.36</v>
      </c>
      <c r="AL1832">
        <f t="shared" si="174"/>
        <v>64.12</v>
      </c>
      <c r="AM1832">
        <f t="shared" si="175"/>
        <v>10.88</v>
      </c>
      <c r="AN1832" s="4">
        <f t="shared" si="176"/>
        <v>0.145066666666667</v>
      </c>
      <c r="AO1832" t="s">
        <v>221</v>
      </c>
      <c r="AQ1832" t="s">
        <v>217</v>
      </c>
      <c r="AT1832" t="s">
        <v>558</v>
      </c>
    </row>
    <row r="1833" ht="15.75" customHeight="1" spans="1:46">
      <c r="A1833" t="s">
        <v>2827</v>
      </c>
      <c r="B1833" t="s">
        <v>83</v>
      </c>
      <c r="C1833" t="s">
        <v>2351</v>
      </c>
      <c r="D1833" t="s">
        <v>2480</v>
      </c>
      <c r="E1833" t="s">
        <v>2423</v>
      </c>
      <c r="F1833" t="s">
        <v>2828</v>
      </c>
      <c r="H1833" t="s">
        <v>53</v>
      </c>
      <c r="I1833" t="s">
        <v>2554</v>
      </c>
      <c r="Q1833" t="s">
        <v>57</v>
      </c>
      <c r="R1833" t="s">
        <v>2835</v>
      </c>
      <c r="Y1833" t="s">
        <v>2830</v>
      </c>
      <c r="Z1833">
        <v>3917</v>
      </c>
      <c r="AE1833">
        <v>125</v>
      </c>
      <c r="AF1833" s="4">
        <v>0.37</v>
      </c>
      <c r="AG1833">
        <f t="shared" si="177"/>
        <v>78.75</v>
      </c>
      <c r="AH1833" s="4">
        <v>0.18</v>
      </c>
      <c r="AI1833">
        <f t="shared" si="172"/>
        <v>92.93</v>
      </c>
      <c r="AJ1833" s="4">
        <v>0.15</v>
      </c>
      <c r="AK1833">
        <f t="shared" si="173"/>
        <v>13.94</v>
      </c>
      <c r="AL1833">
        <f t="shared" si="174"/>
        <v>106.87</v>
      </c>
      <c r="AM1833">
        <f t="shared" si="175"/>
        <v>18.13</v>
      </c>
      <c r="AN1833" s="4">
        <f t="shared" si="176"/>
        <v>0.14504</v>
      </c>
      <c r="AO1833" t="s">
        <v>221</v>
      </c>
      <c r="AQ1833" t="s">
        <v>217</v>
      </c>
      <c r="AT1833" t="s">
        <v>558</v>
      </c>
    </row>
    <row r="1834" ht="15.75" customHeight="1" spans="1:46">
      <c r="A1834" t="s">
        <v>2827</v>
      </c>
      <c r="B1834" t="s">
        <v>131</v>
      </c>
      <c r="C1834" t="s">
        <v>2351</v>
      </c>
      <c r="D1834" t="s">
        <v>2480</v>
      </c>
      <c r="E1834" t="s">
        <v>2423</v>
      </c>
      <c r="F1834" t="s">
        <v>2828</v>
      </c>
      <c r="H1834" t="s">
        <v>53</v>
      </c>
      <c r="I1834" t="s">
        <v>2548</v>
      </c>
      <c r="Q1834" t="s">
        <v>57</v>
      </c>
      <c r="R1834" t="s">
        <v>2836</v>
      </c>
      <c r="Y1834" t="s">
        <v>2830</v>
      </c>
      <c r="Z1834">
        <v>3917</v>
      </c>
      <c r="AE1834">
        <v>246</v>
      </c>
      <c r="AF1834" s="4">
        <v>0.37</v>
      </c>
      <c r="AG1834">
        <f t="shared" si="177"/>
        <v>154.98</v>
      </c>
      <c r="AH1834" s="4">
        <v>0.18</v>
      </c>
      <c r="AI1834">
        <f t="shared" si="172"/>
        <v>182.88</v>
      </c>
      <c r="AJ1834" s="4">
        <v>0.15</v>
      </c>
      <c r="AK1834">
        <f t="shared" si="173"/>
        <v>27.43</v>
      </c>
      <c r="AL1834">
        <f t="shared" si="174"/>
        <v>210.31</v>
      </c>
      <c r="AM1834">
        <f t="shared" si="175"/>
        <v>35.69</v>
      </c>
      <c r="AN1834" s="4">
        <f t="shared" si="176"/>
        <v>0.145081300813008</v>
      </c>
      <c r="AO1834" t="s">
        <v>221</v>
      </c>
      <c r="AQ1834" t="s">
        <v>217</v>
      </c>
      <c r="AT1834" t="s">
        <v>558</v>
      </c>
    </row>
    <row r="1835" ht="15.75" customHeight="1" spans="1:46">
      <c r="A1835" t="s">
        <v>2827</v>
      </c>
      <c r="B1835" t="s">
        <v>133</v>
      </c>
      <c r="C1835" t="s">
        <v>2351</v>
      </c>
      <c r="D1835" t="s">
        <v>2480</v>
      </c>
      <c r="E1835" t="s">
        <v>2423</v>
      </c>
      <c r="F1835" t="s">
        <v>2828</v>
      </c>
      <c r="H1835" t="s">
        <v>53</v>
      </c>
      <c r="I1835" t="s">
        <v>2557</v>
      </c>
      <c r="Q1835" t="s">
        <v>57</v>
      </c>
      <c r="R1835" t="s">
        <v>2837</v>
      </c>
      <c r="Y1835" t="s">
        <v>2830</v>
      </c>
      <c r="Z1835">
        <v>3917</v>
      </c>
      <c r="AE1835">
        <v>164</v>
      </c>
      <c r="AF1835" s="4">
        <v>0.37</v>
      </c>
      <c r="AG1835">
        <f t="shared" si="177"/>
        <v>103.32</v>
      </c>
      <c r="AH1835" s="4">
        <v>0.18</v>
      </c>
      <c r="AI1835">
        <f t="shared" si="172"/>
        <v>121.92</v>
      </c>
      <c r="AJ1835" s="4">
        <v>0.15</v>
      </c>
      <c r="AK1835">
        <f t="shared" si="173"/>
        <v>18.29</v>
      </c>
      <c r="AL1835">
        <f t="shared" si="174"/>
        <v>140.21</v>
      </c>
      <c r="AM1835">
        <f t="shared" si="175"/>
        <v>23.79</v>
      </c>
      <c r="AN1835" s="4">
        <f t="shared" si="176"/>
        <v>0.145060975609756</v>
      </c>
      <c r="AO1835" t="s">
        <v>221</v>
      </c>
      <c r="AQ1835" t="s">
        <v>217</v>
      </c>
      <c r="AT1835" t="s">
        <v>558</v>
      </c>
    </row>
    <row r="1836" ht="15.75" customHeight="1" spans="1:46">
      <c r="A1836" t="s">
        <v>2838</v>
      </c>
      <c r="B1836" t="s">
        <v>46</v>
      </c>
      <c r="C1836" t="s">
        <v>2351</v>
      </c>
      <c r="D1836" t="s">
        <v>2480</v>
      </c>
      <c r="E1836" t="s">
        <v>2423</v>
      </c>
      <c r="F1836" t="s">
        <v>2839</v>
      </c>
      <c r="H1836" t="s">
        <v>53</v>
      </c>
      <c r="I1836" t="s">
        <v>2356</v>
      </c>
      <c r="Q1836" t="s">
        <v>57</v>
      </c>
      <c r="R1836" t="s">
        <v>2840</v>
      </c>
      <c r="Y1836" t="s">
        <v>2841</v>
      </c>
      <c r="Z1836">
        <v>3917</v>
      </c>
      <c r="AE1836">
        <v>100</v>
      </c>
      <c r="AF1836" s="4">
        <v>0.37</v>
      </c>
      <c r="AG1836">
        <f t="shared" si="177"/>
        <v>63</v>
      </c>
      <c r="AH1836" s="4">
        <v>0.18</v>
      </c>
      <c r="AI1836">
        <f t="shared" si="172"/>
        <v>74.34</v>
      </c>
      <c r="AJ1836" s="4">
        <v>0.15</v>
      </c>
      <c r="AK1836">
        <f t="shared" si="173"/>
        <v>11.15</v>
      </c>
      <c r="AL1836">
        <f t="shared" si="174"/>
        <v>85.49</v>
      </c>
      <c r="AM1836">
        <f t="shared" si="175"/>
        <v>14.51</v>
      </c>
      <c r="AN1836" s="4">
        <f t="shared" si="176"/>
        <v>0.1451</v>
      </c>
      <c r="AO1836" t="s">
        <v>221</v>
      </c>
      <c r="AQ1836" t="s">
        <v>217</v>
      </c>
      <c r="AT1836" t="s">
        <v>558</v>
      </c>
    </row>
    <row r="1837" ht="15.75" customHeight="1" spans="1:46">
      <c r="A1837" t="s">
        <v>2838</v>
      </c>
      <c r="B1837" t="s">
        <v>67</v>
      </c>
      <c r="C1837" t="s">
        <v>2351</v>
      </c>
      <c r="D1837" t="s">
        <v>2480</v>
      </c>
      <c r="E1837" t="s">
        <v>2423</v>
      </c>
      <c r="F1837" t="s">
        <v>2839</v>
      </c>
      <c r="H1837" t="s">
        <v>53</v>
      </c>
      <c r="I1837" t="s">
        <v>2360</v>
      </c>
      <c r="Q1837" t="s">
        <v>57</v>
      </c>
      <c r="R1837" t="s">
        <v>2842</v>
      </c>
      <c r="Y1837" t="s">
        <v>2841</v>
      </c>
      <c r="Z1837">
        <v>3917</v>
      </c>
      <c r="AE1837">
        <v>161</v>
      </c>
      <c r="AF1837" s="4">
        <v>0.37</v>
      </c>
      <c r="AG1837">
        <f t="shared" si="177"/>
        <v>101.43</v>
      </c>
      <c r="AH1837" s="4">
        <v>0.18</v>
      </c>
      <c r="AI1837">
        <f t="shared" si="172"/>
        <v>119.69</v>
      </c>
      <c r="AJ1837" s="4">
        <v>0.15</v>
      </c>
      <c r="AK1837">
        <f t="shared" si="173"/>
        <v>17.95</v>
      </c>
      <c r="AL1837">
        <f t="shared" si="174"/>
        <v>137.64</v>
      </c>
      <c r="AM1837">
        <f t="shared" si="175"/>
        <v>23.36</v>
      </c>
      <c r="AN1837" s="4">
        <f t="shared" si="176"/>
        <v>0.145093167701863</v>
      </c>
      <c r="AO1837" t="s">
        <v>221</v>
      </c>
      <c r="AQ1837" t="s">
        <v>217</v>
      </c>
      <c r="AT1837" t="s">
        <v>558</v>
      </c>
    </row>
    <row r="1838" ht="15.75" customHeight="1" spans="1:46">
      <c r="A1838" t="s">
        <v>2838</v>
      </c>
      <c r="B1838" t="s">
        <v>71</v>
      </c>
      <c r="C1838" t="s">
        <v>2351</v>
      </c>
      <c r="D1838" t="s">
        <v>2480</v>
      </c>
      <c r="E1838" t="s">
        <v>2423</v>
      </c>
      <c r="F1838" t="s">
        <v>2839</v>
      </c>
      <c r="H1838" t="s">
        <v>53</v>
      </c>
      <c r="I1838" t="s">
        <v>2363</v>
      </c>
      <c r="Q1838" t="s">
        <v>57</v>
      </c>
      <c r="R1838" t="s">
        <v>2843</v>
      </c>
      <c r="Y1838" t="s">
        <v>2841</v>
      </c>
      <c r="Z1838">
        <v>3917</v>
      </c>
      <c r="AE1838">
        <v>260</v>
      </c>
      <c r="AF1838" s="4">
        <v>0.37</v>
      </c>
      <c r="AG1838">
        <f t="shared" si="177"/>
        <v>163.8</v>
      </c>
      <c r="AH1838" s="4">
        <v>0.18</v>
      </c>
      <c r="AI1838">
        <f t="shared" si="172"/>
        <v>193.28</v>
      </c>
      <c r="AJ1838" s="4">
        <v>0.15</v>
      </c>
      <c r="AK1838">
        <f t="shared" si="173"/>
        <v>28.99</v>
      </c>
      <c r="AL1838">
        <f t="shared" si="174"/>
        <v>222.27</v>
      </c>
      <c r="AM1838">
        <f t="shared" si="175"/>
        <v>37.73</v>
      </c>
      <c r="AN1838" s="4">
        <f t="shared" si="176"/>
        <v>0.145115384615385</v>
      </c>
      <c r="AO1838" t="s">
        <v>221</v>
      </c>
      <c r="AQ1838" t="s">
        <v>217</v>
      </c>
      <c r="AT1838" t="s">
        <v>558</v>
      </c>
    </row>
    <row r="1839" ht="15.75" customHeight="1" spans="1:46">
      <c r="A1839" t="s">
        <v>2838</v>
      </c>
      <c r="B1839" t="s">
        <v>75</v>
      </c>
      <c r="C1839" t="s">
        <v>2351</v>
      </c>
      <c r="D1839" t="s">
        <v>2480</v>
      </c>
      <c r="E1839" t="s">
        <v>2423</v>
      </c>
      <c r="F1839" t="s">
        <v>2839</v>
      </c>
      <c r="H1839" t="s">
        <v>53</v>
      </c>
      <c r="I1839" t="s">
        <v>2365</v>
      </c>
      <c r="Q1839" t="s">
        <v>57</v>
      </c>
      <c r="R1839" t="s">
        <v>2844</v>
      </c>
      <c r="Y1839" t="s">
        <v>2841</v>
      </c>
      <c r="Z1839">
        <v>3917</v>
      </c>
      <c r="AE1839">
        <v>425</v>
      </c>
      <c r="AF1839" s="4">
        <v>0.37</v>
      </c>
      <c r="AG1839">
        <f t="shared" si="177"/>
        <v>267.75</v>
      </c>
      <c r="AH1839" s="4">
        <v>0.18</v>
      </c>
      <c r="AI1839">
        <f t="shared" si="172"/>
        <v>315.95</v>
      </c>
      <c r="AJ1839" s="4">
        <v>0.15</v>
      </c>
      <c r="AK1839">
        <f t="shared" si="173"/>
        <v>47.39</v>
      </c>
      <c r="AL1839">
        <f t="shared" si="174"/>
        <v>363.34</v>
      </c>
      <c r="AM1839">
        <f t="shared" si="175"/>
        <v>61.66</v>
      </c>
      <c r="AN1839" s="4">
        <f t="shared" si="176"/>
        <v>0.145082352941177</v>
      </c>
      <c r="AO1839" t="s">
        <v>221</v>
      </c>
      <c r="AQ1839" t="s">
        <v>217</v>
      </c>
      <c r="AT1839" t="s">
        <v>558</v>
      </c>
    </row>
    <row r="1840" ht="15.75" customHeight="1" spans="1:46">
      <c r="A1840" t="s">
        <v>2838</v>
      </c>
      <c r="B1840" t="s">
        <v>79</v>
      </c>
      <c r="C1840" t="s">
        <v>2351</v>
      </c>
      <c r="D1840" t="s">
        <v>2480</v>
      </c>
      <c r="E1840" t="s">
        <v>2423</v>
      </c>
      <c r="F1840" t="s">
        <v>2839</v>
      </c>
      <c r="H1840" t="s">
        <v>53</v>
      </c>
      <c r="I1840" t="s">
        <v>2545</v>
      </c>
      <c r="Q1840" t="s">
        <v>57</v>
      </c>
      <c r="R1840" t="s">
        <v>2845</v>
      </c>
      <c r="Y1840" t="s">
        <v>2841</v>
      </c>
      <c r="Z1840">
        <v>3917</v>
      </c>
      <c r="AE1840">
        <v>90</v>
      </c>
      <c r="AF1840" s="4">
        <v>0.37</v>
      </c>
      <c r="AG1840">
        <f t="shared" si="177"/>
        <v>56.7</v>
      </c>
      <c r="AH1840" s="4">
        <v>0.18</v>
      </c>
      <c r="AI1840">
        <f t="shared" si="172"/>
        <v>66.91</v>
      </c>
      <c r="AJ1840" s="4">
        <v>0.15</v>
      </c>
      <c r="AK1840">
        <f t="shared" si="173"/>
        <v>10.04</v>
      </c>
      <c r="AL1840">
        <f t="shared" si="174"/>
        <v>76.95</v>
      </c>
      <c r="AM1840">
        <f t="shared" si="175"/>
        <v>13.05</v>
      </c>
      <c r="AN1840" s="4">
        <f t="shared" si="176"/>
        <v>0.145</v>
      </c>
      <c r="AO1840" t="s">
        <v>221</v>
      </c>
      <c r="AQ1840" t="s">
        <v>217</v>
      </c>
      <c r="AT1840" t="s">
        <v>558</v>
      </c>
    </row>
    <row r="1841" ht="15.75" customHeight="1" spans="1:46">
      <c r="A1841" t="s">
        <v>2838</v>
      </c>
      <c r="B1841" t="s">
        <v>83</v>
      </c>
      <c r="C1841" t="s">
        <v>2351</v>
      </c>
      <c r="D1841" t="s">
        <v>2480</v>
      </c>
      <c r="E1841" t="s">
        <v>2423</v>
      </c>
      <c r="F1841" t="s">
        <v>2839</v>
      </c>
      <c r="H1841" t="s">
        <v>53</v>
      </c>
      <c r="I1841" t="s">
        <v>2554</v>
      </c>
      <c r="Q1841" t="s">
        <v>57</v>
      </c>
      <c r="R1841" t="s">
        <v>2846</v>
      </c>
      <c r="Y1841" t="s">
        <v>2841</v>
      </c>
      <c r="Z1841">
        <v>3917</v>
      </c>
      <c r="AE1841">
        <v>190</v>
      </c>
      <c r="AF1841" s="4">
        <v>0.37</v>
      </c>
      <c r="AG1841">
        <f t="shared" si="177"/>
        <v>119.7</v>
      </c>
      <c r="AH1841" s="4">
        <v>0.18</v>
      </c>
      <c r="AI1841">
        <f t="shared" si="172"/>
        <v>141.25</v>
      </c>
      <c r="AJ1841" s="4">
        <v>0.15</v>
      </c>
      <c r="AK1841">
        <f t="shared" si="173"/>
        <v>21.19</v>
      </c>
      <c r="AL1841">
        <f t="shared" si="174"/>
        <v>162.44</v>
      </c>
      <c r="AM1841">
        <f t="shared" si="175"/>
        <v>27.56</v>
      </c>
      <c r="AN1841" s="4">
        <f t="shared" si="176"/>
        <v>0.145052631578947</v>
      </c>
      <c r="AO1841" t="s">
        <v>221</v>
      </c>
      <c r="AQ1841" t="s">
        <v>217</v>
      </c>
      <c r="AT1841" t="s">
        <v>558</v>
      </c>
    </row>
    <row r="1842" ht="15.75" customHeight="1" spans="1:46">
      <c r="A1842" t="s">
        <v>2838</v>
      </c>
      <c r="B1842" t="s">
        <v>131</v>
      </c>
      <c r="C1842" t="s">
        <v>2351</v>
      </c>
      <c r="D1842" t="s">
        <v>2480</v>
      </c>
      <c r="E1842" t="s">
        <v>2423</v>
      </c>
      <c r="F1842" t="s">
        <v>2839</v>
      </c>
      <c r="H1842" t="s">
        <v>53</v>
      </c>
      <c r="I1842" t="s">
        <v>2548</v>
      </c>
      <c r="Q1842" t="s">
        <v>57</v>
      </c>
      <c r="R1842" t="s">
        <v>2847</v>
      </c>
      <c r="Y1842" t="s">
        <v>2841</v>
      </c>
      <c r="Z1842">
        <v>3917</v>
      </c>
      <c r="AE1842">
        <v>263</v>
      </c>
      <c r="AF1842" s="4">
        <v>0.37</v>
      </c>
      <c r="AG1842">
        <f t="shared" si="177"/>
        <v>165.69</v>
      </c>
      <c r="AH1842" s="4">
        <v>0.18</v>
      </c>
      <c r="AI1842">
        <f t="shared" si="172"/>
        <v>195.51</v>
      </c>
      <c r="AJ1842" s="4">
        <v>0.15</v>
      </c>
      <c r="AK1842">
        <f t="shared" si="173"/>
        <v>29.33</v>
      </c>
      <c r="AL1842">
        <f t="shared" si="174"/>
        <v>224.84</v>
      </c>
      <c r="AM1842">
        <f t="shared" si="175"/>
        <v>38.16</v>
      </c>
      <c r="AN1842" s="4">
        <f t="shared" si="176"/>
        <v>0.145095057034221</v>
      </c>
      <c r="AO1842" t="s">
        <v>221</v>
      </c>
      <c r="AQ1842" t="s">
        <v>217</v>
      </c>
      <c r="AT1842" t="s">
        <v>558</v>
      </c>
    </row>
    <row r="1843" ht="15.75" customHeight="1" spans="1:46">
      <c r="A1843" t="s">
        <v>2848</v>
      </c>
      <c r="B1843" t="s">
        <v>46</v>
      </c>
      <c r="C1843" t="s">
        <v>2351</v>
      </c>
      <c r="D1843" t="s">
        <v>2480</v>
      </c>
      <c r="E1843" t="s">
        <v>2423</v>
      </c>
      <c r="F1843" t="s">
        <v>2849</v>
      </c>
      <c r="H1843" t="s">
        <v>53</v>
      </c>
      <c r="I1843" t="s">
        <v>2545</v>
      </c>
      <c r="Q1843" t="s">
        <v>57</v>
      </c>
      <c r="R1843" t="s">
        <v>2850</v>
      </c>
      <c r="Y1843" t="s">
        <v>2851</v>
      </c>
      <c r="Z1843">
        <v>3917</v>
      </c>
      <c r="AE1843">
        <v>174</v>
      </c>
      <c r="AF1843" s="4">
        <v>0.37</v>
      </c>
      <c r="AG1843">
        <f t="shared" si="177"/>
        <v>109.62</v>
      </c>
      <c r="AH1843" s="4">
        <v>0.18</v>
      </c>
      <c r="AI1843">
        <f t="shared" si="172"/>
        <v>129.35</v>
      </c>
      <c r="AJ1843" s="4">
        <v>0.15</v>
      </c>
      <c r="AK1843">
        <f t="shared" si="173"/>
        <v>19.4</v>
      </c>
      <c r="AL1843">
        <f t="shared" si="174"/>
        <v>148.75</v>
      </c>
      <c r="AM1843">
        <f t="shared" si="175"/>
        <v>25.25</v>
      </c>
      <c r="AN1843" s="4">
        <f t="shared" si="176"/>
        <v>0.145114942528736</v>
      </c>
      <c r="AO1843" t="s">
        <v>221</v>
      </c>
      <c r="AQ1843" t="s">
        <v>217</v>
      </c>
      <c r="AT1843" t="s">
        <v>558</v>
      </c>
    </row>
    <row r="1844" ht="15.75" customHeight="1" spans="1:46">
      <c r="A1844" t="s">
        <v>2852</v>
      </c>
      <c r="B1844" t="s">
        <v>46</v>
      </c>
      <c r="C1844" t="s">
        <v>2351</v>
      </c>
      <c r="D1844" t="s">
        <v>2480</v>
      </c>
      <c r="E1844" t="s">
        <v>2423</v>
      </c>
      <c r="F1844" t="s">
        <v>2853</v>
      </c>
      <c r="H1844" t="s">
        <v>53</v>
      </c>
      <c r="I1844" t="s">
        <v>2356</v>
      </c>
      <c r="Q1844" t="s">
        <v>57</v>
      </c>
      <c r="R1844" t="s">
        <v>2854</v>
      </c>
      <c r="Y1844" t="s">
        <v>2855</v>
      </c>
      <c r="Z1844">
        <v>3917</v>
      </c>
      <c r="AE1844">
        <v>283</v>
      </c>
      <c r="AF1844" s="4">
        <v>0.37</v>
      </c>
      <c r="AG1844">
        <f t="shared" si="177"/>
        <v>178.29</v>
      </c>
      <c r="AH1844" s="4">
        <v>0.18</v>
      </c>
      <c r="AI1844">
        <f t="shared" si="172"/>
        <v>210.38</v>
      </c>
      <c r="AJ1844" s="4">
        <v>0.15</v>
      </c>
      <c r="AK1844">
        <f t="shared" si="173"/>
        <v>31.56</v>
      </c>
      <c r="AL1844">
        <f t="shared" si="174"/>
        <v>241.94</v>
      </c>
      <c r="AM1844">
        <f t="shared" si="175"/>
        <v>41.06</v>
      </c>
      <c r="AN1844" s="4">
        <f t="shared" si="176"/>
        <v>0.145088339222615</v>
      </c>
      <c r="AO1844" t="s">
        <v>221</v>
      </c>
      <c r="AQ1844" t="s">
        <v>217</v>
      </c>
      <c r="AT1844" t="s">
        <v>558</v>
      </c>
    </row>
    <row r="1845" ht="15.75" customHeight="1" spans="1:46">
      <c r="A1845" t="s">
        <v>2852</v>
      </c>
      <c r="B1845" t="s">
        <v>67</v>
      </c>
      <c r="C1845" t="s">
        <v>2351</v>
      </c>
      <c r="D1845" t="s">
        <v>2480</v>
      </c>
      <c r="E1845" t="s">
        <v>2423</v>
      </c>
      <c r="F1845" t="s">
        <v>2853</v>
      </c>
      <c r="H1845" t="s">
        <v>53</v>
      </c>
      <c r="I1845" t="s">
        <v>2545</v>
      </c>
      <c r="Q1845" t="s">
        <v>57</v>
      </c>
      <c r="R1845" t="s">
        <v>2856</v>
      </c>
      <c r="Y1845" t="s">
        <v>2855</v>
      </c>
      <c r="Z1845">
        <v>3917</v>
      </c>
      <c r="AE1845">
        <v>283</v>
      </c>
      <c r="AF1845" s="4">
        <v>0.37</v>
      </c>
      <c r="AG1845">
        <f t="shared" si="177"/>
        <v>178.29</v>
      </c>
      <c r="AH1845" s="4">
        <v>0.18</v>
      </c>
      <c r="AI1845">
        <f t="shared" si="172"/>
        <v>210.38</v>
      </c>
      <c r="AJ1845" s="4">
        <v>0.15</v>
      </c>
      <c r="AK1845">
        <f t="shared" si="173"/>
        <v>31.56</v>
      </c>
      <c r="AL1845">
        <f t="shared" si="174"/>
        <v>241.94</v>
      </c>
      <c r="AM1845">
        <f t="shared" si="175"/>
        <v>41.06</v>
      </c>
      <c r="AN1845" s="4">
        <f t="shared" si="176"/>
        <v>0.145088339222615</v>
      </c>
      <c r="AO1845" t="s">
        <v>221</v>
      </c>
      <c r="AQ1845" t="s">
        <v>217</v>
      </c>
      <c r="AT1845" t="s">
        <v>558</v>
      </c>
    </row>
    <row r="1846" ht="15.75" customHeight="1" spans="1:46">
      <c r="A1846" t="s">
        <v>2857</v>
      </c>
      <c r="B1846" t="s">
        <v>46</v>
      </c>
      <c r="C1846" t="s">
        <v>2351</v>
      </c>
      <c r="D1846" t="s">
        <v>2858</v>
      </c>
      <c r="E1846" t="s">
        <v>2353</v>
      </c>
      <c r="F1846" t="s">
        <v>2859</v>
      </c>
      <c r="H1846" t="s">
        <v>2860</v>
      </c>
      <c r="I1846" t="s">
        <v>2861</v>
      </c>
      <c r="Q1846" t="s">
        <v>57</v>
      </c>
      <c r="R1846" t="s">
        <v>2862</v>
      </c>
      <c r="Y1846" t="s">
        <v>2863</v>
      </c>
      <c r="Z1846">
        <v>3917</v>
      </c>
      <c r="AE1846">
        <v>105</v>
      </c>
      <c r="AF1846" s="4">
        <v>0.37</v>
      </c>
      <c r="AG1846">
        <f t="shared" si="177"/>
        <v>66.15</v>
      </c>
      <c r="AH1846" s="4">
        <v>0.18</v>
      </c>
      <c r="AI1846">
        <f t="shared" si="172"/>
        <v>78.06</v>
      </c>
      <c r="AJ1846" s="4">
        <v>0.15</v>
      </c>
      <c r="AK1846">
        <f t="shared" si="173"/>
        <v>11.71</v>
      </c>
      <c r="AL1846">
        <f t="shared" si="174"/>
        <v>89.77</v>
      </c>
      <c r="AM1846">
        <f t="shared" si="175"/>
        <v>15.23</v>
      </c>
      <c r="AN1846" s="4">
        <f t="shared" si="176"/>
        <v>0.145047619047619</v>
      </c>
      <c r="AO1846" t="s">
        <v>221</v>
      </c>
      <c r="AQ1846" t="s">
        <v>217</v>
      </c>
      <c r="AT1846" t="s">
        <v>1662</v>
      </c>
    </row>
    <row r="1847" ht="15.75" customHeight="1" spans="1:46">
      <c r="A1847" t="s">
        <v>2857</v>
      </c>
      <c r="B1847" t="s">
        <v>67</v>
      </c>
      <c r="C1847" t="s">
        <v>2351</v>
      </c>
      <c r="D1847" t="s">
        <v>2858</v>
      </c>
      <c r="E1847" t="s">
        <v>2353</v>
      </c>
      <c r="F1847" t="s">
        <v>2859</v>
      </c>
      <c r="H1847" t="s">
        <v>2860</v>
      </c>
      <c r="I1847" t="s">
        <v>2864</v>
      </c>
      <c r="Q1847" t="s">
        <v>57</v>
      </c>
      <c r="R1847" t="s">
        <v>2865</v>
      </c>
      <c r="Y1847" t="s">
        <v>2863</v>
      </c>
      <c r="Z1847">
        <v>3917</v>
      </c>
      <c r="AE1847">
        <v>180</v>
      </c>
      <c r="AF1847" s="4">
        <v>0.37</v>
      </c>
      <c r="AG1847">
        <f t="shared" si="177"/>
        <v>113.4</v>
      </c>
      <c r="AH1847" s="4">
        <v>0.18</v>
      </c>
      <c r="AI1847">
        <f t="shared" si="172"/>
        <v>133.81</v>
      </c>
      <c r="AJ1847" s="4">
        <v>0.15</v>
      </c>
      <c r="AK1847">
        <f t="shared" si="173"/>
        <v>20.07</v>
      </c>
      <c r="AL1847">
        <f t="shared" si="174"/>
        <v>153.88</v>
      </c>
      <c r="AM1847">
        <f t="shared" si="175"/>
        <v>26.12</v>
      </c>
      <c r="AN1847" s="4">
        <f t="shared" si="176"/>
        <v>0.145111111111111</v>
      </c>
      <c r="AO1847" t="s">
        <v>221</v>
      </c>
      <c r="AQ1847" t="s">
        <v>217</v>
      </c>
      <c r="AT1847" t="s">
        <v>1662</v>
      </c>
    </row>
    <row r="1848" ht="15.75" customHeight="1" spans="1:46">
      <c r="A1848" t="s">
        <v>2857</v>
      </c>
      <c r="B1848" t="s">
        <v>71</v>
      </c>
      <c r="C1848" t="s">
        <v>2351</v>
      </c>
      <c r="D1848" t="s">
        <v>2858</v>
      </c>
      <c r="E1848" t="s">
        <v>2353</v>
      </c>
      <c r="F1848" t="s">
        <v>2859</v>
      </c>
      <c r="H1848" t="s">
        <v>2860</v>
      </c>
      <c r="I1848" t="s">
        <v>2866</v>
      </c>
      <c r="Q1848" t="s">
        <v>57</v>
      </c>
      <c r="R1848" t="s">
        <v>2867</v>
      </c>
      <c r="Y1848" t="s">
        <v>2863</v>
      </c>
      <c r="Z1848">
        <v>3917</v>
      </c>
      <c r="AE1848">
        <v>275</v>
      </c>
      <c r="AF1848" s="4">
        <v>0.37</v>
      </c>
      <c r="AG1848">
        <f t="shared" si="177"/>
        <v>173.25</v>
      </c>
      <c r="AH1848" s="4">
        <v>0.18</v>
      </c>
      <c r="AI1848">
        <f t="shared" si="172"/>
        <v>204.44</v>
      </c>
      <c r="AJ1848" s="4">
        <v>0.15</v>
      </c>
      <c r="AK1848">
        <f t="shared" si="173"/>
        <v>30.67</v>
      </c>
      <c r="AL1848">
        <f t="shared" si="174"/>
        <v>235.11</v>
      </c>
      <c r="AM1848">
        <f t="shared" si="175"/>
        <v>39.89</v>
      </c>
      <c r="AN1848" s="4">
        <f t="shared" si="176"/>
        <v>0.145054545454545</v>
      </c>
      <c r="AO1848" t="s">
        <v>221</v>
      </c>
      <c r="AQ1848" t="s">
        <v>217</v>
      </c>
      <c r="AT1848" t="s">
        <v>1662</v>
      </c>
    </row>
    <row r="1849" ht="15.75" customHeight="1" spans="1:46">
      <c r="A1849" t="s">
        <v>2857</v>
      </c>
      <c r="B1849" t="s">
        <v>75</v>
      </c>
      <c r="C1849" t="s">
        <v>2351</v>
      </c>
      <c r="D1849" t="s">
        <v>2858</v>
      </c>
      <c r="E1849" t="s">
        <v>2353</v>
      </c>
      <c r="F1849" t="s">
        <v>2859</v>
      </c>
      <c r="H1849" t="s">
        <v>2860</v>
      </c>
      <c r="I1849" t="s">
        <v>2868</v>
      </c>
      <c r="Q1849" t="s">
        <v>57</v>
      </c>
      <c r="R1849" t="s">
        <v>2869</v>
      </c>
      <c r="Y1849" t="s">
        <v>2863</v>
      </c>
      <c r="Z1849">
        <v>3917</v>
      </c>
      <c r="AE1849">
        <v>515</v>
      </c>
      <c r="AF1849" s="4">
        <v>0.37</v>
      </c>
      <c r="AG1849">
        <f t="shared" si="177"/>
        <v>324.45</v>
      </c>
      <c r="AH1849" s="4">
        <v>0.18</v>
      </c>
      <c r="AI1849">
        <f t="shared" si="172"/>
        <v>382.85</v>
      </c>
      <c r="AJ1849" s="4">
        <v>0.15</v>
      </c>
      <c r="AK1849">
        <f t="shared" si="173"/>
        <v>57.43</v>
      </c>
      <c r="AL1849">
        <f t="shared" si="174"/>
        <v>440.28</v>
      </c>
      <c r="AM1849">
        <f t="shared" si="175"/>
        <v>74.72</v>
      </c>
      <c r="AN1849" s="4">
        <f t="shared" si="176"/>
        <v>0.145087378640777</v>
      </c>
      <c r="AO1849" t="s">
        <v>221</v>
      </c>
      <c r="AQ1849" t="s">
        <v>217</v>
      </c>
      <c r="AT1849" t="s">
        <v>1662</v>
      </c>
    </row>
    <row r="1850" ht="15.75" customHeight="1" spans="1:46">
      <c r="A1850" t="s">
        <v>2857</v>
      </c>
      <c r="B1850" t="s">
        <v>79</v>
      </c>
      <c r="C1850" t="s">
        <v>2351</v>
      </c>
      <c r="D1850" t="s">
        <v>2858</v>
      </c>
      <c r="E1850" t="s">
        <v>2353</v>
      </c>
      <c r="F1850" t="s">
        <v>2859</v>
      </c>
      <c r="H1850" t="s">
        <v>2860</v>
      </c>
      <c r="I1850" t="s">
        <v>2870</v>
      </c>
      <c r="Q1850" t="s">
        <v>57</v>
      </c>
      <c r="R1850" t="s">
        <v>2871</v>
      </c>
      <c r="Y1850" t="s">
        <v>2863</v>
      </c>
      <c r="Z1850">
        <v>3506</v>
      </c>
      <c r="AE1850">
        <v>945</v>
      </c>
      <c r="AF1850" s="4">
        <v>0.37</v>
      </c>
      <c r="AG1850">
        <f t="shared" si="177"/>
        <v>595.35</v>
      </c>
      <c r="AH1850" s="4">
        <v>0.18</v>
      </c>
      <c r="AI1850">
        <f t="shared" si="172"/>
        <v>702.51</v>
      </c>
      <c r="AJ1850" s="4">
        <v>0.15</v>
      </c>
      <c r="AK1850">
        <f t="shared" si="173"/>
        <v>105.38</v>
      </c>
      <c r="AL1850">
        <f t="shared" si="174"/>
        <v>807.89</v>
      </c>
      <c r="AM1850">
        <f t="shared" si="175"/>
        <v>137.11</v>
      </c>
      <c r="AN1850" s="4">
        <f t="shared" si="176"/>
        <v>0.145089947089947</v>
      </c>
      <c r="AO1850" t="s">
        <v>221</v>
      </c>
      <c r="AQ1850" t="s">
        <v>217</v>
      </c>
      <c r="AT1850" t="s">
        <v>1662</v>
      </c>
    </row>
    <row r="1851" ht="15.75" customHeight="1" spans="1:46">
      <c r="A1851" t="s">
        <v>2872</v>
      </c>
      <c r="B1851" t="s">
        <v>46</v>
      </c>
      <c r="C1851" t="s">
        <v>2351</v>
      </c>
      <c r="D1851" t="s">
        <v>2858</v>
      </c>
      <c r="E1851" t="s">
        <v>2353</v>
      </c>
      <c r="F1851" t="s">
        <v>2873</v>
      </c>
      <c r="H1851" t="s">
        <v>2860</v>
      </c>
      <c r="I1851" t="s">
        <v>2861</v>
      </c>
      <c r="Q1851" t="s">
        <v>57</v>
      </c>
      <c r="R1851" t="s">
        <v>2874</v>
      </c>
      <c r="Y1851" t="s">
        <v>2875</v>
      </c>
      <c r="Z1851">
        <v>3506</v>
      </c>
      <c r="AE1851">
        <v>65</v>
      </c>
      <c r="AF1851" s="4">
        <v>0.37</v>
      </c>
      <c r="AG1851">
        <f t="shared" si="177"/>
        <v>40.95</v>
      </c>
      <c r="AH1851" s="4">
        <v>0.18</v>
      </c>
      <c r="AI1851">
        <f t="shared" si="172"/>
        <v>48.32</v>
      </c>
      <c r="AJ1851" s="4">
        <v>0.15</v>
      </c>
      <c r="AK1851">
        <f t="shared" si="173"/>
        <v>7.25</v>
      </c>
      <c r="AL1851">
        <f t="shared" si="174"/>
        <v>55.57</v>
      </c>
      <c r="AM1851">
        <f t="shared" si="175"/>
        <v>9.43</v>
      </c>
      <c r="AN1851" s="4">
        <f t="shared" si="176"/>
        <v>0.145076923076923</v>
      </c>
      <c r="AO1851" t="s">
        <v>221</v>
      </c>
      <c r="AQ1851" t="s">
        <v>217</v>
      </c>
      <c r="AT1851" t="s">
        <v>1662</v>
      </c>
    </row>
    <row r="1852" ht="15.75" customHeight="1" spans="1:46">
      <c r="A1852" t="s">
        <v>2872</v>
      </c>
      <c r="B1852" t="s">
        <v>67</v>
      </c>
      <c r="C1852" t="s">
        <v>2351</v>
      </c>
      <c r="D1852" t="s">
        <v>2858</v>
      </c>
      <c r="E1852" t="s">
        <v>2353</v>
      </c>
      <c r="F1852" t="s">
        <v>2873</v>
      </c>
      <c r="H1852" t="s">
        <v>2860</v>
      </c>
      <c r="I1852" t="s">
        <v>2864</v>
      </c>
      <c r="Q1852" t="s">
        <v>57</v>
      </c>
      <c r="R1852" t="s">
        <v>2876</v>
      </c>
      <c r="Y1852" t="s">
        <v>2875</v>
      </c>
      <c r="Z1852">
        <v>3506</v>
      </c>
      <c r="AE1852">
        <v>90</v>
      </c>
      <c r="AF1852" s="4">
        <v>0.37</v>
      </c>
      <c r="AG1852">
        <f t="shared" si="177"/>
        <v>56.7</v>
      </c>
      <c r="AH1852" s="4">
        <v>0.18</v>
      </c>
      <c r="AI1852">
        <f t="shared" si="172"/>
        <v>66.91</v>
      </c>
      <c r="AJ1852" s="4">
        <v>0.15</v>
      </c>
      <c r="AK1852">
        <f t="shared" si="173"/>
        <v>10.04</v>
      </c>
      <c r="AL1852">
        <f t="shared" si="174"/>
        <v>76.95</v>
      </c>
      <c r="AM1852">
        <f t="shared" si="175"/>
        <v>13.05</v>
      </c>
      <c r="AN1852" s="4">
        <f t="shared" si="176"/>
        <v>0.145</v>
      </c>
      <c r="AO1852" t="s">
        <v>221</v>
      </c>
      <c r="AQ1852" t="s">
        <v>217</v>
      </c>
      <c r="AT1852" t="s">
        <v>1662</v>
      </c>
    </row>
    <row r="1853" ht="15.75" customHeight="1" spans="1:46">
      <c r="A1853" t="s">
        <v>2872</v>
      </c>
      <c r="B1853" t="s">
        <v>71</v>
      </c>
      <c r="C1853" t="s">
        <v>2351</v>
      </c>
      <c r="D1853" t="s">
        <v>2858</v>
      </c>
      <c r="E1853" t="s">
        <v>2353</v>
      </c>
      <c r="F1853" t="s">
        <v>2873</v>
      </c>
      <c r="H1853" t="s">
        <v>2860</v>
      </c>
      <c r="I1853" t="s">
        <v>2866</v>
      </c>
      <c r="Q1853" t="s">
        <v>57</v>
      </c>
      <c r="R1853" t="s">
        <v>2877</v>
      </c>
      <c r="Y1853" t="s">
        <v>2875</v>
      </c>
      <c r="Z1853">
        <v>3506</v>
      </c>
      <c r="AE1853">
        <v>165</v>
      </c>
      <c r="AF1853" s="4">
        <v>0.37</v>
      </c>
      <c r="AG1853">
        <f t="shared" si="177"/>
        <v>103.95</v>
      </c>
      <c r="AH1853" s="4">
        <v>0.18</v>
      </c>
      <c r="AI1853">
        <f t="shared" si="172"/>
        <v>122.66</v>
      </c>
      <c r="AJ1853" s="4">
        <v>0.15</v>
      </c>
      <c r="AK1853">
        <f t="shared" si="173"/>
        <v>18.4</v>
      </c>
      <c r="AL1853">
        <f t="shared" si="174"/>
        <v>141.06</v>
      </c>
      <c r="AM1853">
        <f t="shared" si="175"/>
        <v>23.94</v>
      </c>
      <c r="AN1853" s="4">
        <f t="shared" si="176"/>
        <v>0.145090909090909</v>
      </c>
      <c r="AO1853" t="s">
        <v>221</v>
      </c>
      <c r="AQ1853" t="s">
        <v>217</v>
      </c>
      <c r="AT1853" t="s">
        <v>1662</v>
      </c>
    </row>
    <row r="1854" ht="15.75" customHeight="1" spans="1:46">
      <c r="A1854" t="s">
        <v>2872</v>
      </c>
      <c r="B1854" t="s">
        <v>75</v>
      </c>
      <c r="C1854" t="s">
        <v>2351</v>
      </c>
      <c r="D1854" t="s">
        <v>2858</v>
      </c>
      <c r="E1854" t="s">
        <v>2353</v>
      </c>
      <c r="F1854" t="s">
        <v>2873</v>
      </c>
      <c r="H1854" t="s">
        <v>2860</v>
      </c>
      <c r="I1854" t="s">
        <v>2868</v>
      </c>
      <c r="Q1854" t="s">
        <v>57</v>
      </c>
      <c r="R1854" t="s">
        <v>2878</v>
      </c>
      <c r="Y1854" t="s">
        <v>2875</v>
      </c>
      <c r="Z1854">
        <v>3506</v>
      </c>
      <c r="AE1854">
        <v>280</v>
      </c>
      <c r="AF1854" s="4">
        <v>0.37</v>
      </c>
      <c r="AG1854">
        <f t="shared" si="177"/>
        <v>176.4</v>
      </c>
      <c r="AH1854" s="4">
        <v>0.18</v>
      </c>
      <c r="AI1854">
        <f t="shared" si="172"/>
        <v>208.15</v>
      </c>
      <c r="AJ1854" s="4">
        <v>0.15</v>
      </c>
      <c r="AK1854">
        <f t="shared" si="173"/>
        <v>31.22</v>
      </c>
      <c r="AL1854">
        <f t="shared" si="174"/>
        <v>239.37</v>
      </c>
      <c r="AM1854">
        <f t="shared" si="175"/>
        <v>40.63</v>
      </c>
      <c r="AN1854" s="4">
        <f t="shared" si="176"/>
        <v>0.145107142857143</v>
      </c>
      <c r="AO1854" t="s">
        <v>221</v>
      </c>
      <c r="AQ1854" t="s">
        <v>217</v>
      </c>
      <c r="AT1854" t="s">
        <v>1662</v>
      </c>
    </row>
    <row r="1855" ht="15.75" customHeight="1" spans="1:46">
      <c r="A1855" t="s">
        <v>2872</v>
      </c>
      <c r="B1855" t="s">
        <v>79</v>
      </c>
      <c r="C1855" t="s">
        <v>2351</v>
      </c>
      <c r="D1855" t="s">
        <v>2858</v>
      </c>
      <c r="E1855" t="s">
        <v>2353</v>
      </c>
      <c r="F1855" t="s">
        <v>2873</v>
      </c>
      <c r="H1855" t="s">
        <v>2860</v>
      </c>
      <c r="I1855" t="s">
        <v>2870</v>
      </c>
      <c r="Q1855" t="s">
        <v>57</v>
      </c>
      <c r="R1855" t="s">
        <v>2879</v>
      </c>
      <c r="Y1855" t="s">
        <v>2875</v>
      </c>
      <c r="Z1855">
        <v>3506</v>
      </c>
      <c r="AE1855">
        <v>495</v>
      </c>
      <c r="AF1855" s="4">
        <v>0.37</v>
      </c>
      <c r="AG1855">
        <f t="shared" si="177"/>
        <v>311.85</v>
      </c>
      <c r="AH1855" s="4">
        <v>0.18</v>
      </c>
      <c r="AI1855">
        <f t="shared" si="172"/>
        <v>367.98</v>
      </c>
      <c r="AJ1855" s="4">
        <v>0.15</v>
      </c>
      <c r="AK1855">
        <f t="shared" si="173"/>
        <v>55.2</v>
      </c>
      <c r="AL1855">
        <f t="shared" si="174"/>
        <v>423.18</v>
      </c>
      <c r="AM1855">
        <f t="shared" si="175"/>
        <v>71.82</v>
      </c>
      <c r="AN1855" s="4">
        <f t="shared" si="176"/>
        <v>0.145090909090909</v>
      </c>
      <c r="AO1855" t="s">
        <v>221</v>
      </c>
      <c r="AQ1855" t="s">
        <v>217</v>
      </c>
      <c r="AT1855" t="s">
        <v>1662</v>
      </c>
    </row>
    <row r="1856" ht="15.75" customHeight="1" spans="1:46">
      <c r="A1856" t="s">
        <v>2880</v>
      </c>
      <c r="B1856" t="s">
        <v>46</v>
      </c>
      <c r="C1856" t="s">
        <v>2351</v>
      </c>
      <c r="D1856" t="s">
        <v>2858</v>
      </c>
      <c r="E1856" t="s">
        <v>2881</v>
      </c>
      <c r="F1856" t="s">
        <v>2882</v>
      </c>
      <c r="H1856" t="s">
        <v>2860</v>
      </c>
      <c r="I1856" t="s">
        <v>2883</v>
      </c>
      <c r="Q1856" t="s">
        <v>57</v>
      </c>
      <c r="Y1856" t="s">
        <v>2884</v>
      </c>
      <c r="Z1856">
        <v>3506</v>
      </c>
      <c r="AE1856">
        <v>495</v>
      </c>
      <c r="AF1856" s="4">
        <v>0.37</v>
      </c>
      <c r="AG1856">
        <f t="shared" si="177"/>
        <v>311.85</v>
      </c>
      <c r="AH1856" s="4">
        <v>0.18</v>
      </c>
      <c r="AI1856">
        <f t="shared" si="172"/>
        <v>367.98</v>
      </c>
      <c r="AJ1856" s="4">
        <v>0.15</v>
      </c>
      <c r="AK1856">
        <f t="shared" si="173"/>
        <v>55.2</v>
      </c>
      <c r="AL1856">
        <f t="shared" si="174"/>
        <v>423.18</v>
      </c>
      <c r="AM1856">
        <f t="shared" si="175"/>
        <v>71.82</v>
      </c>
      <c r="AN1856" s="4">
        <f t="shared" si="176"/>
        <v>0.145090909090909</v>
      </c>
      <c r="AO1856" t="s">
        <v>221</v>
      </c>
      <c r="AQ1856" t="s">
        <v>217</v>
      </c>
      <c r="AT1856" t="s">
        <v>558</v>
      </c>
    </row>
    <row r="1857" ht="15.75" customHeight="1" spans="1:46">
      <c r="A1857" t="s">
        <v>2880</v>
      </c>
      <c r="B1857" t="s">
        <v>67</v>
      </c>
      <c r="C1857" t="s">
        <v>2351</v>
      </c>
      <c r="D1857" t="s">
        <v>2858</v>
      </c>
      <c r="E1857" t="s">
        <v>2881</v>
      </c>
      <c r="F1857" t="s">
        <v>2882</v>
      </c>
      <c r="H1857" t="s">
        <v>2860</v>
      </c>
      <c r="I1857" t="s">
        <v>2885</v>
      </c>
      <c r="Q1857" t="s">
        <v>57</v>
      </c>
      <c r="Y1857" t="s">
        <v>2884</v>
      </c>
      <c r="Z1857">
        <v>3506</v>
      </c>
      <c r="AE1857">
        <v>85</v>
      </c>
      <c r="AF1857" s="4">
        <v>0.37</v>
      </c>
      <c r="AG1857">
        <f t="shared" si="177"/>
        <v>53.55</v>
      </c>
      <c r="AH1857" s="4">
        <v>0.18</v>
      </c>
      <c r="AI1857">
        <f t="shared" si="172"/>
        <v>63.19</v>
      </c>
      <c r="AJ1857" s="4">
        <v>0.15</v>
      </c>
      <c r="AK1857">
        <f t="shared" si="173"/>
        <v>9.48</v>
      </c>
      <c r="AL1857">
        <f t="shared" si="174"/>
        <v>72.67</v>
      </c>
      <c r="AM1857">
        <f t="shared" si="175"/>
        <v>12.33</v>
      </c>
      <c r="AN1857" s="4">
        <f t="shared" si="176"/>
        <v>0.145058823529412</v>
      </c>
      <c r="AO1857" t="s">
        <v>221</v>
      </c>
      <c r="AQ1857" t="s">
        <v>217</v>
      </c>
      <c r="AT1857" t="s">
        <v>558</v>
      </c>
    </row>
    <row r="1858" ht="15.75" customHeight="1" spans="1:46">
      <c r="A1858" t="s">
        <v>2880</v>
      </c>
      <c r="B1858" t="s">
        <v>71</v>
      </c>
      <c r="C1858" t="s">
        <v>2351</v>
      </c>
      <c r="D1858" t="s">
        <v>2858</v>
      </c>
      <c r="E1858" t="s">
        <v>2881</v>
      </c>
      <c r="F1858" t="s">
        <v>2882</v>
      </c>
      <c r="H1858" t="s">
        <v>2860</v>
      </c>
      <c r="I1858" t="s">
        <v>2886</v>
      </c>
      <c r="Q1858" t="s">
        <v>57</v>
      </c>
      <c r="Y1858" t="s">
        <v>2884</v>
      </c>
      <c r="Z1858">
        <v>3506</v>
      </c>
      <c r="AE1858">
        <v>120</v>
      </c>
      <c r="AF1858" s="4">
        <v>0.37</v>
      </c>
      <c r="AG1858">
        <f t="shared" si="177"/>
        <v>75.6</v>
      </c>
      <c r="AH1858" s="4">
        <v>0.18</v>
      </c>
      <c r="AI1858">
        <f t="shared" ref="AI1858:AI1921" si="178">ROUND(AG1858+(AG1858*AH1858),2)</f>
        <v>89.21</v>
      </c>
      <c r="AJ1858" s="4">
        <v>0.15</v>
      </c>
      <c r="AK1858">
        <f t="shared" ref="AK1858:AK1921" si="179">ROUND(AI1858*AJ1858,2)</f>
        <v>13.38</v>
      </c>
      <c r="AL1858">
        <f t="shared" ref="AL1858:AL1921" si="180">AI1858+AK1858</f>
        <v>102.59</v>
      </c>
      <c r="AM1858">
        <f t="shared" ref="AM1858:AM1921" si="181">AE1858-AL1858</f>
        <v>17.41</v>
      </c>
      <c r="AN1858" s="4">
        <f t="shared" ref="AN1858:AN1921" si="182">AM1858/AE1858</f>
        <v>0.145083333333333</v>
      </c>
      <c r="AO1858" t="s">
        <v>221</v>
      </c>
      <c r="AQ1858" t="s">
        <v>217</v>
      </c>
      <c r="AT1858" t="s">
        <v>558</v>
      </c>
    </row>
    <row r="1859" ht="15.75" customHeight="1" spans="1:46">
      <c r="A1859" t="s">
        <v>2880</v>
      </c>
      <c r="B1859" t="s">
        <v>75</v>
      </c>
      <c r="C1859" t="s">
        <v>2351</v>
      </c>
      <c r="D1859" t="s">
        <v>2858</v>
      </c>
      <c r="E1859" t="s">
        <v>2881</v>
      </c>
      <c r="F1859" t="s">
        <v>2882</v>
      </c>
      <c r="H1859" t="s">
        <v>2860</v>
      </c>
      <c r="I1859" t="s">
        <v>2887</v>
      </c>
      <c r="Q1859" t="s">
        <v>57</v>
      </c>
      <c r="Y1859" t="s">
        <v>2884</v>
      </c>
      <c r="Z1859">
        <v>3506</v>
      </c>
      <c r="AE1859">
        <v>170</v>
      </c>
      <c r="AF1859" s="4">
        <v>0.37</v>
      </c>
      <c r="AG1859">
        <f t="shared" si="177"/>
        <v>107.1</v>
      </c>
      <c r="AH1859" s="4">
        <v>0.18</v>
      </c>
      <c r="AI1859">
        <f t="shared" si="178"/>
        <v>126.38</v>
      </c>
      <c r="AJ1859" s="4">
        <v>0.15</v>
      </c>
      <c r="AK1859">
        <f t="shared" si="179"/>
        <v>18.96</v>
      </c>
      <c r="AL1859">
        <f t="shared" si="180"/>
        <v>145.34</v>
      </c>
      <c r="AM1859">
        <f t="shared" si="181"/>
        <v>24.66</v>
      </c>
      <c r="AN1859" s="4">
        <f t="shared" si="182"/>
        <v>0.145058823529412</v>
      </c>
      <c r="AO1859" t="s">
        <v>221</v>
      </c>
      <c r="AQ1859" t="s">
        <v>217</v>
      </c>
      <c r="AT1859" t="s">
        <v>558</v>
      </c>
    </row>
    <row r="1860" ht="15.75" customHeight="1" spans="1:46">
      <c r="A1860" t="s">
        <v>2880</v>
      </c>
      <c r="B1860" t="s">
        <v>79</v>
      </c>
      <c r="C1860" t="s">
        <v>2351</v>
      </c>
      <c r="D1860" t="s">
        <v>2858</v>
      </c>
      <c r="E1860" t="s">
        <v>2881</v>
      </c>
      <c r="F1860" t="s">
        <v>2882</v>
      </c>
      <c r="H1860" t="s">
        <v>2860</v>
      </c>
      <c r="I1860" t="s">
        <v>2888</v>
      </c>
      <c r="Q1860" t="s">
        <v>57</v>
      </c>
      <c r="Y1860" t="s">
        <v>2884</v>
      </c>
      <c r="Z1860">
        <v>3506</v>
      </c>
      <c r="AE1860">
        <v>170</v>
      </c>
      <c r="AF1860" s="4">
        <v>0.37</v>
      </c>
      <c r="AG1860">
        <f t="shared" ref="AG1860:AG1923" si="183">ROUND(AE1860-(AE1860*AF1860),2)</f>
        <v>107.1</v>
      </c>
      <c r="AH1860" s="4">
        <v>0.18</v>
      </c>
      <c r="AI1860">
        <f t="shared" si="178"/>
        <v>126.38</v>
      </c>
      <c r="AJ1860" s="4">
        <v>0.15</v>
      </c>
      <c r="AK1860">
        <f t="shared" si="179"/>
        <v>18.96</v>
      </c>
      <c r="AL1860">
        <f t="shared" si="180"/>
        <v>145.34</v>
      </c>
      <c r="AM1860">
        <f t="shared" si="181"/>
        <v>24.66</v>
      </c>
      <c r="AN1860" s="4">
        <f t="shared" si="182"/>
        <v>0.145058823529412</v>
      </c>
      <c r="AO1860" t="s">
        <v>221</v>
      </c>
      <c r="AQ1860" t="s">
        <v>217</v>
      </c>
      <c r="AT1860" t="s">
        <v>558</v>
      </c>
    </row>
    <row r="1861" ht="15.75" customHeight="1" spans="1:46">
      <c r="A1861" t="s">
        <v>2880</v>
      </c>
      <c r="B1861" t="s">
        <v>83</v>
      </c>
      <c r="C1861" t="s">
        <v>2351</v>
      </c>
      <c r="D1861" t="s">
        <v>2858</v>
      </c>
      <c r="E1861" t="s">
        <v>2881</v>
      </c>
      <c r="F1861" t="s">
        <v>2882</v>
      </c>
      <c r="H1861" t="s">
        <v>2860</v>
      </c>
      <c r="I1861" t="s">
        <v>2889</v>
      </c>
      <c r="Q1861" t="s">
        <v>57</v>
      </c>
      <c r="Y1861" t="s">
        <v>2884</v>
      </c>
      <c r="Z1861">
        <v>3506</v>
      </c>
      <c r="AE1861">
        <v>170</v>
      </c>
      <c r="AF1861" s="4">
        <v>0.37</v>
      </c>
      <c r="AG1861">
        <f t="shared" si="183"/>
        <v>107.1</v>
      </c>
      <c r="AH1861" s="4">
        <v>0.18</v>
      </c>
      <c r="AI1861">
        <f t="shared" si="178"/>
        <v>126.38</v>
      </c>
      <c r="AJ1861" s="4">
        <v>0.15</v>
      </c>
      <c r="AK1861">
        <f t="shared" si="179"/>
        <v>18.96</v>
      </c>
      <c r="AL1861">
        <f t="shared" si="180"/>
        <v>145.34</v>
      </c>
      <c r="AM1861">
        <f t="shared" si="181"/>
        <v>24.66</v>
      </c>
      <c r="AN1861" s="4">
        <f t="shared" si="182"/>
        <v>0.145058823529412</v>
      </c>
      <c r="AO1861" t="s">
        <v>221</v>
      </c>
      <c r="AQ1861" t="s">
        <v>217</v>
      </c>
      <c r="AT1861" t="s">
        <v>558</v>
      </c>
    </row>
    <row r="1862" ht="15.75" customHeight="1" spans="1:46">
      <c r="A1862" t="s">
        <v>2880</v>
      </c>
      <c r="B1862" t="s">
        <v>131</v>
      </c>
      <c r="C1862" t="s">
        <v>2351</v>
      </c>
      <c r="D1862" t="s">
        <v>2858</v>
      </c>
      <c r="E1862" t="s">
        <v>2881</v>
      </c>
      <c r="F1862" t="s">
        <v>2882</v>
      </c>
      <c r="H1862" t="s">
        <v>2860</v>
      </c>
      <c r="I1862" t="s">
        <v>320</v>
      </c>
      <c r="Q1862" t="s">
        <v>57</v>
      </c>
      <c r="Y1862" t="s">
        <v>2884</v>
      </c>
      <c r="Z1862">
        <v>3506</v>
      </c>
      <c r="AE1862">
        <v>170</v>
      </c>
      <c r="AF1862" s="4">
        <v>0.37</v>
      </c>
      <c r="AG1862">
        <f t="shared" si="183"/>
        <v>107.1</v>
      </c>
      <c r="AH1862" s="4">
        <v>0.18</v>
      </c>
      <c r="AI1862">
        <f t="shared" si="178"/>
        <v>126.38</v>
      </c>
      <c r="AJ1862" s="4">
        <v>0.15</v>
      </c>
      <c r="AK1862">
        <f t="shared" si="179"/>
        <v>18.96</v>
      </c>
      <c r="AL1862">
        <f t="shared" si="180"/>
        <v>145.34</v>
      </c>
      <c r="AM1862">
        <f t="shared" si="181"/>
        <v>24.66</v>
      </c>
      <c r="AN1862" s="4">
        <f t="shared" si="182"/>
        <v>0.145058823529412</v>
      </c>
      <c r="AO1862" t="s">
        <v>221</v>
      </c>
      <c r="AQ1862" t="s">
        <v>217</v>
      </c>
      <c r="AT1862" t="s">
        <v>558</v>
      </c>
    </row>
    <row r="1863" ht="15.75" customHeight="1" spans="1:46">
      <c r="A1863" t="s">
        <v>2890</v>
      </c>
      <c r="B1863" t="s">
        <v>46</v>
      </c>
      <c r="C1863" t="s">
        <v>2351</v>
      </c>
      <c r="D1863" t="s">
        <v>2858</v>
      </c>
      <c r="E1863" t="s">
        <v>2881</v>
      </c>
      <c r="F1863" t="s">
        <v>2891</v>
      </c>
      <c r="H1863" t="s">
        <v>2860</v>
      </c>
      <c r="I1863" t="s">
        <v>2883</v>
      </c>
      <c r="Q1863" t="s">
        <v>57</v>
      </c>
      <c r="Y1863" t="s">
        <v>2892</v>
      </c>
      <c r="Z1863">
        <v>3506</v>
      </c>
      <c r="AE1863">
        <v>170</v>
      </c>
      <c r="AF1863" s="4">
        <v>0.37</v>
      </c>
      <c r="AG1863">
        <f t="shared" si="183"/>
        <v>107.1</v>
      </c>
      <c r="AH1863" s="4">
        <v>0.18</v>
      </c>
      <c r="AI1863">
        <f t="shared" si="178"/>
        <v>126.38</v>
      </c>
      <c r="AJ1863" s="4">
        <v>0.15</v>
      </c>
      <c r="AK1863">
        <f t="shared" si="179"/>
        <v>18.96</v>
      </c>
      <c r="AL1863">
        <f t="shared" si="180"/>
        <v>145.34</v>
      </c>
      <c r="AM1863">
        <f t="shared" si="181"/>
        <v>24.66</v>
      </c>
      <c r="AN1863" s="4">
        <f t="shared" si="182"/>
        <v>0.145058823529412</v>
      </c>
      <c r="AO1863" t="s">
        <v>221</v>
      </c>
      <c r="AQ1863" t="s">
        <v>217</v>
      </c>
      <c r="AT1863" t="s">
        <v>558</v>
      </c>
    </row>
    <row r="1864" ht="15.75" customHeight="1" spans="1:46">
      <c r="A1864" t="s">
        <v>2890</v>
      </c>
      <c r="B1864" t="s">
        <v>67</v>
      </c>
      <c r="C1864" t="s">
        <v>2351</v>
      </c>
      <c r="D1864" t="s">
        <v>2858</v>
      </c>
      <c r="E1864" t="s">
        <v>2881</v>
      </c>
      <c r="F1864" t="s">
        <v>2891</v>
      </c>
      <c r="H1864" t="s">
        <v>2860</v>
      </c>
      <c r="I1864" t="s">
        <v>2885</v>
      </c>
      <c r="Q1864" t="s">
        <v>57</v>
      </c>
      <c r="Y1864" t="s">
        <v>2892</v>
      </c>
      <c r="Z1864">
        <v>3506</v>
      </c>
      <c r="AE1864">
        <v>170</v>
      </c>
      <c r="AF1864" s="4">
        <v>0.37</v>
      </c>
      <c r="AG1864">
        <f t="shared" si="183"/>
        <v>107.1</v>
      </c>
      <c r="AH1864" s="4">
        <v>0.18</v>
      </c>
      <c r="AI1864">
        <f t="shared" si="178"/>
        <v>126.38</v>
      </c>
      <c r="AJ1864" s="4">
        <v>0.15</v>
      </c>
      <c r="AK1864">
        <f t="shared" si="179"/>
        <v>18.96</v>
      </c>
      <c r="AL1864">
        <f t="shared" si="180"/>
        <v>145.34</v>
      </c>
      <c r="AM1864">
        <f t="shared" si="181"/>
        <v>24.66</v>
      </c>
      <c r="AN1864" s="4">
        <f t="shared" si="182"/>
        <v>0.145058823529412</v>
      </c>
      <c r="AO1864" t="s">
        <v>221</v>
      </c>
      <c r="AQ1864" t="s">
        <v>217</v>
      </c>
      <c r="AT1864" t="s">
        <v>558</v>
      </c>
    </row>
    <row r="1865" ht="15.75" customHeight="1" spans="1:46">
      <c r="A1865" t="s">
        <v>2890</v>
      </c>
      <c r="B1865" t="s">
        <v>71</v>
      </c>
      <c r="C1865" t="s">
        <v>2351</v>
      </c>
      <c r="D1865" t="s">
        <v>2858</v>
      </c>
      <c r="E1865" t="s">
        <v>2881</v>
      </c>
      <c r="F1865" t="s">
        <v>2891</v>
      </c>
      <c r="H1865" t="s">
        <v>2860</v>
      </c>
      <c r="I1865" t="s">
        <v>2886</v>
      </c>
      <c r="Q1865" t="s">
        <v>57</v>
      </c>
      <c r="Y1865" t="s">
        <v>2892</v>
      </c>
      <c r="Z1865">
        <v>3506</v>
      </c>
      <c r="AE1865">
        <v>170</v>
      </c>
      <c r="AF1865" s="4">
        <v>0.37</v>
      </c>
      <c r="AG1865">
        <f t="shared" si="183"/>
        <v>107.1</v>
      </c>
      <c r="AH1865" s="4">
        <v>0.18</v>
      </c>
      <c r="AI1865">
        <f t="shared" si="178"/>
        <v>126.38</v>
      </c>
      <c r="AJ1865" s="4">
        <v>0.15</v>
      </c>
      <c r="AK1865">
        <f t="shared" si="179"/>
        <v>18.96</v>
      </c>
      <c r="AL1865">
        <f t="shared" si="180"/>
        <v>145.34</v>
      </c>
      <c r="AM1865">
        <f t="shared" si="181"/>
        <v>24.66</v>
      </c>
      <c r="AN1865" s="4">
        <f t="shared" si="182"/>
        <v>0.145058823529412</v>
      </c>
      <c r="AO1865" t="s">
        <v>221</v>
      </c>
      <c r="AQ1865" t="s">
        <v>217</v>
      </c>
      <c r="AT1865" t="s">
        <v>558</v>
      </c>
    </row>
    <row r="1866" ht="15.75" customHeight="1" spans="1:46">
      <c r="A1866" t="s">
        <v>2890</v>
      </c>
      <c r="B1866" t="s">
        <v>75</v>
      </c>
      <c r="C1866" t="s">
        <v>2351</v>
      </c>
      <c r="D1866" t="s">
        <v>2858</v>
      </c>
      <c r="E1866" t="s">
        <v>2881</v>
      </c>
      <c r="F1866" t="s">
        <v>2891</v>
      </c>
      <c r="H1866" t="s">
        <v>2860</v>
      </c>
      <c r="I1866" t="s">
        <v>2887</v>
      </c>
      <c r="Q1866" t="s">
        <v>57</v>
      </c>
      <c r="Y1866" t="s">
        <v>2892</v>
      </c>
      <c r="Z1866">
        <v>3506</v>
      </c>
      <c r="AE1866">
        <v>170</v>
      </c>
      <c r="AF1866" s="4">
        <v>0.37</v>
      </c>
      <c r="AG1866">
        <f t="shared" si="183"/>
        <v>107.1</v>
      </c>
      <c r="AH1866" s="4">
        <v>0.18</v>
      </c>
      <c r="AI1866">
        <f t="shared" si="178"/>
        <v>126.38</v>
      </c>
      <c r="AJ1866" s="4">
        <v>0.15</v>
      </c>
      <c r="AK1866">
        <f t="shared" si="179"/>
        <v>18.96</v>
      </c>
      <c r="AL1866">
        <f t="shared" si="180"/>
        <v>145.34</v>
      </c>
      <c r="AM1866">
        <f t="shared" si="181"/>
        <v>24.66</v>
      </c>
      <c r="AN1866" s="4">
        <f t="shared" si="182"/>
        <v>0.145058823529412</v>
      </c>
      <c r="AO1866" t="s">
        <v>221</v>
      </c>
      <c r="AQ1866" t="s">
        <v>217</v>
      </c>
      <c r="AT1866" t="s">
        <v>558</v>
      </c>
    </row>
    <row r="1867" ht="15.75" customHeight="1" spans="1:46">
      <c r="A1867" t="s">
        <v>2890</v>
      </c>
      <c r="B1867" t="s">
        <v>79</v>
      </c>
      <c r="C1867" t="s">
        <v>2351</v>
      </c>
      <c r="D1867" t="s">
        <v>2858</v>
      </c>
      <c r="E1867" t="s">
        <v>2881</v>
      </c>
      <c r="F1867" t="s">
        <v>2891</v>
      </c>
      <c r="H1867" t="s">
        <v>2860</v>
      </c>
      <c r="I1867" t="s">
        <v>2888</v>
      </c>
      <c r="Q1867" t="s">
        <v>57</v>
      </c>
      <c r="Y1867" t="s">
        <v>2892</v>
      </c>
      <c r="Z1867">
        <v>3506</v>
      </c>
      <c r="AE1867">
        <v>170</v>
      </c>
      <c r="AF1867" s="4">
        <v>0.37</v>
      </c>
      <c r="AG1867">
        <f t="shared" si="183"/>
        <v>107.1</v>
      </c>
      <c r="AH1867" s="4">
        <v>0.18</v>
      </c>
      <c r="AI1867">
        <f t="shared" si="178"/>
        <v>126.38</v>
      </c>
      <c r="AJ1867" s="4">
        <v>0.15</v>
      </c>
      <c r="AK1867">
        <f t="shared" si="179"/>
        <v>18.96</v>
      </c>
      <c r="AL1867">
        <f t="shared" si="180"/>
        <v>145.34</v>
      </c>
      <c r="AM1867">
        <f t="shared" si="181"/>
        <v>24.66</v>
      </c>
      <c r="AN1867" s="4">
        <f t="shared" si="182"/>
        <v>0.145058823529412</v>
      </c>
      <c r="AO1867" t="s">
        <v>221</v>
      </c>
      <c r="AQ1867" t="s">
        <v>217</v>
      </c>
      <c r="AT1867" t="s">
        <v>558</v>
      </c>
    </row>
    <row r="1868" ht="15.75" customHeight="1" spans="1:46">
      <c r="A1868" t="s">
        <v>2890</v>
      </c>
      <c r="B1868" t="s">
        <v>83</v>
      </c>
      <c r="C1868" t="s">
        <v>2351</v>
      </c>
      <c r="D1868" t="s">
        <v>2858</v>
      </c>
      <c r="E1868" t="s">
        <v>2881</v>
      </c>
      <c r="F1868" t="s">
        <v>2891</v>
      </c>
      <c r="H1868" t="s">
        <v>2860</v>
      </c>
      <c r="I1868" t="s">
        <v>2889</v>
      </c>
      <c r="Q1868" t="s">
        <v>57</v>
      </c>
      <c r="Y1868" t="s">
        <v>2892</v>
      </c>
      <c r="Z1868">
        <v>3506</v>
      </c>
      <c r="AE1868">
        <v>170</v>
      </c>
      <c r="AF1868" s="4">
        <v>0.37</v>
      </c>
      <c r="AG1868">
        <f t="shared" si="183"/>
        <v>107.1</v>
      </c>
      <c r="AH1868" s="4">
        <v>0.18</v>
      </c>
      <c r="AI1868">
        <f t="shared" si="178"/>
        <v>126.38</v>
      </c>
      <c r="AJ1868" s="4">
        <v>0.15</v>
      </c>
      <c r="AK1868">
        <f t="shared" si="179"/>
        <v>18.96</v>
      </c>
      <c r="AL1868">
        <f t="shared" si="180"/>
        <v>145.34</v>
      </c>
      <c r="AM1868">
        <f t="shared" si="181"/>
        <v>24.66</v>
      </c>
      <c r="AN1868" s="4">
        <f t="shared" si="182"/>
        <v>0.145058823529412</v>
      </c>
      <c r="AO1868" t="s">
        <v>221</v>
      </c>
      <c r="AQ1868" t="s">
        <v>217</v>
      </c>
      <c r="AT1868" t="s">
        <v>558</v>
      </c>
    </row>
    <row r="1869" ht="15.75" customHeight="1" spans="1:46">
      <c r="A1869" t="s">
        <v>2890</v>
      </c>
      <c r="B1869" t="s">
        <v>131</v>
      </c>
      <c r="C1869" t="s">
        <v>2351</v>
      </c>
      <c r="D1869" t="s">
        <v>2858</v>
      </c>
      <c r="E1869" t="s">
        <v>2881</v>
      </c>
      <c r="F1869" t="s">
        <v>2891</v>
      </c>
      <c r="H1869" t="s">
        <v>2860</v>
      </c>
      <c r="I1869" t="s">
        <v>320</v>
      </c>
      <c r="Q1869" t="s">
        <v>57</v>
      </c>
      <c r="Y1869" t="s">
        <v>2892</v>
      </c>
      <c r="Z1869">
        <v>3506</v>
      </c>
      <c r="AE1869">
        <v>170</v>
      </c>
      <c r="AF1869" s="4">
        <v>0.37</v>
      </c>
      <c r="AG1869">
        <f t="shared" si="183"/>
        <v>107.1</v>
      </c>
      <c r="AH1869" s="4">
        <v>0.18</v>
      </c>
      <c r="AI1869">
        <f t="shared" si="178"/>
        <v>126.38</v>
      </c>
      <c r="AJ1869" s="4">
        <v>0.15</v>
      </c>
      <c r="AK1869">
        <f t="shared" si="179"/>
        <v>18.96</v>
      </c>
      <c r="AL1869">
        <f t="shared" si="180"/>
        <v>145.34</v>
      </c>
      <c r="AM1869">
        <f t="shared" si="181"/>
        <v>24.66</v>
      </c>
      <c r="AN1869" s="4">
        <f t="shared" si="182"/>
        <v>0.145058823529412</v>
      </c>
      <c r="AO1869" t="s">
        <v>221</v>
      </c>
      <c r="AQ1869" t="s">
        <v>217</v>
      </c>
      <c r="AT1869" t="s">
        <v>558</v>
      </c>
    </row>
    <row r="1870" ht="15.75" customHeight="1" spans="1:46">
      <c r="A1870" t="s">
        <v>2893</v>
      </c>
      <c r="B1870" t="s">
        <v>46</v>
      </c>
      <c r="C1870" t="s">
        <v>2351</v>
      </c>
      <c r="D1870" t="s">
        <v>2894</v>
      </c>
      <c r="E1870" t="s">
        <v>1022</v>
      </c>
      <c r="F1870" t="s">
        <v>2895</v>
      </c>
      <c r="Q1870" t="s">
        <v>57</v>
      </c>
      <c r="Y1870" t="s">
        <v>2896</v>
      </c>
      <c r="Z1870">
        <v>3506</v>
      </c>
      <c r="AE1870">
        <v>50</v>
      </c>
      <c r="AF1870" s="4">
        <v>0.75</v>
      </c>
      <c r="AG1870">
        <f t="shared" si="183"/>
        <v>12.5</v>
      </c>
      <c r="AH1870" s="4">
        <v>0.18</v>
      </c>
      <c r="AI1870">
        <f t="shared" si="178"/>
        <v>14.75</v>
      </c>
      <c r="AJ1870" s="4">
        <v>0.2</v>
      </c>
      <c r="AK1870">
        <f t="shared" si="179"/>
        <v>2.95</v>
      </c>
      <c r="AL1870">
        <f t="shared" si="180"/>
        <v>17.7</v>
      </c>
      <c r="AM1870">
        <f t="shared" si="181"/>
        <v>32.3</v>
      </c>
      <c r="AN1870" s="4">
        <f t="shared" si="182"/>
        <v>0.646</v>
      </c>
      <c r="AO1870" t="s">
        <v>221</v>
      </c>
      <c r="AQ1870" t="s">
        <v>217</v>
      </c>
      <c r="AT1870" t="s">
        <v>1662</v>
      </c>
    </row>
    <row r="1871" ht="15.75" customHeight="1" spans="1:46">
      <c r="A1871" t="s">
        <v>2897</v>
      </c>
      <c r="B1871" t="s">
        <v>46</v>
      </c>
      <c r="C1871" t="s">
        <v>1499</v>
      </c>
      <c r="D1871" t="s">
        <v>2898</v>
      </c>
      <c r="E1871" t="s">
        <v>1022</v>
      </c>
      <c r="F1871" t="s">
        <v>2898</v>
      </c>
      <c r="H1871" t="s">
        <v>53</v>
      </c>
      <c r="I1871" t="s">
        <v>2899</v>
      </c>
      <c r="Q1871" t="s">
        <v>57</v>
      </c>
      <c r="AE1871">
        <v>99</v>
      </c>
      <c r="AF1871" s="4">
        <v>0.7</v>
      </c>
      <c r="AG1871">
        <f t="shared" si="183"/>
        <v>29.7</v>
      </c>
      <c r="AH1871" s="4">
        <v>0.18</v>
      </c>
      <c r="AI1871">
        <f t="shared" si="178"/>
        <v>35.05</v>
      </c>
      <c r="AJ1871" s="4">
        <v>0.15</v>
      </c>
      <c r="AK1871">
        <f t="shared" si="179"/>
        <v>5.26</v>
      </c>
      <c r="AL1871">
        <f t="shared" si="180"/>
        <v>40.31</v>
      </c>
      <c r="AM1871">
        <f t="shared" si="181"/>
        <v>58.69</v>
      </c>
      <c r="AN1871" s="4">
        <f t="shared" si="182"/>
        <v>0.592828282828283</v>
      </c>
      <c r="AO1871" t="s">
        <v>221</v>
      </c>
      <c r="AS1871" t="s">
        <v>2900</v>
      </c>
      <c r="AT1871" t="s">
        <v>221</v>
      </c>
    </row>
    <row r="1872" ht="15.75" customHeight="1" spans="1:46">
      <c r="A1872" t="s">
        <v>2897</v>
      </c>
      <c r="B1872" t="s">
        <v>67</v>
      </c>
      <c r="C1872" t="s">
        <v>1499</v>
      </c>
      <c r="D1872" t="s">
        <v>2898</v>
      </c>
      <c r="E1872" t="s">
        <v>1022</v>
      </c>
      <c r="F1872" t="s">
        <v>2898</v>
      </c>
      <c r="H1872" t="s">
        <v>53</v>
      </c>
      <c r="I1872" t="s">
        <v>2901</v>
      </c>
      <c r="Q1872" t="s">
        <v>57</v>
      </c>
      <c r="AE1872">
        <v>125</v>
      </c>
      <c r="AF1872" s="4">
        <v>0.7</v>
      </c>
      <c r="AG1872">
        <f t="shared" si="183"/>
        <v>37.5</v>
      </c>
      <c r="AH1872" s="4">
        <v>0.18</v>
      </c>
      <c r="AI1872">
        <f t="shared" si="178"/>
        <v>44.25</v>
      </c>
      <c r="AJ1872" s="4">
        <v>0.15</v>
      </c>
      <c r="AK1872">
        <f t="shared" si="179"/>
        <v>6.64</v>
      </c>
      <c r="AL1872">
        <f t="shared" si="180"/>
        <v>50.89</v>
      </c>
      <c r="AM1872">
        <f t="shared" si="181"/>
        <v>74.11</v>
      </c>
      <c r="AN1872" s="4">
        <f t="shared" si="182"/>
        <v>0.59288</v>
      </c>
      <c r="AO1872" t="s">
        <v>221</v>
      </c>
      <c r="AS1872" t="s">
        <v>2900</v>
      </c>
      <c r="AT1872" t="s">
        <v>221</v>
      </c>
    </row>
    <row r="1873" ht="15.75" customHeight="1" spans="1:46">
      <c r="A1873" t="s">
        <v>2897</v>
      </c>
      <c r="B1873" t="s">
        <v>71</v>
      </c>
      <c r="C1873" t="s">
        <v>1499</v>
      </c>
      <c r="D1873" t="s">
        <v>2898</v>
      </c>
      <c r="E1873" t="s">
        <v>1022</v>
      </c>
      <c r="F1873" t="s">
        <v>2898</v>
      </c>
      <c r="H1873" t="s">
        <v>53</v>
      </c>
      <c r="I1873" t="s">
        <v>2902</v>
      </c>
      <c r="Q1873" t="s">
        <v>57</v>
      </c>
      <c r="AE1873">
        <v>150</v>
      </c>
      <c r="AF1873" s="4">
        <v>0.7</v>
      </c>
      <c r="AG1873">
        <f t="shared" si="183"/>
        <v>45</v>
      </c>
      <c r="AH1873" s="4">
        <v>0.18</v>
      </c>
      <c r="AI1873">
        <f t="shared" si="178"/>
        <v>53.1</v>
      </c>
      <c r="AJ1873" s="4">
        <v>0.15</v>
      </c>
      <c r="AK1873">
        <f t="shared" si="179"/>
        <v>7.97</v>
      </c>
      <c r="AL1873">
        <f t="shared" si="180"/>
        <v>61.07</v>
      </c>
      <c r="AM1873">
        <f t="shared" si="181"/>
        <v>88.93</v>
      </c>
      <c r="AN1873" s="4">
        <f t="shared" si="182"/>
        <v>0.592866666666667</v>
      </c>
      <c r="AO1873" t="s">
        <v>221</v>
      </c>
      <c r="AS1873" t="s">
        <v>2900</v>
      </c>
      <c r="AT1873" t="s">
        <v>221</v>
      </c>
    </row>
    <row r="1874" ht="15.75" customHeight="1" spans="1:46">
      <c r="A1874" t="s">
        <v>2897</v>
      </c>
      <c r="B1874" t="s">
        <v>75</v>
      </c>
      <c r="C1874" t="s">
        <v>1499</v>
      </c>
      <c r="D1874" t="s">
        <v>2898</v>
      </c>
      <c r="E1874" t="s">
        <v>1022</v>
      </c>
      <c r="F1874" t="s">
        <v>2898</v>
      </c>
      <c r="H1874" t="s">
        <v>53</v>
      </c>
      <c r="I1874" t="s">
        <v>2903</v>
      </c>
      <c r="Q1874" t="s">
        <v>57</v>
      </c>
      <c r="AE1874">
        <v>199</v>
      </c>
      <c r="AF1874" s="4">
        <v>0.7</v>
      </c>
      <c r="AG1874">
        <f t="shared" si="183"/>
        <v>59.7</v>
      </c>
      <c r="AH1874" s="4">
        <v>0.18</v>
      </c>
      <c r="AI1874">
        <f t="shared" si="178"/>
        <v>70.45</v>
      </c>
      <c r="AJ1874" s="4">
        <v>0.15</v>
      </c>
      <c r="AK1874">
        <f t="shared" si="179"/>
        <v>10.57</v>
      </c>
      <c r="AL1874">
        <f t="shared" si="180"/>
        <v>81.02</v>
      </c>
      <c r="AM1874">
        <f t="shared" si="181"/>
        <v>117.98</v>
      </c>
      <c r="AN1874" s="4">
        <f t="shared" si="182"/>
        <v>0.59286432160804</v>
      </c>
      <c r="AO1874" t="s">
        <v>221</v>
      </c>
      <c r="AS1874" t="s">
        <v>2900</v>
      </c>
      <c r="AT1874" t="s">
        <v>221</v>
      </c>
    </row>
    <row r="1875" ht="15.75" customHeight="1" spans="1:46">
      <c r="A1875" t="s">
        <v>2897</v>
      </c>
      <c r="B1875" t="s">
        <v>79</v>
      </c>
      <c r="C1875" t="s">
        <v>1499</v>
      </c>
      <c r="D1875" t="s">
        <v>2898</v>
      </c>
      <c r="E1875" t="s">
        <v>1022</v>
      </c>
      <c r="F1875" t="s">
        <v>2898</v>
      </c>
      <c r="H1875" t="s">
        <v>53</v>
      </c>
      <c r="I1875" t="s">
        <v>2904</v>
      </c>
      <c r="Q1875" t="s">
        <v>57</v>
      </c>
      <c r="AE1875">
        <v>189</v>
      </c>
      <c r="AF1875" s="4">
        <v>0.7</v>
      </c>
      <c r="AG1875">
        <f t="shared" si="183"/>
        <v>56.7</v>
      </c>
      <c r="AH1875" s="4">
        <v>0.18</v>
      </c>
      <c r="AI1875">
        <f t="shared" si="178"/>
        <v>66.91</v>
      </c>
      <c r="AJ1875" s="4">
        <v>0.15</v>
      </c>
      <c r="AK1875">
        <f t="shared" si="179"/>
        <v>10.04</v>
      </c>
      <c r="AL1875">
        <f t="shared" si="180"/>
        <v>76.95</v>
      </c>
      <c r="AM1875">
        <f t="shared" si="181"/>
        <v>112.05</v>
      </c>
      <c r="AN1875" s="4">
        <f t="shared" si="182"/>
        <v>0.592857142857143</v>
      </c>
      <c r="AO1875" t="s">
        <v>221</v>
      </c>
      <c r="AS1875" t="s">
        <v>2900</v>
      </c>
      <c r="AT1875" t="s">
        <v>221</v>
      </c>
    </row>
    <row r="1876" ht="15.75" customHeight="1" spans="1:46">
      <c r="A1876" t="s">
        <v>2897</v>
      </c>
      <c r="B1876" t="s">
        <v>83</v>
      </c>
      <c r="C1876" t="s">
        <v>1499</v>
      </c>
      <c r="D1876" t="s">
        <v>2898</v>
      </c>
      <c r="E1876" t="s">
        <v>1022</v>
      </c>
      <c r="F1876" t="s">
        <v>2898</v>
      </c>
      <c r="H1876" t="s">
        <v>53</v>
      </c>
      <c r="I1876" t="s">
        <v>2905</v>
      </c>
      <c r="Q1876" t="s">
        <v>57</v>
      </c>
      <c r="AE1876">
        <v>225</v>
      </c>
      <c r="AF1876" s="4">
        <v>0.7</v>
      </c>
      <c r="AG1876">
        <f t="shared" si="183"/>
        <v>67.5</v>
      </c>
      <c r="AH1876" s="4">
        <v>0.18</v>
      </c>
      <c r="AI1876">
        <f t="shared" si="178"/>
        <v>79.65</v>
      </c>
      <c r="AJ1876" s="4">
        <v>0.15</v>
      </c>
      <c r="AK1876">
        <f t="shared" si="179"/>
        <v>11.95</v>
      </c>
      <c r="AL1876">
        <f t="shared" si="180"/>
        <v>91.6</v>
      </c>
      <c r="AM1876">
        <f t="shared" si="181"/>
        <v>133.4</v>
      </c>
      <c r="AN1876" s="4">
        <f t="shared" si="182"/>
        <v>0.592888888888889</v>
      </c>
      <c r="AO1876" t="s">
        <v>221</v>
      </c>
      <c r="AS1876" t="s">
        <v>2900</v>
      </c>
      <c r="AT1876" t="s">
        <v>221</v>
      </c>
    </row>
    <row r="1877" ht="15.75" customHeight="1" spans="1:46">
      <c r="A1877" t="s">
        <v>2897</v>
      </c>
      <c r="B1877" t="s">
        <v>131</v>
      </c>
      <c r="C1877" t="s">
        <v>1499</v>
      </c>
      <c r="D1877" t="s">
        <v>2898</v>
      </c>
      <c r="E1877" t="s">
        <v>1022</v>
      </c>
      <c r="F1877" t="s">
        <v>2898</v>
      </c>
      <c r="H1877" t="s">
        <v>53</v>
      </c>
      <c r="I1877" t="s">
        <v>2906</v>
      </c>
      <c r="Q1877" t="s">
        <v>57</v>
      </c>
      <c r="AE1877">
        <v>279</v>
      </c>
      <c r="AF1877" s="4">
        <v>0.7</v>
      </c>
      <c r="AG1877">
        <f t="shared" si="183"/>
        <v>83.7</v>
      </c>
      <c r="AH1877" s="4">
        <v>0.18</v>
      </c>
      <c r="AI1877">
        <f t="shared" si="178"/>
        <v>98.77</v>
      </c>
      <c r="AJ1877" s="4">
        <v>0.15</v>
      </c>
      <c r="AK1877">
        <f t="shared" si="179"/>
        <v>14.82</v>
      </c>
      <c r="AL1877">
        <f t="shared" si="180"/>
        <v>113.59</v>
      </c>
      <c r="AM1877">
        <f t="shared" si="181"/>
        <v>165.41</v>
      </c>
      <c r="AN1877" s="4">
        <f t="shared" si="182"/>
        <v>0.592867383512545</v>
      </c>
      <c r="AO1877" t="s">
        <v>221</v>
      </c>
      <c r="AS1877" t="s">
        <v>2900</v>
      </c>
      <c r="AT1877" t="s">
        <v>221</v>
      </c>
    </row>
    <row r="1878" ht="15.75" customHeight="1" spans="1:46">
      <c r="A1878" t="s">
        <v>2907</v>
      </c>
      <c r="B1878" t="s">
        <v>46</v>
      </c>
      <c r="C1878" t="s">
        <v>1499</v>
      </c>
      <c r="D1878" t="s">
        <v>2908</v>
      </c>
      <c r="E1878" t="s">
        <v>1022</v>
      </c>
      <c r="F1878" t="s">
        <v>2909</v>
      </c>
      <c r="H1878" t="s">
        <v>53</v>
      </c>
      <c r="I1878" t="s">
        <v>2910</v>
      </c>
      <c r="Q1878" t="s">
        <v>57</v>
      </c>
      <c r="AE1878">
        <v>139</v>
      </c>
      <c r="AF1878" s="4">
        <v>0.7</v>
      </c>
      <c r="AG1878">
        <f t="shared" si="183"/>
        <v>41.7</v>
      </c>
      <c r="AH1878" s="4">
        <v>0.18</v>
      </c>
      <c r="AI1878">
        <f t="shared" si="178"/>
        <v>49.21</v>
      </c>
      <c r="AJ1878" s="4">
        <v>0.15</v>
      </c>
      <c r="AK1878">
        <f t="shared" si="179"/>
        <v>7.38</v>
      </c>
      <c r="AL1878">
        <f t="shared" si="180"/>
        <v>56.59</v>
      </c>
      <c r="AM1878">
        <f t="shared" si="181"/>
        <v>82.41</v>
      </c>
      <c r="AN1878" s="4">
        <f t="shared" si="182"/>
        <v>0.592877697841727</v>
      </c>
      <c r="AO1878" t="s">
        <v>221</v>
      </c>
      <c r="AS1878" t="s">
        <v>2911</v>
      </c>
      <c r="AT1878" t="s">
        <v>221</v>
      </c>
    </row>
    <row r="1879" ht="15.75" customHeight="1" spans="1:46">
      <c r="A1879" t="s">
        <v>2907</v>
      </c>
      <c r="B1879" t="s">
        <v>67</v>
      </c>
      <c r="C1879" t="s">
        <v>1499</v>
      </c>
      <c r="D1879" t="s">
        <v>2908</v>
      </c>
      <c r="E1879" t="s">
        <v>1022</v>
      </c>
      <c r="F1879" t="s">
        <v>2909</v>
      </c>
      <c r="H1879" t="s">
        <v>53</v>
      </c>
      <c r="I1879" t="s">
        <v>2179</v>
      </c>
      <c r="Q1879" t="s">
        <v>57</v>
      </c>
      <c r="AE1879">
        <v>199</v>
      </c>
      <c r="AF1879" s="4">
        <v>0.7</v>
      </c>
      <c r="AG1879">
        <f t="shared" si="183"/>
        <v>59.7</v>
      </c>
      <c r="AH1879" s="4">
        <v>0.18</v>
      </c>
      <c r="AI1879">
        <f t="shared" si="178"/>
        <v>70.45</v>
      </c>
      <c r="AJ1879" s="4">
        <v>0.15</v>
      </c>
      <c r="AK1879">
        <f t="shared" si="179"/>
        <v>10.57</v>
      </c>
      <c r="AL1879">
        <f t="shared" si="180"/>
        <v>81.02</v>
      </c>
      <c r="AM1879">
        <f t="shared" si="181"/>
        <v>117.98</v>
      </c>
      <c r="AN1879" s="4">
        <f t="shared" si="182"/>
        <v>0.59286432160804</v>
      </c>
      <c r="AO1879" t="s">
        <v>221</v>
      </c>
      <c r="AS1879" t="s">
        <v>2911</v>
      </c>
      <c r="AT1879" t="s">
        <v>221</v>
      </c>
    </row>
    <row r="1880" ht="15.75" customHeight="1" spans="1:46">
      <c r="A1880" t="s">
        <v>2912</v>
      </c>
      <c r="B1880" t="s">
        <v>46</v>
      </c>
      <c r="C1880" t="s">
        <v>1499</v>
      </c>
      <c r="D1880" t="s">
        <v>2913</v>
      </c>
      <c r="E1880" t="s">
        <v>1022</v>
      </c>
      <c r="F1880" t="s">
        <v>2914</v>
      </c>
      <c r="H1880" t="s">
        <v>53</v>
      </c>
      <c r="I1880" t="s">
        <v>2910</v>
      </c>
      <c r="J1880" t="s">
        <v>2915</v>
      </c>
      <c r="K1880" t="s">
        <v>2916</v>
      </c>
      <c r="Q1880" t="s">
        <v>57</v>
      </c>
      <c r="Y1880" t="s">
        <v>2917</v>
      </c>
      <c r="AE1880">
        <v>499</v>
      </c>
      <c r="AF1880" s="4">
        <v>0.7</v>
      </c>
      <c r="AG1880">
        <f t="shared" si="183"/>
        <v>149.7</v>
      </c>
      <c r="AH1880" s="4">
        <v>0.18</v>
      </c>
      <c r="AI1880">
        <f t="shared" si="178"/>
        <v>176.65</v>
      </c>
      <c r="AJ1880" s="4">
        <v>0.15</v>
      </c>
      <c r="AK1880">
        <f t="shared" si="179"/>
        <v>26.5</v>
      </c>
      <c r="AL1880">
        <f t="shared" si="180"/>
        <v>203.15</v>
      </c>
      <c r="AM1880">
        <f t="shared" si="181"/>
        <v>295.85</v>
      </c>
      <c r="AN1880" s="4">
        <f t="shared" si="182"/>
        <v>0.592885771543086</v>
      </c>
      <c r="AO1880" t="s">
        <v>221</v>
      </c>
      <c r="AT1880" t="s">
        <v>221</v>
      </c>
    </row>
    <row r="1881" ht="15.75" customHeight="1" spans="1:46">
      <c r="A1881" t="s">
        <v>2918</v>
      </c>
      <c r="B1881" t="s">
        <v>46</v>
      </c>
      <c r="C1881" t="s">
        <v>1499</v>
      </c>
      <c r="D1881" t="s">
        <v>2919</v>
      </c>
      <c r="E1881" t="s">
        <v>1022</v>
      </c>
      <c r="F1881" t="s">
        <v>2920</v>
      </c>
      <c r="H1881" t="s">
        <v>124</v>
      </c>
      <c r="I1881" t="s">
        <v>1504</v>
      </c>
      <c r="J1881" t="s">
        <v>2915</v>
      </c>
      <c r="K1881" t="s">
        <v>2921</v>
      </c>
      <c r="Q1881" t="s">
        <v>57</v>
      </c>
      <c r="AE1881">
        <v>349</v>
      </c>
      <c r="AF1881" s="4">
        <v>0.7</v>
      </c>
      <c r="AG1881">
        <f t="shared" si="183"/>
        <v>104.7</v>
      </c>
      <c r="AH1881" s="4">
        <v>0.18</v>
      </c>
      <c r="AI1881">
        <f t="shared" si="178"/>
        <v>123.55</v>
      </c>
      <c r="AJ1881" s="4">
        <v>0.15</v>
      </c>
      <c r="AK1881">
        <f t="shared" si="179"/>
        <v>18.53</v>
      </c>
      <c r="AL1881">
        <f t="shared" si="180"/>
        <v>142.08</v>
      </c>
      <c r="AM1881">
        <f t="shared" si="181"/>
        <v>206.92</v>
      </c>
      <c r="AN1881" s="4">
        <f t="shared" si="182"/>
        <v>0.592893982808023</v>
      </c>
      <c r="AO1881" t="s">
        <v>221</v>
      </c>
      <c r="AT1881" t="s">
        <v>221</v>
      </c>
    </row>
    <row r="1882" ht="15.75" customHeight="1" spans="1:46">
      <c r="A1882" t="s">
        <v>2918</v>
      </c>
      <c r="B1882" t="s">
        <v>67</v>
      </c>
      <c r="C1882" t="s">
        <v>1499</v>
      </c>
      <c r="D1882" t="s">
        <v>2919</v>
      </c>
      <c r="E1882" t="s">
        <v>1022</v>
      </c>
      <c r="F1882" t="s">
        <v>2920</v>
      </c>
      <c r="H1882" t="s">
        <v>124</v>
      </c>
      <c r="I1882" t="s">
        <v>1512</v>
      </c>
      <c r="J1882" t="s">
        <v>2915</v>
      </c>
      <c r="K1882" t="s">
        <v>2921</v>
      </c>
      <c r="Q1882" t="s">
        <v>57</v>
      </c>
      <c r="AE1882">
        <v>349</v>
      </c>
      <c r="AF1882" s="4">
        <v>0.7</v>
      </c>
      <c r="AG1882">
        <f t="shared" si="183"/>
        <v>104.7</v>
      </c>
      <c r="AH1882" s="4">
        <v>0.18</v>
      </c>
      <c r="AI1882">
        <f t="shared" si="178"/>
        <v>123.55</v>
      </c>
      <c r="AJ1882" s="4">
        <v>0.15</v>
      </c>
      <c r="AK1882">
        <f t="shared" si="179"/>
        <v>18.53</v>
      </c>
      <c r="AL1882">
        <f t="shared" si="180"/>
        <v>142.08</v>
      </c>
      <c r="AM1882">
        <f t="shared" si="181"/>
        <v>206.92</v>
      </c>
      <c r="AN1882" s="4">
        <f t="shared" si="182"/>
        <v>0.592893982808023</v>
      </c>
      <c r="AO1882" t="s">
        <v>221</v>
      </c>
      <c r="AT1882" t="s">
        <v>221</v>
      </c>
    </row>
    <row r="1883" ht="15.75" customHeight="1" spans="1:46">
      <c r="A1883" t="s">
        <v>2918</v>
      </c>
      <c r="B1883" t="s">
        <v>71</v>
      </c>
      <c r="C1883" t="s">
        <v>1499</v>
      </c>
      <c r="D1883" t="s">
        <v>2919</v>
      </c>
      <c r="E1883" t="s">
        <v>1022</v>
      </c>
      <c r="F1883" t="s">
        <v>2920</v>
      </c>
      <c r="H1883" t="s">
        <v>124</v>
      </c>
      <c r="I1883" t="s">
        <v>909</v>
      </c>
      <c r="J1883" t="s">
        <v>2915</v>
      </c>
      <c r="K1883" t="s">
        <v>2921</v>
      </c>
      <c r="Q1883" t="s">
        <v>57</v>
      </c>
      <c r="AE1883">
        <v>349</v>
      </c>
      <c r="AF1883" s="4">
        <v>0.7</v>
      </c>
      <c r="AG1883">
        <f t="shared" si="183"/>
        <v>104.7</v>
      </c>
      <c r="AH1883" s="4">
        <v>0.18</v>
      </c>
      <c r="AI1883">
        <f t="shared" si="178"/>
        <v>123.55</v>
      </c>
      <c r="AJ1883" s="4">
        <v>0.15</v>
      </c>
      <c r="AK1883">
        <f t="shared" si="179"/>
        <v>18.53</v>
      </c>
      <c r="AL1883">
        <f t="shared" si="180"/>
        <v>142.08</v>
      </c>
      <c r="AM1883">
        <f t="shared" si="181"/>
        <v>206.92</v>
      </c>
      <c r="AN1883" s="4">
        <f t="shared" si="182"/>
        <v>0.592893982808023</v>
      </c>
      <c r="AO1883" t="s">
        <v>221</v>
      </c>
      <c r="AT1883" t="s">
        <v>221</v>
      </c>
    </row>
    <row r="1884" ht="15.75" customHeight="1" spans="1:46">
      <c r="A1884" t="s">
        <v>2918</v>
      </c>
      <c r="B1884" t="s">
        <v>75</v>
      </c>
      <c r="C1884" t="s">
        <v>1499</v>
      </c>
      <c r="D1884" t="s">
        <v>2919</v>
      </c>
      <c r="E1884" t="s">
        <v>1022</v>
      </c>
      <c r="F1884" t="s">
        <v>2920</v>
      </c>
      <c r="H1884" t="s">
        <v>124</v>
      </c>
      <c r="I1884" t="s">
        <v>1510</v>
      </c>
      <c r="J1884" t="s">
        <v>2915</v>
      </c>
      <c r="K1884" t="s">
        <v>2921</v>
      </c>
      <c r="Q1884" t="s">
        <v>57</v>
      </c>
      <c r="AE1884">
        <v>349</v>
      </c>
      <c r="AF1884" s="4">
        <v>0.7</v>
      </c>
      <c r="AG1884">
        <f t="shared" si="183"/>
        <v>104.7</v>
      </c>
      <c r="AH1884" s="4">
        <v>0.18</v>
      </c>
      <c r="AI1884">
        <f t="shared" si="178"/>
        <v>123.55</v>
      </c>
      <c r="AJ1884" s="4">
        <v>0.15</v>
      </c>
      <c r="AK1884">
        <f t="shared" si="179"/>
        <v>18.53</v>
      </c>
      <c r="AL1884">
        <f t="shared" si="180"/>
        <v>142.08</v>
      </c>
      <c r="AM1884">
        <f t="shared" si="181"/>
        <v>206.92</v>
      </c>
      <c r="AN1884" s="4">
        <f t="shared" si="182"/>
        <v>0.592893982808023</v>
      </c>
      <c r="AO1884" t="s">
        <v>221</v>
      </c>
      <c r="AT1884" t="s">
        <v>221</v>
      </c>
    </row>
    <row r="1885" ht="15.75" customHeight="1" spans="1:46">
      <c r="A1885" t="s">
        <v>2918</v>
      </c>
      <c r="B1885" t="s">
        <v>79</v>
      </c>
      <c r="C1885" t="s">
        <v>1499</v>
      </c>
      <c r="D1885" t="s">
        <v>2919</v>
      </c>
      <c r="E1885" t="s">
        <v>1022</v>
      </c>
      <c r="F1885" t="s">
        <v>2920</v>
      </c>
      <c r="H1885" t="s">
        <v>124</v>
      </c>
      <c r="I1885" t="s">
        <v>143</v>
      </c>
      <c r="J1885" t="s">
        <v>2915</v>
      </c>
      <c r="K1885" t="s">
        <v>2921</v>
      </c>
      <c r="Q1885" t="s">
        <v>57</v>
      </c>
      <c r="AE1885">
        <v>349</v>
      </c>
      <c r="AF1885" s="4">
        <v>0.7</v>
      </c>
      <c r="AG1885">
        <f t="shared" si="183"/>
        <v>104.7</v>
      </c>
      <c r="AH1885" s="4">
        <v>0.18</v>
      </c>
      <c r="AI1885">
        <f t="shared" si="178"/>
        <v>123.55</v>
      </c>
      <c r="AJ1885" s="4">
        <v>0.15</v>
      </c>
      <c r="AK1885">
        <f t="shared" si="179"/>
        <v>18.53</v>
      </c>
      <c r="AL1885">
        <f t="shared" si="180"/>
        <v>142.08</v>
      </c>
      <c r="AM1885">
        <f t="shared" si="181"/>
        <v>206.92</v>
      </c>
      <c r="AN1885" s="4">
        <f t="shared" si="182"/>
        <v>0.592893982808023</v>
      </c>
      <c r="AO1885" t="s">
        <v>221</v>
      </c>
      <c r="AT1885" t="s">
        <v>221</v>
      </c>
    </row>
    <row r="1886" ht="15.75" customHeight="1" spans="1:46">
      <c r="A1886" t="s">
        <v>2918</v>
      </c>
      <c r="B1886" t="s">
        <v>83</v>
      </c>
      <c r="C1886" t="s">
        <v>1499</v>
      </c>
      <c r="D1886" t="s">
        <v>2919</v>
      </c>
      <c r="E1886" t="s">
        <v>1022</v>
      </c>
      <c r="F1886" t="s">
        <v>2920</v>
      </c>
      <c r="H1886" t="s">
        <v>124</v>
      </c>
      <c r="I1886" t="s">
        <v>1514</v>
      </c>
      <c r="J1886" t="s">
        <v>2915</v>
      </c>
      <c r="K1886" t="s">
        <v>2921</v>
      </c>
      <c r="Q1886" t="s">
        <v>57</v>
      </c>
      <c r="AE1886">
        <v>349</v>
      </c>
      <c r="AF1886" s="4">
        <v>0.7</v>
      </c>
      <c r="AG1886">
        <f t="shared" si="183"/>
        <v>104.7</v>
      </c>
      <c r="AH1886" s="4">
        <v>0.18</v>
      </c>
      <c r="AI1886">
        <f t="shared" si="178"/>
        <v>123.55</v>
      </c>
      <c r="AJ1886" s="4">
        <v>0.15</v>
      </c>
      <c r="AK1886">
        <f t="shared" si="179"/>
        <v>18.53</v>
      </c>
      <c r="AL1886">
        <f t="shared" si="180"/>
        <v>142.08</v>
      </c>
      <c r="AM1886">
        <f t="shared" si="181"/>
        <v>206.92</v>
      </c>
      <c r="AN1886" s="4">
        <f t="shared" si="182"/>
        <v>0.592893982808023</v>
      </c>
      <c r="AO1886" t="s">
        <v>221</v>
      </c>
      <c r="AT1886" t="s">
        <v>221</v>
      </c>
    </row>
    <row r="1887" ht="15.75" customHeight="1" spans="1:46">
      <c r="A1887" s="10" t="s">
        <v>2922</v>
      </c>
      <c r="B1887" s="10" t="s">
        <v>46</v>
      </c>
      <c r="C1887" s="10" t="s">
        <v>1499</v>
      </c>
      <c r="D1887" s="10" t="s">
        <v>2923</v>
      </c>
      <c r="E1887" s="10" t="s">
        <v>2076</v>
      </c>
      <c r="F1887" s="10" t="s">
        <v>2924</v>
      </c>
      <c r="G1887" s="10"/>
      <c r="H1887" s="10" t="s">
        <v>2925</v>
      </c>
      <c r="I1887" s="10" t="s">
        <v>2926</v>
      </c>
      <c r="J1887" s="10" t="s">
        <v>124</v>
      </c>
      <c r="K1887" s="10" t="s">
        <v>1514</v>
      </c>
      <c r="L1887" s="10"/>
      <c r="M1887" s="10"/>
      <c r="N1887" s="10"/>
      <c r="O1887" s="10"/>
      <c r="P1887" s="10"/>
      <c r="Q1887" s="10" t="s">
        <v>57</v>
      </c>
      <c r="R1887" s="10">
        <v>3134832214810</v>
      </c>
      <c r="S1887" s="10"/>
      <c r="T1887" s="10"/>
      <c r="U1887" s="10"/>
      <c r="V1887" s="10"/>
      <c r="W1887" s="10"/>
      <c r="X1887" s="10"/>
      <c r="Y1887" s="10" t="s">
        <v>2927</v>
      </c>
      <c r="Z1887" s="10"/>
      <c r="AA1887" s="10"/>
      <c r="AB1887" s="10"/>
      <c r="AC1887" s="10"/>
      <c r="AD1887" s="10"/>
      <c r="AE1887" s="10">
        <v>2800</v>
      </c>
      <c r="AF1887" s="11"/>
      <c r="AG1887" s="10">
        <f t="shared" si="183"/>
        <v>2800</v>
      </c>
      <c r="AH1887" s="11"/>
      <c r="AI1887" s="10">
        <f t="shared" si="178"/>
        <v>2800</v>
      </c>
      <c r="AJ1887" s="11"/>
      <c r="AK1887" s="10">
        <f t="shared" si="179"/>
        <v>0</v>
      </c>
      <c r="AL1887" s="10">
        <f t="shared" si="180"/>
        <v>2800</v>
      </c>
      <c r="AM1887" s="10">
        <f t="shared" si="181"/>
        <v>0</v>
      </c>
      <c r="AN1887" s="11">
        <f t="shared" si="182"/>
        <v>0</v>
      </c>
      <c r="AO1887" s="10"/>
      <c r="AP1887" s="10"/>
      <c r="AQ1887" s="10"/>
      <c r="AR1887" s="10"/>
      <c r="AS1887" s="10"/>
      <c r="AT1887" t="s">
        <v>558</v>
      </c>
    </row>
    <row r="1888" ht="15.75" customHeight="1" spans="1:46">
      <c r="A1888" s="10" t="s">
        <v>2922</v>
      </c>
      <c r="B1888" s="10" t="s">
        <v>67</v>
      </c>
      <c r="C1888" s="10" t="s">
        <v>1499</v>
      </c>
      <c r="D1888" s="10" t="s">
        <v>2923</v>
      </c>
      <c r="E1888" s="10" t="s">
        <v>2076</v>
      </c>
      <c r="F1888" s="10" t="s">
        <v>2924</v>
      </c>
      <c r="G1888" s="10"/>
      <c r="H1888" s="10" t="s">
        <v>2925</v>
      </c>
      <c r="I1888" s="10" t="s">
        <v>2926</v>
      </c>
      <c r="J1888" s="10" t="s">
        <v>124</v>
      </c>
      <c r="K1888" s="10" t="s">
        <v>2928</v>
      </c>
      <c r="L1888" s="10"/>
      <c r="M1888" s="10"/>
      <c r="N1888" s="10"/>
      <c r="O1888" s="10"/>
      <c r="P1888" s="10"/>
      <c r="Q1888" s="10" t="s">
        <v>57</v>
      </c>
      <c r="R1888" s="10">
        <v>3134832219510</v>
      </c>
      <c r="S1888" s="10"/>
      <c r="T1888" s="10"/>
      <c r="U1888" s="10"/>
      <c r="V1888" s="10"/>
      <c r="W1888" s="10"/>
      <c r="X1888" s="10"/>
      <c r="Y1888" s="10" t="s">
        <v>2929</v>
      </c>
      <c r="Z1888" s="10"/>
      <c r="AA1888" s="10"/>
      <c r="AB1888" s="10"/>
      <c r="AC1888" s="10"/>
      <c r="AD1888" s="10"/>
      <c r="AE1888" s="10">
        <v>2800</v>
      </c>
      <c r="AF1888" s="11"/>
      <c r="AG1888" s="10">
        <f t="shared" si="183"/>
        <v>2800</v>
      </c>
      <c r="AH1888" s="11"/>
      <c r="AI1888" s="10">
        <f t="shared" si="178"/>
        <v>2800</v>
      </c>
      <c r="AJ1888" s="11"/>
      <c r="AK1888" s="10">
        <f t="shared" si="179"/>
        <v>0</v>
      </c>
      <c r="AL1888" s="10">
        <f t="shared" si="180"/>
        <v>2800</v>
      </c>
      <c r="AM1888" s="10">
        <f t="shared" si="181"/>
        <v>0</v>
      </c>
      <c r="AN1888" s="11">
        <f t="shared" si="182"/>
        <v>0</v>
      </c>
      <c r="AO1888" s="10"/>
      <c r="AP1888" s="10"/>
      <c r="AQ1888" s="10"/>
      <c r="AR1888" s="10"/>
      <c r="AS1888" s="10"/>
      <c r="AT1888" t="s">
        <v>558</v>
      </c>
    </row>
    <row r="1889" ht="15.75" customHeight="1" spans="1:46">
      <c r="A1889" s="10" t="s">
        <v>2922</v>
      </c>
      <c r="B1889" s="10" t="s">
        <v>71</v>
      </c>
      <c r="C1889" s="10" t="s">
        <v>1499</v>
      </c>
      <c r="D1889" s="10" t="s">
        <v>2923</v>
      </c>
      <c r="E1889" s="10" t="s">
        <v>2076</v>
      </c>
      <c r="F1889" s="10" t="s">
        <v>2924</v>
      </c>
      <c r="G1889" s="10"/>
      <c r="H1889" s="10" t="s">
        <v>2925</v>
      </c>
      <c r="I1889" s="10" t="s">
        <v>2926</v>
      </c>
      <c r="J1889" s="10" t="s">
        <v>124</v>
      </c>
      <c r="K1889" s="10" t="s">
        <v>143</v>
      </c>
      <c r="L1889" s="10"/>
      <c r="M1889" s="10"/>
      <c r="N1889" s="10"/>
      <c r="O1889" s="10"/>
      <c r="P1889" s="10"/>
      <c r="Q1889" s="10" t="s">
        <v>57</v>
      </c>
      <c r="R1889" s="10">
        <v>3134832211010</v>
      </c>
      <c r="S1889" s="10"/>
      <c r="T1889" s="10"/>
      <c r="U1889" s="10"/>
      <c r="V1889" s="10"/>
      <c r="W1889" s="10"/>
      <c r="X1889" s="10"/>
      <c r="Y1889" s="10"/>
      <c r="Z1889" s="10"/>
      <c r="AA1889" s="10"/>
      <c r="AB1889" s="10"/>
      <c r="AC1889" s="10"/>
      <c r="AD1889" s="10"/>
      <c r="AE1889" s="10">
        <v>2800</v>
      </c>
      <c r="AF1889" s="11"/>
      <c r="AG1889" s="10">
        <f t="shared" si="183"/>
        <v>2800</v>
      </c>
      <c r="AH1889" s="11"/>
      <c r="AI1889" s="10">
        <f t="shared" si="178"/>
        <v>2800</v>
      </c>
      <c r="AJ1889" s="11"/>
      <c r="AK1889" s="10">
        <f t="shared" si="179"/>
        <v>0</v>
      </c>
      <c r="AL1889" s="10">
        <f t="shared" si="180"/>
        <v>2800</v>
      </c>
      <c r="AM1889" s="10">
        <f t="shared" si="181"/>
        <v>0</v>
      </c>
      <c r="AN1889" s="11">
        <f t="shared" si="182"/>
        <v>0</v>
      </c>
      <c r="AO1889" s="10"/>
      <c r="AP1889" s="10"/>
      <c r="AQ1889" s="10"/>
      <c r="AR1889" s="10"/>
      <c r="AS1889" s="10"/>
      <c r="AT1889" t="s">
        <v>558</v>
      </c>
    </row>
    <row r="1890" ht="15.75" customHeight="1" spans="1:46">
      <c r="A1890" t="s">
        <v>2930</v>
      </c>
      <c r="B1890" t="s">
        <v>46</v>
      </c>
      <c r="C1890" t="s">
        <v>1499</v>
      </c>
      <c r="D1890" t="s">
        <v>2923</v>
      </c>
      <c r="E1890" t="s">
        <v>2076</v>
      </c>
      <c r="F1890" t="s">
        <v>2931</v>
      </c>
      <c r="H1890" t="s">
        <v>2925</v>
      </c>
      <c r="I1890" t="s">
        <v>2926</v>
      </c>
      <c r="J1890" t="s">
        <v>124</v>
      </c>
      <c r="K1890" t="s">
        <v>143</v>
      </c>
      <c r="Q1890" t="s">
        <v>57</v>
      </c>
      <c r="R1890">
        <v>3134832511010</v>
      </c>
      <c r="Y1890" t="s">
        <v>2932</v>
      </c>
      <c r="AE1890">
        <v>3150</v>
      </c>
      <c r="AF1890" s="4"/>
      <c r="AG1890">
        <f t="shared" si="183"/>
        <v>3150</v>
      </c>
      <c r="AH1890" s="4"/>
      <c r="AI1890">
        <f t="shared" si="178"/>
        <v>3150</v>
      </c>
      <c r="AJ1890" s="4"/>
      <c r="AK1890">
        <f t="shared" si="179"/>
        <v>0</v>
      </c>
      <c r="AL1890">
        <f t="shared" si="180"/>
        <v>3150</v>
      </c>
      <c r="AM1890">
        <f t="shared" si="181"/>
        <v>0</v>
      </c>
      <c r="AN1890" s="4">
        <f t="shared" si="182"/>
        <v>0</v>
      </c>
      <c r="AT1890" t="s">
        <v>1662</v>
      </c>
    </row>
    <row r="1891" ht="15.75" customHeight="1" spans="1:46">
      <c r="A1891" t="s">
        <v>2930</v>
      </c>
      <c r="B1891" t="s">
        <v>67</v>
      </c>
      <c r="C1891" t="s">
        <v>1499</v>
      </c>
      <c r="D1891" t="s">
        <v>2923</v>
      </c>
      <c r="E1891" t="s">
        <v>2076</v>
      </c>
      <c r="F1891" t="s">
        <v>2931</v>
      </c>
      <c r="H1891" t="s">
        <v>2925</v>
      </c>
      <c r="I1891" t="s">
        <v>2926</v>
      </c>
      <c r="J1891" t="s">
        <v>124</v>
      </c>
      <c r="K1891" t="s">
        <v>2933</v>
      </c>
      <c r="Q1891" t="s">
        <v>57</v>
      </c>
      <c r="R1891">
        <v>3134832514450</v>
      </c>
      <c r="Y1891" t="s">
        <v>2934</v>
      </c>
      <c r="AE1891">
        <v>3150</v>
      </c>
      <c r="AF1891" s="4"/>
      <c r="AG1891">
        <f t="shared" si="183"/>
        <v>3150</v>
      </c>
      <c r="AH1891" s="4"/>
      <c r="AI1891">
        <f t="shared" si="178"/>
        <v>3150</v>
      </c>
      <c r="AJ1891" s="4"/>
      <c r="AK1891">
        <f t="shared" si="179"/>
        <v>0</v>
      </c>
      <c r="AL1891">
        <f t="shared" si="180"/>
        <v>3150</v>
      </c>
      <c r="AM1891">
        <f t="shared" si="181"/>
        <v>0</v>
      </c>
      <c r="AN1891" s="4">
        <f t="shared" si="182"/>
        <v>0</v>
      </c>
      <c r="AT1891" t="s">
        <v>1662</v>
      </c>
    </row>
    <row r="1892" ht="15.75" customHeight="1" spans="1:46">
      <c r="A1892" t="s">
        <v>2930</v>
      </c>
      <c r="B1892" t="s">
        <v>71</v>
      </c>
      <c r="C1892" t="s">
        <v>1499</v>
      </c>
      <c r="D1892" t="s">
        <v>2923</v>
      </c>
      <c r="E1892" t="s">
        <v>2076</v>
      </c>
      <c r="F1892" t="s">
        <v>2931</v>
      </c>
      <c r="H1892" t="s">
        <v>2925</v>
      </c>
      <c r="I1892" t="s">
        <v>2926</v>
      </c>
      <c r="J1892" t="s">
        <v>124</v>
      </c>
      <c r="K1892" t="s">
        <v>2928</v>
      </c>
      <c r="Q1892" t="s">
        <v>57</v>
      </c>
      <c r="R1892">
        <v>3134832519910</v>
      </c>
      <c r="Y1892" t="s">
        <v>2935</v>
      </c>
      <c r="AE1892">
        <v>3150</v>
      </c>
      <c r="AF1892" s="4"/>
      <c r="AG1892">
        <f t="shared" si="183"/>
        <v>3150</v>
      </c>
      <c r="AH1892" s="4"/>
      <c r="AI1892">
        <f t="shared" si="178"/>
        <v>3150</v>
      </c>
      <c r="AJ1892" s="4"/>
      <c r="AK1892">
        <f t="shared" si="179"/>
        <v>0</v>
      </c>
      <c r="AL1892">
        <f t="shared" si="180"/>
        <v>3150</v>
      </c>
      <c r="AM1892">
        <f t="shared" si="181"/>
        <v>0</v>
      </c>
      <c r="AN1892" s="4">
        <f t="shared" si="182"/>
        <v>0</v>
      </c>
      <c r="AT1892" t="s">
        <v>1662</v>
      </c>
    </row>
    <row r="1893" ht="15.75" customHeight="1" spans="1:46">
      <c r="A1893" s="10" t="s">
        <v>2936</v>
      </c>
      <c r="B1893" s="10" t="s">
        <v>46</v>
      </c>
      <c r="C1893" s="10" t="s">
        <v>1499</v>
      </c>
      <c r="D1893" s="10" t="s">
        <v>2923</v>
      </c>
      <c r="E1893" s="10" t="s">
        <v>2076</v>
      </c>
      <c r="F1893" s="10" t="s">
        <v>2937</v>
      </c>
      <c r="G1893" s="10"/>
      <c r="H1893" s="10" t="s">
        <v>2925</v>
      </c>
      <c r="I1893" s="10" t="s">
        <v>2938</v>
      </c>
      <c r="J1893" s="10" t="s">
        <v>124</v>
      </c>
      <c r="K1893" s="10" t="s">
        <v>143</v>
      </c>
      <c r="L1893" s="10"/>
      <c r="M1893" s="10"/>
      <c r="N1893" s="10"/>
      <c r="O1893" s="10"/>
      <c r="P1893" s="10"/>
      <c r="Q1893" s="10" t="s">
        <v>57</v>
      </c>
      <c r="R1893" s="10" t="s">
        <v>2939</v>
      </c>
      <c r="S1893" s="10"/>
      <c r="T1893" s="10"/>
      <c r="U1893" s="10"/>
      <c r="V1893" s="10"/>
      <c r="W1893" s="10"/>
      <c r="X1893" s="10"/>
      <c r="Y1893" s="10" t="s">
        <v>2940</v>
      </c>
      <c r="Z1893" s="10"/>
      <c r="AA1893" s="10"/>
      <c r="AB1893" s="10"/>
      <c r="AC1893" s="10"/>
      <c r="AD1893" s="10"/>
      <c r="AE1893" s="10">
        <v>4600</v>
      </c>
      <c r="AF1893" s="11"/>
      <c r="AG1893" s="10">
        <f t="shared" si="183"/>
        <v>4600</v>
      </c>
      <c r="AH1893" s="11"/>
      <c r="AI1893" s="10">
        <f t="shared" si="178"/>
        <v>4600</v>
      </c>
      <c r="AJ1893" s="11"/>
      <c r="AK1893" s="10">
        <f t="shared" si="179"/>
        <v>0</v>
      </c>
      <c r="AL1893" s="10">
        <f t="shared" si="180"/>
        <v>4600</v>
      </c>
      <c r="AM1893" s="10">
        <f t="shared" si="181"/>
        <v>0</v>
      </c>
      <c r="AN1893" s="11">
        <f t="shared" si="182"/>
        <v>0</v>
      </c>
      <c r="AO1893" s="10"/>
      <c r="AP1893" s="10"/>
      <c r="AQ1893" s="10"/>
      <c r="AR1893" s="10"/>
      <c r="AS1893" s="10"/>
      <c r="AT1893" t="s">
        <v>558</v>
      </c>
    </row>
    <row r="1894" ht="15.75" customHeight="1" spans="1:46">
      <c r="A1894" s="10" t="s">
        <v>2936</v>
      </c>
      <c r="B1894" s="10" t="s">
        <v>67</v>
      </c>
      <c r="C1894" s="10" t="s">
        <v>1499</v>
      </c>
      <c r="D1894" s="10" t="s">
        <v>2923</v>
      </c>
      <c r="E1894" s="10" t="s">
        <v>2076</v>
      </c>
      <c r="F1894" s="10" t="s">
        <v>2937</v>
      </c>
      <c r="G1894" s="10"/>
      <c r="H1894" s="10" t="s">
        <v>2925</v>
      </c>
      <c r="I1894" s="10" t="s">
        <v>2938</v>
      </c>
      <c r="J1894" s="10" t="s">
        <v>124</v>
      </c>
      <c r="K1894" s="10" t="s">
        <v>2941</v>
      </c>
      <c r="L1894" s="10"/>
      <c r="M1894" s="10"/>
      <c r="N1894" s="10"/>
      <c r="O1894" s="10"/>
      <c r="P1894" s="10"/>
      <c r="Q1894" s="10" t="s">
        <v>57</v>
      </c>
      <c r="R1894" s="10" t="s">
        <v>2939</v>
      </c>
      <c r="S1894" s="10"/>
      <c r="T1894" s="10"/>
      <c r="U1894" s="10"/>
      <c r="V1894" s="10"/>
      <c r="W1894" s="10"/>
      <c r="X1894" s="10"/>
      <c r="Y1894" s="10" t="s">
        <v>2942</v>
      </c>
      <c r="Z1894" s="10"/>
      <c r="AA1894" s="10"/>
      <c r="AB1894" s="10"/>
      <c r="AC1894" s="10"/>
      <c r="AD1894" s="10"/>
      <c r="AE1894" s="10">
        <v>4600</v>
      </c>
      <c r="AF1894" s="11"/>
      <c r="AG1894" s="10">
        <f t="shared" si="183"/>
        <v>4600</v>
      </c>
      <c r="AH1894" s="11"/>
      <c r="AI1894" s="10">
        <f t="shared" si="178"/>
        <v>4600</v>
      </c>
      <c r="AJ1894" s="11"/>
      <c r="AK1894" s="10">
        <f t="shared" si="179"/>
        <v>0</v>
      </c>
      <c r="AL1894" s="10">
        <f t="shared" si="180"/>
        <v>4600</v>
      </c>
      <c r="AM1894" s="10">
        <f t="shared" si="181"/>
        <v>0</v>
      </c>
      <c r="AN1894" s="11">
        <f t="shared" si="182"/>
        <v>0</v>
      </c>
      <c r="AO1894" s="10"/>
      <c r="AP1894" s="10"/>
      <c r="AQ1894" s="10"/>
      <c r="AR1894" s="10"/>
      <c r="AS1894" s="10"/>
      <c r="AT1894" t="s">
        <v>558</v>
      </c>
    </row>
    <row r="1895" ht="15.75" customHeight="1" spans="1:46">
      <c r="A1895" s="10" t="s">
        <v>2943</v>
      </c>
      <c r="B1895" s="10" t="s">
        <v>46</v>
      </c>
      <c r="C1895" s="10" t="s">
        <v>1499</v>
      </c>
      <c r="D1895" s="10" t="s">
        <v>2923</v>
      </c>
      <c r="E1895" s="10" t="s">
        <v>2076</v>
      </c>
      <c r="F1895" s="10" t="s">
        <v>2944</v>
      </c>
      <c r="G1895" s="10"/>
      <c r="H1895" s="10" t="s">
        <v>2925</v>
      </c>
      <c r="I1895" s="10" t="s">
        <v>2938</v>
      </c>
      <c r="J1895" s="10" t="s">
        <v>124</v>
      </c>
      <c r="K1895" s="10" t="s">
        <v>143</v>
      </c>
      <c r="L1895" s="10"/>
      <c r="M1895" s="10"/>
      <c r="N1895" s="10"/>
      <c r="O1895" s="10"/>
      <c r="P1895" s="10"/>
      <c r="Q1895" s="10" t="s">
        <v>57</v>
      </c>
      <c r="R1895" s="10" t="s">
        <v>2945</v>
      </c>
      <c r="S1895" s="10"/>
      <c r="T1895" s="10"/>
      <c r="U1895" s="10"/>
      <c r="V1895" s="10"/>
      <c r="W1895" s="10"/>
      <c r="X1895" s="10"/>
      <c r="Y1895" s="10" t="s">
        <v>2946</v>
      </c>
      <c r="Z1895" s="10"/>
      <c r="AA1895" s="10"/>
      <c r="AB1895" s="10"/>
      <c r="AC1895" s="10"/>
      <c r="AD1895" s="10"/>
      <c r="AE1895" s="10">
        <v>5235</v>
      </c>
      <c r="AF1895" s="11"/>
      <c r="AG1895" s="10">
        <f t="shared" si="183"/>
        <v>5235</v>
      </c>
      <c r="AH1895" s="11"/>
      <c r="AI1895" s="10">
        <f t="shared" si="178"/>
        <v>5235</v>
      </c>
      <c r="AJ1895" s="11"/>
      <c r="AK1895" s="10">
        <f t="shared" si="179"/>
        <v>0</v>
      </c>
      <c r="AL1895" s="10">
        <f t="shared" si="180"/>
        <v>5235</v>
      </c>
      <c r="AM1895" s="10">
        <f t="shared" si="181"/>
        <v>0</v>
      </c>
      <c r="AN1895" s="11">
        <f t="shared" si="182"/>
        <v>0</v>
      </c>
      <c r="AO1895" s="10"/>
      <c r="AP1895" s="10"/>
      <c r="AQ1895" s="10"/>
      <c r="AR1895" s="10"/>
      <c r="AS1895" s="10"/>
      <c r="AT1895" t="s">
        <v>558</v>
      </c>
    </row>
    <row r="1896" ht="15.75" customHeight="1" spans="1:46">
      <c r="A1896" s="10" t="s">
        <v>2943</v>
      </c>
      <c r="B1896" s="10" t="s">
        <v>67</v>
      </c>
      <c r="C1896" s="10" t="s">
        <v>1499</v>
      </c>
      <c r="D1896" s="10" t="s">
        <v>2923</v>
      </c>
      <c r="E1896" s="10" t="s">
        <v>2076</v>
      </c>
      <c r="F1896" s="10" t="s">
        <v>2944</v>
      </c>
      <c r="G1896" s="10"/>
      <c r="H1896" s="10" t="s">
        <v>2925</v>
      </c>
      <c r="I1896" s="10" t="s">
        <v>2938</v>
      </c>
      <c r="J1896" s="10" t="s">
        <v>124</v>
      </c>
      <c r="K1896" s="10" t="s">
        <v>2947</v>
      </c>
      <c r="L1896" s="10"/>
      <c r="M1896" s="10"/>
      <c r="N1896" s="10"/>
      <c r="O1896" s="10"/>
      <c r="P1896" s="10"/>
      <c r="Q1896" s="10" t="s">
        <v>57</v>
      </c>
      <c r="R1896" s="10" t="s">
        <v>2945</v>
      </c>
      <c r="S1896" s="10"/>
      <c r="T1896" s="10"/>
      <c r="U1896" s="10"/>
      <c r="V1896" s="10"/>
      <c r="W1896" s="10"/>
      <c r="X1896" s="10"/>
      <c r="Y1896" s="10" t="s">
        <v>2948</v>
      </c>
      <c r="Z1896" s="10"/>
      <c r="AA1896" s="10"/>
      <c r="AB1896" s="10"/>
      <c r="AC1896" s="10"/>
      <c r="AD1896" s="10"/>
      <c r="AE1896" s="10">
        <v>5235</v>
      </c>
      <c r="AF1896" s="11"/>
      <c r="AG1896" s="10">
        <f t="shared" si="183"/>
        <v>5235</v>
      </c>
      <c r="AH1896" s="11"/>
      <c r="AI1896" s="10">
        <f t="shared" si="178"/>
        <v>5235</v>
      </c>
      <c r="AJ1896" s="11"/>
      <c r="AK1896" s="10">
        <f t="shared" si="179"/>
        <v>0</v>
      </c>
      <c r="AL1896" s="10">
        <f t="shared" si="180"/>
        <v>5235</v>
      </c>
      <c r="AM1896" s="10">
        <f t="shared" si="181"/>
        <v>0</v>
      </c>
      <c r="AN1896" s="11">
        <f t="shared" si="182"/>
        <v>0</v>
      </c>
      <c r="AO1896" s="10"/>
      <c r="AP1896" s="10"/>
      <c r="AQ1896" s="10"/>
      <c r="AR1896" s="10"/>
      <c r="AS1896" s="10"/>
      <c r="AT1896" t="s">
        <v>558</v>
      </c>
    </row>
    <row r="1897" ht="15.75" customHeight="1" spans="1:46">
      <c r="A1897" s="10" t="s">
        <v>2943</v>
      </c>
      <c r="B1897" s="10" t="s">
        <v>71</v>
      </c>
      <c r="C1897" s="10" t="s">
        <v>1499</v>
      </c>
      <c r="D1897" s="10" t="s">
        <v>2923</v>
      </c>
      <c r="E1897" s="10" t="s">
        <v>2076</v>
      </c>
      <c r="F1897" s="10" t="s">
        <v>2944</v>
      </c>
      <c r="G1897" s="10"/>
      <c r="H1897" s="10" t="s">
        <v>2925</v>
      </c>
      <c r="I1897" s="10" t="s">
        <v>2938</v>
      </c>
      <c r="J1897" s="10" t="s">
        <v>124</v>
      </c>
      <c r="K1897" s="10" t="s">
        <v>2949</v>
      </c>
      <c r="L1897" s="10"/>
      <c r="M1897" s="10"/>
      <c r="N1897" s="10"/>
      <c r="O1897" s="10"/>
      <c r="P1897" s="10"/>
      <c r="Q1897" s="10" t="s">
        <v>57</v>
      </c>
      <c r="R1897" s="10" t="s">
        <v>2945</v>
      </c>
      <c r="S1897" s="10"/>
      <c r="T1897" s="10"/>
      <c r="U1897" s="10"/>
      <c r="V1897" s="10"/>
      <c r="W1897" s="10"/>
      <c r="X1897" s="10"/>
      <c r="Y1897" s="10" t="s">
        <v>2950</v>
      </c>
      <c r="Z1897" s="10"/>
      <c r="AA1897" s="10"/>
      <c r="AB1897" s="10"/>
      <c r="AC1897" s="10"/>
      <c r="AD1897" s="10"/>
      <c r="AE1897" s="10">
        <v>5235</v>
      </c>
      <c r="AF1897" s="11"/>
      <c r="AG1897" s="10">
        <f t="shared" si="183"/>
        <v>5235</v>
      </c>
      <c r="AH1897" s="11"/>
      <c r="AI1897" s="10">
        <f t="shared" si="178"/>
        <v>5235</v>
      </c>
      <c r="AJ1897" s="11"/>
      <c r="AK1897" s="10">
        <f t="shared" si="179"/>
        <v>0</v>
      </c>
      <c r="AL1897" s="10">
        <f t="shared" si="180"/>
        <v>5235</v>
      </c>
      <c r="AM1897" s="10">
        <f t="shared" si="181"/>
        <v>0</v>
      </c>
      <c r="AN1897" s="11">
        <f t="shared" si="182"/>
        <v>0</v>
      </c>
      <c r="AO1897" s="10"/>
      <c r="AP1897" s="10"/>
      <c r="AQ1897" s="10"/>
      <c r="AR1897" s="10"/>
      <c r="AS1897" s="10"/>
      <c r="AT1897" t="s">
        <v>558</v>
      </c>
    </row>
    <row r="1898" ht="15.75" customHeight="1" spans="1:46">
      <c r="A1898" s="10" t="s">
        <v>2951</v>
      </c>
      <c r="B1898" s="10" t="s">
        <v>46</v>
      </c>
      <c r="C1898" s="10" t="s">
        <v>1499</v>
      </c>
      <c r="D1898" s="10" t="s">
        <v>2923</v>
      </c>
      <c r="E1898" s="10" t="s">
        <v>2076</v>
      </c>
      <c r="F1898" s="10" t="s">
        <v>2952</v>
      </c>
      <c r="G1898" s="10"/>
      <c r="H1898" s="10" t="s">
        <v>2925</v>
      </c>
      <c r="I1898" s="10" t="s">
        <v>2938</v>
      </c>
      <c r="J1898" s="10" t="s">
        <v>124</v>
      </c>
      <c r="K1898" s="10" t="s">
        <v>2953</v>
      </c>
      <c r="L1898" s="10"/>
      <c r="M1898" s="10"/>
      <c r="N1898" s="10"/>
      <c r="O1898" s="10"/>
      <c r="P1898" s="10"/>
      <c r="Q1898" s="10" t="s">
        <v>57</v>
      </c>
      <c r="R1898" s="10" t="s">
        <v>2954</v>
      </c>
      <c r="S1898" s="10"/>
      <c r="T1898" s="10"/>
      <c r="U1898" s="10"/>
      <c r="V1898" s="10"/>
      <c r="W1898" s="10"/>
      <c r="X1898" s="10"/>
      <c r="Y1898" s="10" t="s">
        <v>2955</v>
      </c>
      <c r="Z1898" s="10"/>
      <c r="AA1898" s="10"/>
      <c r="AB1898" s="10"/>
      <c r="AC1898" s="10"/>
      <c r="AD1898" s="10"/>
      <c r="AE1898" s="10">
        <v>4200</v>
      </c>
      <c r="AF1898" s="11"/>
      <c r="AG1898" s="10">
        <f t="shared" si="183"/>
        <v>4200</v>
      </c>
      <c r="AH1898" s="11"/>
      <c r="AI1898" s="10">
        <f t="shared" si="178"/>
        <v>4200</v>
      </c>
      <c r="AJ1898" s="11"/>
      <c r="AK1898" s="10">
        <f t="shared" si="179"/>
        <v>0</v>
      </c>
      <c r="AL1898" s="10">
        <f t="shared" si="180"/>
        <v>4200</v>
      </c>
      <c r="AM1898" s="10">
        <f t="shared" si="181"/>
        <v>0</v>
      </c>
      <c r="AN1898" s="11">
        <f t="shared" si="182"/>
        <v>0</v>
      </c>
      <c r="AO1898" s="10"/>
      <c r="AP1898" s="10"/>
      <c r="AQ1898" s="10"/>
      <c r="AR1898" s="10"/>
      <c r="AS1898" s="10"/>
      <c r="AT1898" t="s">
        <v>558</v>
      </c>
    </row>
    <row r="1899" ht="15.75" customHeight="1" spans="1:46">
      <c r="A1899" s="10" t="s">
        <v>2951</v>
      </c>
      <c r="B1899" s="10" t="s">
        <v>67</v>
      </c>
      <c r="C1899" s="10" t="s">
        <v>1499</v>
      </c>
      <c r="D1899" s="10" t="s">
        <v>2923</v>
      </c>
      <c r="E1899" s="10" t="s">
        <v>2076</v>
      </c>
      <c r="F1899" s="10" t="s">
        <v>2952</v>
      </c>
      <c r="G1899" s="10"/>
      <c r="H1899" s="10" t="s">
        <v>2925</v>
      </c>
      <c r="I1899" s="10" t="s">
        <v>2938</v>
      </c>
      <c r="J1899" s="10" t="s">
        <v>124</v>
      </c>
      <c r="K1899" s="10" t="s">
        <v>143</v>
      </c>
      <c r="L1899" s="10"/>
      <c r="M1899" s="10"/>
      <c r="N1899" s="10"/>
      <c r="O1899" s="10"/>
      <c r="P1899" s="10"/>
      <c r="Q1899" s="10" t="s">
        <v>57</v>
      </c>
      <c r="R1899" s="10" t="s">
        <v>2954</v>
      </c>
      <c r="S1899" s="10"/>
      <c r="T1899" s="10"/>
      <c r="U1899" s="10"/>
      <c r="V1899" s="10"/>
      <c r="W1899" s="10"/>
      <c r="X1899" s="10"/>
      <c r="Y1899" s="10" t="s">
        <v>2956</v>
      </c>
      <c r="Z1899" s="10"/>
      <c r="AA1899" s="10"/>
      <c r="AB1899" s="10"/>
      <c r="AC1899" s="10"/>
      <c r="AD1899" s="10"/>
      <c r="AE1899" s="10">
        <v>4200</v>
      </c>
      <c r="AF1899" s="11"/>
      <c r="AG1899" s="10">
        <f t="shared" si="183"/>
        <v>4200</v>
      </c>
      <c r="AH1899" s="11"/>
      <c r="AI1899" s="10">
        <f t="shared" si="178"/>
        <v>4200</v>
      </c>
      <c r="AJ1899" s="11"/>
      <c r="AK1899" s="10">
        <f t="shared" si="179"/>
        <v>0</v>
      </c>
      <c r="AL1899" s="10">
        <f t="shared" si="180"/>
        <v>4200</v>
      </c>
      <c r="AM1899" s="10">
        <f t="shared" si="181"/>
        <v>0</v>
      </c>
      <c r="AN1899" s="11">
        <f t="shared" si="182"/>
        <v>0</v>
      </c>
      <c r="AO1899" s="10"/>
      <c r="AP1899" s="10"/>
      <c r="AQ1899" s="10"/>
      <c r="AR1899" s="10"/>
      <c r="AS1899" s="10"/>
      <c r="AT1899" t="s">
        <v>558</v>
      </c>
    </row>
    <row r="1900" ht="15.75" customHeight="1" spans="1:46">
      <c r="A1900" s="10" t="s">
        <v>2957</v>
      </c>
      <c r="B1900" s="10" t="s">
        <v>46</v>
      </c>
      <c r="C1900" s="10" t="s">
        <v>1499</v>
      </c>
      <c r="D1900" s="10" t="s">
        <v>2923</v>
      </c>
      <c r="E1900" s="10" t="s">
        <v>2958</v>
      </c>
      <c r="F1900" s="10" t="s">
        <v>2959</v>
      </c>
      <c r="G1900" s="10"/>
      <c r="H1900" s="10" t="s">
        <v>2925</v>
      </c>
      <c r="I1900" s="10" t="s">
        <v>2926</v>
      </c>
      <c r="J1900" s="10" t="s">
        <v>124</v>
      </c>
      <c r="K1900" s="10" t="s">
        <v>2960</v>
      </c>
      <c r="L1900" s="10"/>
      <c r="M1900" s="10"/>
      <c r="N1900" s="10"/>
      <c r="O1900" s="10"/>
      <c r="P1900" s="10"/>
      <c r="Q1900" s="10" t="s">
        <v>57</v>
      </c>
      <c r="R1900" s="10" t="s">
        <v>2961</v>
      </c>
      <c r="S1900" s="10"/>
      <c r="T1900" s="10"/>
      <c r="U1900" s="10"/>
      <c r="V1900" s="10"/>
      <c r="W1900" s="10"/>
      <c r="X1900" s="10"/>
      <c r="Y1900" s="10" t="s">
        <v>2962</v>
      </c>
      <c r="Z1900" s="10"/>
      <c r="AA1900" s="10"/>
      <c r="AB1900" s="10"/>
      <c r="AC1900" s="10"/>
      <c r="AD1900" s="10"/>
      <c r="AE1900" s="10">
        <v>3500</v>
      </c>
      <c r="AF1900" s="11"/>
      <c r="AG1900" s="10">
        <f t="shared" si="183"/>
        <v>3500</v>
      </c>
      <c r="AH1900" s="11"/>
      <c r="AI1900" s="10">
        <f t="shared" si="178"/>
        <v>3500</v>
      </c>
      <c r="AJ1900" s="11"/>
      <c r="AK1900" s="10">
        <f t="shared" si="179"/>
        <v>0</v>
      </c>
      <c r="AL1900" s="10">
        <f t="shared" si="180"/>
        <v>3500</v>
      </c>
      <c r="AM1900" s="10">
        <f t="shared" si="181"/>
        <v>0</v>
      </c>
      <c r="AN1900" s="11">
        <f t="shared" si="182"/>
        <v>0</v>
      </c>
      <c r="AO1900" s="10"/>
      <c r="AP1900" s="10"/>
      <c r="AQ1900" s="10"/>
      <c r="AR1900" s="10"/>
      <c r="AS1900" s="10"/>
      <c r="AT1900" t="s">
        <v>558</v>
      </c>
    </row>
    <row r="1901" ht="15.75" customHeight="1" spans="1:46">
      <c r="A1901" s="10" t="s">
        <v>2957</v>
      </c>
      <c r="B1901" s="10" t="s">
        <v>67</v>
      </c>
      <c r="C1901" s="10" t="s">
        <v>1499</v>
      </c>
      <c r="D1901" s="10" t="s">
        <v>2923</v>
      </c>
      <c r="E1901" s="10" t="s">
        <v>2958</v>
      </c>
      <c r="F1901" s="10" t="s">
        <v>2959</v>
      </c>
      <c r="G1901" s="10"/>
      <c r="H1901" s="10" t="s">
        <v>2925</v>
      </c>
      <c r="I1901" s="10" t="s">
        <v>2926</v>
      </c>
      <c r="J1901" s="10" t="s">
        <v>124</v>
      </c>
      <c r="K1901" s="10" t="s">
        <v>2963</v>
      </c>
      <c r="L1901" s="10"/>
      <c r="M1901" s="10"/>
      <c r="N1901" s="10"/>
      <c r="O1901" s="10"/>
      <c r="P1901" s="10"/>
      <c r="Q1901" s="10" t="s">
        <v>57</v>
      </c>
      <c r="R1901" s="10" t="s">
        <v>2964</v>
      </c>
      <c r="S1901" s="10"/>
      <c r="T1901" s="10"/>
      <c r="U1901" s="10"/>
      <c r="V1901" s="10"/>
      <c r="W1901" s="10"/>
      <c r="X1901" s="10"/>
      <c r="Y1901" s="10" t="s">
        <v>2965</v>
      </c>
      <c r="Z1901" s="10"/>
      <c r="AA1901" s="10"/>
      <c r="AB1901" s="10"/>
      <c r="AC1901" s="10"/>
      <c r="AD1901" s="10"/>
      <c r="AE1901" s="10">
        <v>3999</v>
      </c>
      <c r="AF1901" s="11"/>
      <c r="AG1901" s="10">
        <f t="shared" si="183"/>
        <v>3999</v>
      </c>
      <c r="AH1901" s="11"/>
      <c r="AI1901" s="10">
        <f t="shared" si="178"/>
        <v>3999</v>
      </c>
      <c r="AJ1901" s="11"/>
      <c r="AK1901" s="10">
        <f t="shared" si="179"/>
        <v>0</v>
      </c>
      <c r="AL1901" s="10">
        <f t="shared" si="180"/>
        <v>3999</v>
      </c>
      <c r="AM1901" s="10">
        <f t="shared" si="181"/>
        <v>0</v>
      </c>
      <c r="AN1901" s="11">
        <f t="shared" si="182"/>
        <v>0</v>
      </c>
      <c r="AO1901" s="10"/>
      <c r="AP1901" s="10"/>
      <c r="AQ1901" s="10"/>
      <c r="AR1901" s="10"/>
      <c r="AS1901" s="10"/>
      <c r="AT1901" t="s">
        <v>558</v>
      </c>
    </row>
    <row r="1902" ht="15.75" customHeight="1" spans="1:46">
      <c r="A1902" s="10" t="s">
        <v>2957</v>
      </c>
      <c r="B1902" s="10" t="s">
        <v>71</v>
      </c>
      <c r="C1902" s="10" t="s">
        <v>1499</v>
      </c>
      <c r="D1902" s="10" t="s">
        <v>2923</v>
      </c>
      <c r="E1902" s="10" t="s">
        <v>2958</v>
      </c>
      <c r="F1902" s="10" t="s">
        <v>2959</v>
      </c>
      <c r="G1902" s="10"/>
      <c r="H1902" s="10" t="s">
        <v>2925</v>
      </c>
      <c r="I1902" s="10" t="s">
        <v>2926</v>
      </c>
      <c r="J1902" s="10" t="s">
        <v>124</v>
      </c>
      <c r="K1902" s="10" t="s">
        <v>2966</v>
      </c>
      <c r="L1902" s="10"/>
      <c r="M1902" s="10"/>
      <c r="N1902" s="10"/>
      <c r="O1902" s="10"/>
      <c r="P1902" s="10"/>
      <c r="Q1902" s="10" t="s">
        <v>57</v>
      </c>
      <c r="R1902" s="10" t="s">
        <v>2967</v>
      </c>
      <c r="S1902" s="10"/>
      <c r="T1902" s="10"/>
      <c r="U1902" s="10"/>
      <c r="V1902" s="10"/>
      <c r="W1902" s="10"/>
      <c r="X1902" s="10"/>
      <c r="Y1902" s="10" t="s">
        <v>2968</v>
      </c>
      <c r="Z1902" s="10"/>
      <c r="AA1902" s="10"/>
      <c r="AB1902" s="10"/>
      <c r="AC1902" s="10"/>
      <c r="AD1902" s="10"/>
      <c r="AE1902" s="10">
        <v>1999</v>
      </c>
      <c r="AF1902" s="11"/>
      <c r="AG1902" s="10">
        <f t="shared" si="183"/>
        <v>1999</v>
      </c>
      <c r="AH1902" s="11"/>
      <c r="AI1902" s="10">
        <f t="shared" si="178"/>
        <v>1999</v>
      </c>
      <c r="AJ1902" s="11"/>
      <c r="AK1902" s="10">
        <f t="shared" si="179"/>
        <v>0</v>
      </c>
      <c r="AL1902" s="10">
        <f t="shared" si="180"/>
        <v>1999</v>
      </c>
      <c r="AM1902" s="10">
        <f t="shared" si="181"/>
        <v>0</v>
      </c>
      <c r="AN1902" s="11">
        <f t="shared" si="182"/>
        <v>0</v>
      </c>
      <c r="AO1902" s="10"/>
      <c r="AP1902" s="10"/>
      <c r="AQ1902" s="10"/>
      <c r="AR1902" s="10"/>
      <c r="AS1902" s="10"/>
      <c r="AT1902" t="s">
        <v>558</v>
      </c>
    </row>
    <row r="1903" ht="15.75" customHeight="1" spans="1:46">
      <c r="A1903" s="10" t="s">
        <v>2957</v>
      </c>
      <c r="B1903" s="10" t="s">
        <v>75</v>
      </c>
      <c r="C1903" s="10" t="s">
        <v>1499</v>
      </c>
      <c r="D1903" s="10" t="s">
        <v>2923</v>
      </c>
      <c r="E1903" s="10" t="s">
        <v>2958</v>
      </c>
      <c r="F1903" s="10" t="s">
        <v>2959</v>
      </c>
      <c r="G1903" s="10"/>
      <c r="H1903" s="10" t="s">
        <v>2925</v>
      </c>
      <c r="I1903" s="10" t="s">
        <v>2926</v>
      </c>
      <c r="J1903" s="10" t="s">
        <v>124</v>
      </c>
      <c r="K1903" s="10" t="s">
        <v>2969</v>
      </c>
      <c r="L1903" s="10"/>
      <c r="M1903" s="10"/>
      <c r="N1903" s="10"/>
      <c r="O1903" s="10"/>
      <c r="P1903" s="10"/>
      <c r="Q1903" s="10" t="s">
        <v>57</v>
      </c>
      <c r="R1903" s="10" t="s">
        <v>2970</v>
      </c>
      <c r="S1903" s="10"/>
      <c r="T1903" s="10"/>
      <c r="U1903" s="10"/>
      <c r="V1903" s="10"/>
      <c r="W1903" s="10"/>
      <c r="X1903" s="10"/>
      <c r="Y1903" s="10" t="s">
        <v>2971</v>
      </c>
      <c r="Z1903" s="10"/>
      <c r="AA1903" s="10"/>
      <c r="AB1903" s="10"/>
      <c r="AC1903" s="10"/>
      <c r="AD1903" s="10"/>
      <c r="AE1903" s="10">
        <v>3999</v>
      </c>
      <c r="AF1903" s="11"/>
      <c r="AG1903" s="10">
        <f t="shared" si="183"/>
        <v>3999</v>
      </c>
      <c r="AH1903" s="11"/>
      <c r="AI1903" s="10">
        <f t="shared" si="178"/>
        <v>3999</v>
      </c>
      <c r="AJ1903" s="11"/>
      <c r="AK1903" s="10">
        <f t="shared" si="179"/>
        <v>0</v>
      </c>
      <c r="AL1903" s="10">
        <f t="shared" si="180"/>
        <v>3999</v>
      </c>
      <c r="AM1903" s="10">
        <f t="shared" si="181"/>
        <v>0</v>
      </c>
      <c r="AN1903" s="11">
        <f t="shared" si="182"/>
        <v>0</v>
      </c>
      <c r="AO1903" s="10"/>
      <c r="AP1903" s="10"/>
      <c r="AQ1903" s="10"/>
      <c r="AR1903" s="10"/>
      <c r="AS1903" s="10"/>
      <c r="AT1903" t="s">
        <v>558</v>
      </c>
    </row>
    <row r="1904" ht="15.75" customHeight="1" spans="1:46">
      <c r="A1904" s="10" t="s">
        <v>2957</v>
      </c>
      <c r="B1904" s="10" t="s">
        <v>79</v>
      </c>
      <c r="C1904" s="10" t="s">
        <v>1499</v>
      </c>
      <c r="D1904" s="10" t="s">
        <v>2923</v>
      </c>
      <c r="E1904" s="10" t="s">
        <v>2958</v>
      </c>
      <c r="F1904" s="10" t="s">
        <v>2959</v>
      </c>
      <c r="G1904" s="10"/>
      <c r="H1904" s="10" t="s">
        <v>2925</v>
      </c>
      <c r="I1904" s="10" t="s">
        <v>2926</v>
      </c>
      <c r="J1904" s="10" t="s">
        <v>124</v>
      </c>
      <c r="K1904" s="10" t="s">
        <v>2972</v>
      </c>
      <c r="L1904" s="10"/>
      <c r="M1904" s="10"/>
      <c r="N1904" s="10"/>
      <c r="O1904" s="10"/>
      <c r="P1904" s="10"/>
      <c r="Q1904" s="10" t="s">
        <v>57</v>
      </c>
      <c r="R1904" s="10" t="s">
        <v>2973</v>
      </c>
      <c r="S1904" s="10"/>
      <c r="T1904" s="10"/>
      <c r="U1904" s="10"/>
      <c r="V1904" s="10"/>
      <c r="W1904" s="10"/>
      <c r="X1904" s="10"/>
      <c r="Y1904" s="10" t="s">
        <v>2974</v>
      </c>
      <c r="Z1904" s="10"/>
      <c r="AA1904" s="10"/>
      <c r="AB1904" s="10"/>
      <c r="AC1904" s="10"/>
      <c r="AD1904" s="10"/>
      <c r="AE1904" s="10">
        <v>5000</v>
      </c>
      <c r="AF1904" s="11"/>
      <c r="AG1904" s="10">
        <f t="shared" si="183"/>
        <v>5000</v>
      </c>
      <c r="AH1904" s="11"/>
      <c r="AI1904" s="10">
        <f t="shared" si="178"/>
        <v>5000</v>
      </c>
      <c r="AJ1904" s="11"/>
      <c r="AK1904" s="10">
        <f t="shared" si="179"/>
        <v>0</v>
      </c>
      <c r="AL1904" s="10">
        <f t="shared" si="180"/>
        <v>5000</v>
      </c>
      <c r="AM1904" s="10">
        <f t="shared" si="181"/>
        <v>0</v>
      </c>
      <c r="AN1904" s="11">
        <f t="shared" si="182"/>
        <v>0</v>
      </c>
      <c r="AO1904" s="10"/>
      <c r="AP1904" s="10"/>
      <c r="AQ1904" s="10"/>
      <c r="AR1904" s="10"/>
      <c r="AS1904" s="10"/>
      <c r="AT1904" t="s">
        <v>558</v>
      </c>
    </row>
    <row r="1905" ht="15.75" customHeight="1" spans="1:46">
      <c r="A1905" s="10" t="s">
        <v>2975</v>
      </c>
      <c r="B1905" s="10" t="s">
        <v>46</v>
      </c>
      <c r="C1905" s="10" t="s">
        <v>1499</v>
      </c>
      <c r="D1905" s="10" t="s">
        <v>2923</v>
      </c>
      <c r="E1905" s="10" t="s">
        <v>2958</v>
      </c>
      <c r="F1905" s="10" t="s">
        <v>2976</v>
      </c>
      <c r="G1905" s="10"/>
      <c r="H1905" s="10" t="s">
        <v>2925</v>
      </c>
      <c r="I1905" s="10" t="s">
        <v>2926</v>
      </c>
      <c r="J1905" s="10" t="s">
        <v>124</v>
      </c>
      <c r="K1905" s="10" t="s">
        <v>2966</v>
      </c>
      <c r="L1905" s="10"/>
      <c r="M1905" s="10"/>
      <c r="N1905" s="10"/>
      <c r="O1905" s="10"/>
      <c r="P1905" s="10"/>
      <c r="Q1905" s="10" t="s">
        <v>57</v>
      </c>
      <c r="R1905" s="10" t="s">
        <v>2977</v>
      </c>
      <c r="S1905" s="10"/>
      <c r="T1905" s="10"/>
      <c r="U1905" s="10"/>
      <c r="V1905" s="10"/>
      <c r="W1905" s="10"/>
      <c r="X1905" s="10"/>
      <c r="Y1905" s="10" t="s">
        <v>2978</v>
      </c>
      <c r="Z1905" s="10"/>
      <c r="AA1905" s="10"/>
      <c r="AB1905" s="10"/>
      <c r="AC1905" s="10"/>
      <c r="AD1905" s="10"/>
      <c r="AE1905" s="10">
        <v>2599</v>
      </c>
      <c r="AF1905" s="11"/>
      <c r="AG1905" s="10">
        <f t="shared" si="183"/>
        <v>2599</v>
      </c>
      <c r="AH1905" s="11"/>
      <c r="AI1905" s="10">
        <f t="shared" si="178"/>
        <v>2599</v>
      </c>
      <c r="AJ1905" s="11"/>
      <c r="AK1905" s="10">
        <f t="shared" si="179"/>
        <v>0</v>
      </c>
      <c r="AL1905" s="10">
        <f t="shared" si="180"/>
        <v>2599</v>
      </c>
      <c r="AM1905" s="10">
        <f t="shared" si="181"/>
        <v>0</v>
      </c>
      <c r="AN1905" s="11">
        <f t="shared" si="182"/>
        <v>0</v>
      </c>
      <c r="AO1905" s="10"/>
      <c r="AP1905" s="10"/>
      <c r="AQ1905" s="10"/>
      <c r="AR1905" s="10"/>
      <c r="AS1905" s="10"/>
      <c r="AT1905" t="s">
        <v>558</v>
      </c>
    </row>
    <row r="1906" ht="15.75" customHeight="1" spans="1:46">
      <c r="A1906" s="10" t="s">
        <v>2975</v>
      </c>
      <c r="B1906" s="10" t="s">
        <v>67</v>
      </c>
      <c r="C1906" s="10" t="s">
        <v>1499</v>
      </c>
      <c r="D1906" s="10" t="s">
        <v>2923</v>
      </c>
      <c r="E1906" s="10" t="s">
        <v>2958</v>
      </c>
      <c r="F1906" s="10" t="s">
        <v>2976</v>
      </c>
      <c r="G1906" s="10"/>
      <c r="H1906" s="10" t="s">
        <v>2925</v>
      </c>
      <c r="I1906" s="10" t="s">
        <v>2926</v>
      </c>
      <c r="J1906" s="10" t="s">
        <v>124</v>
      </c>
      <c r="K1906" s="10" t="s">
        <v>2979</v>
      </c>
      <c r="L1906" s="10"/>
      <c r="M1906" s="10"/>
      <c r="N1906" s="10"/>
      <c r="O1906" s="10"/>
      <c r="P1906" s="10"/>
      <c r="Q1906" s="10" t="s">
        <v>57</v>
      </c>
      <c r="R1906" s="10" t="s">
        <v>2980</v>
      </c>
      <c r="S1906" s="10"/>
      <c r="T1906" s="10"/>
      <c r="U1906" s="10"/>
      <c r="V1906" s="10"/>
      <c r="W1906" s="10"/>
      <c r="X1906" s="10"/>
      <c r="Y1906" s="10" t="s">
        <v>2981</v>
      </c>
      <c r="Z1906" s="10"/>
      <c r="AA1906" s="10"/>
      <c r="AB1906" s="10"/>
      <c r="AC1906" s="10"/>
      <c r="AD1906" s="10"/>
      <c r="AE1906" s="10">
        <v>2599</v>
      </c>
      <c r="AF1906" s="11"/>
      <c r="AG1906" s="10">
        <f t="shared" si="183"/>
        <v>2599</v>
      </c>
      <c r="AH1906" s="11"/>
      <c r="AI1906" s="10">
        <f t="shared" si="178"/>
        <v>2599</v>
      </c>
      <c r="AJ1906" s="11"/>
      <c r="AK1906" s="10">
        <f t="shared" si="179"/>
        <v>0</v>
      </c>
      <c r="AL1906" s="10">
        <f t="shared" si="180"/>
        <v>2599</v>
      </c>
      <c r="AM1906" s="10">
        <f t="shared" si="181"/>
        <v>0</v>
      </c>
      <c r="AN1906" s="11">
        <f t="shared" si="182"/>
        <v>0</v>
      </c>
      <c r="AO1906" s="10"/>
      <c r="AP1906" s="10"/>
      <c r="AQ1906" s="10"/>
      <c r="AR1906" s="10"/>
      <c r="AS1906" s="10"/>
      <c r="AT1906" t="s">
        <v>558</v>
      </c>
    </row>
    <row r="1907" ht="15.75" customHeight="1" spans="1:46">
      <c r="A1907" s="10" t="s">
        <v>2982</v>
      </c>
      <c r="B1907" s="10" t="s">
        <v>46</v>
      </c>
      <c r="C1907" s="10" t="s">
        <v>1499</v>
      </c>
      <c r="D1907" s="10" t="s">
        <v>2923</v>
      </c>
      <c r="E1907" s="10" t="s">
        <v>2958</v>
      </c>
      <c r="F1907" s="10" t="s">
        <v>2983</v>
      </c>
      <c r="G1907" s="10"/>
      <c r="H1907" s="10" t="s">
        <v>2925</v>
      </c>
      <c r="I1907" s="10" t="s">
        <v>2938</v>
      </c>
      <c r="J1907" s="10" t="s">
        <v>124</v>
      </c>
      <c r="K1907" s="10" t="s">
        <v>2984</v>
      </c>
      <c r="L1907" s="10"/>
      <c r="M1907" s="10"/>
      <c r="N1907" s="10"/>
      <c r="O1907" s="10"/>
      <c r="P1907" s="10"/>
      <c r="Q1907" s="10" t="s">
        <v>57</v>
      </c>
      <c r="R1907" s="10" t="s">
        <v>2985</v>
      </c>
      <c r="S1907" s="10"/>
      <c r="T1907" s="10"/>
      <c r="U1907" s="10"/>
      <c r="V1907" s="10"/>
      <c r="W1907" s="10"/>
      <c r="X1907" s="10"/>
      <c r="Y1907" s="10" t="s">
        <v>2986</v>
      </c>
      <c r="Z1907" s="10"/>
      <c r="AA1907" s="10"/>
      <c r="AB1907" s="10"/>
      <c r="AC1907" s="10"/>
      <c r="AD1907" s="10"/>
      <c r="AE1907" s="10">
        <v>5549</v>
      </c>
      <c r="AF1907" s="11"/>
      <c r="AG1907" s="10">
        <f t="shared" si="183"/>
        <v>5549</v>
      </c>
      <c r="AH1907" s="11"/>
      <c r="AI1907" s="10">
        <f t="shared" si="178"/>
        <v>5549</v>
      </c>
      <c r="AJ1907" s="11"/>
      <c r="AK1907" s="10">
        <f t="shared" si="179"/>
        <v>0</v>
      </c>
      <c r="AL1907" s="10">
        <f t="shared" si="180"/>
        <v>5549</v>
      </c>
      <c r="AM1907" s="10">
        <f t="shared" si="181"/>
        <v>0</v>
      </c>
      <c r="AN1907" s="11">
        <f t="shared" si="182"/>
        <v>0</v>
      </c>
      <c r="AO1907" s="10"/>
      <c r="AP1907" s="10"/>
      <c r="AQ1907" s="10"/>
      <c r="AR1907" s="10"/>
      <c r="AS1907" s="10"/>
      <c r="AT1907" t="s">
        <v>558</v>
      </c>
    </row>
    <row r="1908" ht="15.75" customHeight="1" spans="1:46">
      <c r="A1908" s="10" t="s">
        <v>2982</v>
      </c>
      <c r="B1908" s="10" t="s">
        <v>67</v>
      </c>
      <c r="C1908" s="10" t="s">
        <v>1499</v>
      </c>
      <c r="D1908" s="10" t="s">
        <v>2923</v>
      </c>
      <c r="E1908" s="10" t="s">
        <v>2958</v>
      </c>
      <c r="F1908" s="10" t="s">
        <v>2983</v>
      </c>
      <c r="G1908" s="10"/>
      <c r="H1908" s="10" t="s">
        <v>2925</v>
      </c>
      <c r="I1908" s="10" t="s">
        <v>2938</v>
      </c>
      <c r="J1908" s="10" t="s">
        <v>124</v>
      </c>
      <c r="K1908" s="10" t="s">
        <v>2941</v>
      </c>
      <c r="L1908" s="10"/>
      <c r="M1908" s="10"/>
      <c r="N1908" s="10"/>
      <c r="O1908" s="10"/>
      <c r="P1908" s="10"/>
      <c r="Q1908" s="10" t="s">
        <v>57</v>
      </c>
      <c r="R1908" s="10" t="s">
        <v>2987</v>
      </c>
      <c r="S1908" s="10"/>
      <c r="T1908" s="10"/>
      <c r="U1908" s="10"/>
      <c r="V1908" s="10"/>
      <c r="W1908" s="10"/>
      <c r="X1908" s="10"/>
      <c r="Y1908" s="10" t="s">
        <v>2988</v>
      </c>
      <c r="Z1908" s="10"/>
      <c r="AA1908" s="10"/>
      <c r="AB1908" s="10"/>
      <c r="AC1908" s="10"/>
      <c r="AD1908" s="10"/>
      <c r="AE1908" s="10">
        <v>5549</v>
      </c>
      <c r="AF1908" s="11"/>
      <c r="AG1908" s="10">
        <f t="shared" si="183"/>
        <v>5549</v>
      </c>
      <c r="AH1908" s="11"/>
      <c r="AI1908" s="10">
        <f t="shared" si="178"/>
        <v>5549</v>
      </c>
      <c r="AJ1908" s="11"/>
      <c r="AK1908" s="10">
        <f t="shared" si="179"/>
        <v>0</v>
      </c>
      <c r="AL1908" s="10">
        <f t="shared" si="180"/>
        <v>5549</v>
      </c>
      <c r="AM1908" s="10">
        <f t="shared" si="181"/>
        <v>0</v>
      </c>
      <c r="AN1908" s="11">
        <f t="shared" si="182"/>
        <v>0</v>
      </c>
      <c r="AO1908" s="10"/>
      <c r="AP1908" s="10"/>
      <c r="AQ1908" s="10"/>
      <c r="AR1908" s="10"/>
      <c r="AS1908" s="10"/>
      <c r="AT1908" t="s">
        <v>558</v>
      </c>
    </row>
    <row r="1909" ht="15.75" customHeight="1" spans="1:46">
      <c r="A1909" s="10" t="s">
        <v>2982</v>
      </c>
      <c r="B1909" s="10" t="s">
        <v>71</v>
      </c>
      <c r="C1909" s="10" t="s">
        <v>1499</v>
      </c>
      <c r="D1909" s="10" t="s">
        <v>2923</v>
      </c>
      <c r="E1909" s="10" t="s">
        <v>2958</v>
      </c>
      <c r="F1909" s="10" t="s">
        <v>2983</v>
      </c>
      <c r="G1909" s="10"/>
      <c r="H1909" s="10" t="s">
        <v>2925</v>
      </c>
      <c r="I1909" s="10" t="s">
        <v>2938</v>
      </c>
      <c r="J1909" s="10" t="s">
        <v>124</v>
      </c>
      <c r="K1909" s="10" t="s">
        <v>2989</v>
      </c>
      <c r="L1909" s="10"/>
      <c r="M1909" s="10"/>
      <c r="N1909" s="10"/>
      <c r="O1909" s="10"/>
      <c r="P1909" s="10"/>
      <c r="Q1909" s="10" t="s">
        <v>57</v>
      </c>
      <c r="R1909" s="10" t="s">
        <v>2990</v>
      </c>
      <c r="S1909" s="10"/>
      <c r="T1909" s="10"/>
      <c r="U1909" s="10"/>
      <c r="V1909" s="10"/>
      <c r="W1909" s="10"/>
      <c r="X1909" s="10"/>
      <c r="Y1909" s="10" t="s">
        <v>2991</v>
      </c>
      <c r="Z1909" s="10"/>
      <c r="AA1909" s="10"/>
      <c r="AB1909" s="10"/>
      <c r="AC1909" s="10"/>
      <c r="AD1909" s="10"/>
      <c r="AE1909" s="10">
        <v>5549</v>
      </c>
      <c r="AF1909" s="11"/>
      <c r="AG1909" s="10">
        <f t="shared" si="183"/>
        <v>5549</v>
      </c>
      <c r="AH1909" s="11"/>
      <c r="AI1909" s="10">
        <f t="shared" si="178"/>
        <v>5549</v>
      </c>
      <c r="AJ1909" s="11"/>
      <c r="AK1909" s="10">
        <f t="shared" si="179"/>
        <v>0</v>
      </c>
      <c r="AL1909" s="10">
        <f t="shared" si="180"/>
        <v>5549</v>
      </c>
      <c r="AM1909" s="10">
        <f t="shared" si="181"/>
        <v>0</v>
      </c>
      <c r="AN1909" s="11">
        <f t="shared" si="182"/>
        <v>0</v>
      </c>
      <c r="AO1909" s="10"/>
      <c r="AP1909" s="10"/>
      <c r="AQ1909" s="10"/>
      <c r="AR1909" s="10"/>
      <c r="AS1909" s="10"/>
      <c r="AT1909" t="s">
        <v>558</v>
      </c>
    </row>
    <row r="1910" ht="15.75" customHeight="1" spans="1:46">
      <c r="A1910" s="10" t="s">
        <v>2982</v>
      </c>
      <c r="B1910" s="10" t="s">
        <v>75</v>
      </c>
      <c r="C1910" s="10" t="s">
        <v>1499</v>
      </c>
      <c r="D1910" s="10" t="s">
        <v>2923</v>
      </c>
      <c r="E1910" s="10" t="s">
        <v>2958</v>
      </c>
      <c r="F1910" s="10" t="s">
        <v>2983</v>
      </c>
      <c r="G1910" s="10"/>
      <c r="H1910" s="10" t="s">
        <v>2925</v>
      </c>
      <c r="I1910" s="10" t="s">
        <v>2938</v>
      </c>
      <c r="J1910" s="10" t="s">
        <v>124</v>
      </c>
      <c r="K1910" s="10" t="s">
        <v>197</v>
      </c>
      <c r="L1910" s="10"/>
      <c r="M1910" s="10"/>
      <c r="N1910" s="10"/>
      <c r="O1910" s="10"/>
      <c r="P1910" s="10"/>
      <c r="Q1910" s="10" t="s">
        <v>57</v>
      </c>
      <c r="R1910" s="10" t="s">
        <v>2992</v>
      </c>
      <c r="S1910" s="10"/>
      <c r="T1910" s="10"/>
      <c r="U1910" s="10"/>
      <c r="V1910" s="10"/>
      <c r="W1910" s="10"/>
      <c r="X1910" s="10"/>
      <c r="Y1910" s="10" t="s">
        <v>2993</v>
      </c>
      <c r="Z1910" s="10"/>
      <c r="AA1910" s="10"/>
      <c r="AB1910" s="10"/>
      <c r="AC1910" s="10"/>
      <c r="AD1910" s="10"/>
      <c r="AE1910" s="10">
        <v>5549</v>
      </c>
      <c r="AF1910" s="11"/>
      <c r="AG1910" s="10">
        <f t="shared" si="183"/>
        <v>5549</v>
      </c>
      <c r="AH1910" s="11"/>
      <c r="AI1910" s="10">
        <f t="shared" si="178"/>
        <v>5549</v>
      </c>
      <c r="AJ1910" s="11"/>
      <c r="AK1910" s="10">
        <f t="shared" si="179"/>
        <v>0</v>
      </c>
      <c r="AL1910" s="10">
        <f t="shared" si="180"/>
        <v>5549</v>
      </c>
      <c r="AM1910" s="10">
        <f t="shared" si="181"/>
        <v>0</v>
      </c>
      <c r="AN1910" s="11">
        <f t="shared" si="182"/>
        <v>0</v>
      </c>
      <c r="AO1910" s="10"/>
      <c r="AP1910" s="10"/>
      <c r="AQ1910" s="10"/>
      <c r="AR1910" s="10"/>
      <c r="AS1910" s="10"/>
      <c r="AT1910" t="s">
        <v>558</v>
      </c>
    </row>
    <row r="1911" ht="15.75" customHeight="1" spans="1:46">
      <c r="A1911" s="10" t="s">
        <v>2994</v>
      </c>
      <c r="B1911" s="10" t="s">
        <v>46</v>
      </c>
      <c r="C1911" s="10" t="s">
        <v>1499</v>
      </c>
      <c r="D1911" s="10" t="s">
        <v>2923</v>
      </c>
      <c r="E1911" s="10" t="s">
        <v>2958</v>
      </c>
      <c r="F1911" s="10" t="s">
        <v>2995</v>
      </c>
      <c r="G1911" s="10"/>
      <c r="H1911" s="10" t="s">
        <v>2925</v>
      </c>
      <c r="I1911" s="10" t="s">
        <v>2938</v>
      </c>
      <c r="J1911" s="10" t="s">
        <v>124</v>
      </c>
      <c r="K1911" s="10" t="s">
        <v>2996</v>
      </c>
      <c r="L1911" s="10"/>
      <c r="M1911" s="10"/>
      <c r="N1911" s="10"/>
      <c r="O1911" s="10"/>
      <c r="P1911" s="10"/>
      <c r="Q1911" s="10" t="s">
        <v>57</v>
      </c>
      <c r="R1911" s="10" t="s">
        <v>2997</v>
      </c>
      <c r="S1911" s="10"/>
      <c r="T1911" s="10"/>
      <c r="U1911" s="10"/>
      <c r="V1911" s="10"/>
      <c r="W1911" s="10"/>
      <c r="X1911" s="10"/>
      <c r="Y1911" s="10" t="s">
        <v>2998</v>
      </c>
      <c r="Z1911" s="10"/>
      <c r="AA1911" s="10"/>
      <c r="AB1911" s="10"/>
      <c r="AC1911" s="10"/>
      <c r="AD1911" s="10"/>
      <c r="AE1911" s="10">
        <v>4919</v>
      </c>
      <c r="AF1911" s="11"/>
      <c r="AG1911" s="10">
        <f t="shared" si="183"/>
        <v>4919</v>
      </c>
      <c r="AH1911" s="11"/>
      <c r="AI1911" s="10">
        <f t="shared" si="178"/>
        <v>4919</v>
      </c>
      <c r="AJ1911" s="11"/>
      <c r="AK1911" s="10">
        <f t="shared" si="179"/>
        <v>0</v>
      </c>
      <c r="AL1911" s="10">
        <f t="shared" si="180"/>
        <v>4919</v>
      </c>
      <c r="AM1911" s="10">
        <f t="shared" si="181"/>
        <v>0</v>
      </c>
      <c r="AN1911" s="11">
        <f t="shared" si="182"/>
        <v>0</v>
      </c>
      <c r="AO1911" s="10"/>
      <c r="AP1911" s="10"/>
      <c r="AQ1911" s="10"/>
      <c r="AR1911" s="10"/>
      <c r="AS1911" s="10"/>
      <c r="AT1911" t="s">
        <v>558</v>
      </c>
    </row>
    <row r="1912" ht="15.75" customHeight="1" spans="1:46">
      <c r="A1912" s="10" t="s">
        <v>2994</v>
      </c>
      <c r="B1912" s="10" t="s">
        <v>67</v>
      </c>
      <c r="C1912" s="10" t="s">
        <v>1499</v>
      </c>
      <c r="D1912" s="10" t="s">
        <v>2923</v>
      </c>
      <c r="E1912" s="10" t="s">
        <v>2958</v>
      </c>
      <c r="F1912" s="10" t="s">
        <v>2995</v>
      </c>
      <c r="G1912" s="10"/>
      <c r="H1912" s="10" t="s">
        <v>2925</v>
      </c>
      <c r="I1912" s="10" t="s">
        <v>2938</v>
      </c>
      <c r="J1912" s="10" t="s">
        <v>124</v>
      </c>
      <c r="K1912" s="10" t="s">
        <v>197</v>
      </c>
      <c r="L1912" s="10"/>
      <c r="M1912" s="10"/>
      <c r="N1912" s="10"/>
      <c r="O1912" s="10"/>
      <c r="P1912" s="10"/>
      <c r="Q1912" s="10" t="s">
        <v>57</v>
      </c>
      <c r="R1912" s="10" t="s">
        <v>2999</v>
      </c>
      <c r="S1912" s="10"/>
      <c r="T1912" s="10"/>
      <c r="U1912" s="10"/>
      <c r="V1912" s="10"/>
      <c r="W1912" s="10"/>
      <c r="X1912" s="10"/>
      <c r="Y1912" s="10" t="s">
        <v>3000</v>
      </c>
      <c r="Z1912" s="10"/>
      <c r="AA1912" s="10"/>
      <c r="AB1912" s="10"/>
      <c r="AC1912" s="10"/>
      <c r="AD1912" s="10"/>
      <c r="AE1912" s="10">
        <v>4919</v>
      </c>
      <c r="AF1912" s="11"/>
      <c r="AG1912" s="10">
        <f t="shared" si="183"/>
        <v>4919</v>
      </c>
      <c r="AH1912" s="11"/>
      <c r="AI1912" s="10">
        <f t="shared" si="178"/>
        <v>4919</v>
      </c>
      <c r="AJ1912" s="11"/>
      <c r="AK1912" s="10">
        <f t="shared" si="179"/>
        <v>0</v>
      </c>
      <c r="AL1912" s="10">
        <f t="shared" si="180"/>
        <v>4919</v>
      </c>
      <c r="AM1912" s="10">
        <f t="shared" si="181"/>
        <v>0</v>
      </c>
      <c r="AN1912" s="11">
        <f t="shared" si="182"/>
        <v>0</v>
      </c>
      <c r="AO1912" s="10"/>
      <c r="AP1912" s="10"/>
      <c r="AQ1912" s="10"/>
      <c r="AR1912" s="10"/>
      <c r="AS1912" s="10"/>
      <c r="AT1912" t="s">
        <v>558</v>
      </c>
    </row>
    <row r="1913" ht="15.75" customHeight="1" spans="1:46">
      <c r="A1913" s="10" t="s">
        <v>2994</v>
      </c>
      <c r="B1913" s="10" t="s">
        <v>71</v>
      </c>
      <c r="C1913" s="10" t="s">
        <v>1499</v>
      </c>
      <c r="D1913" s="10" t="s">
        <v>2923</v>
      </c>
      <c r="E1913" s="10" t="s">
        <v>2958</v>
      </c>
      <c r="F1913" s="10" t="s">
        <v>2995</v>
      </c>
      <c r="G1913" s="10"/>
      <c r="H1913" s="10" t="s">
        <v>2925</v>
      </c>
      <c r="I1913" s="10" t="s">
        <v>2938</v>
      </c>
      <c r="J1913" s="10" t="s">
        <v>124</v>
      </c>
      <c r="K1913" s="10" t="s">
        <v>3001</v>
      </c>
      <c r="L1913" s="10"/>
      <c r="M1913" s="10"/>
      <c r="N1913" s="10"/>
      <c r="O1913" s="10"/>
      <c r="P1913" s="10"/>
      <c r="Q1913" s="10" t="s">
        <v>57</v>
      </c>
      <c r="R1913" s="10" t="s">
        <v>3002</v>
      </c>
      <c r="S1913" s="10"/>
      <c r="T1913" s="10"/>
      <c r="U1913" s="10"/>
      <c r="V1913" s="10"/>
      <c r="W1913" s="10"/>
      <c r="X1913" s="10"/>
      <c r="Y1913" s="10" t="s">
        <v>3003</v>
      </c>
      <c r="Z1913" s="10"/>
      <c r="AA1913" s="10"/>
      <c r="AB1913" s="10"/>
      <c r="AC1913" s="10"/>
      <c r="AD1913" s="10"/>
      <c r="AE1913" s="10">
        <v>4919</v>
      </c>
      <c r="AF1913" s="11"/>
      <c r="AG1913" s="10">
        <f t="shared" si="183"/>
        <v>4919</v>
      </c>
      <c r="AH1913" s="11"/>
      <c r="AI1913" s="10">
        <f t="shared" si="178"/>
        <v>4919</v>
      </c>
      <c r="AJ1913" s="11"/>
      <c r="AK1913" s="10">
        <f t="shared" si="179"/>
        <v>0</v>
      </c>
      <c r="AL1913" s="10">
        <f t="shared" si="180"/>
        <v>4919</v>
      </c>
      <c r="AM1913" s="10">
        <f t="shared" si="181"/>
        <v>0</v>
      </c>
      <c r="AN1913" s="11">
        <f t="shared" si="182"/>
        <v>0</v>
      </c>
      <c r="AO1913" s="10"/>
      <c r="AP1913" s="10"/>
      <c r="AQ1913" s="10"/>
      <c r="AR1913" s="10"/>
      <c r="AS1913" s="10"/>
      <c r="AT1913" t="s">
        <v>558</v>
      </c>
    </row>
    <row r="1914" ht="15.75" customHeight="1" spans="1:46">
      <c r="A1914" s="10" t="s">
        <v>2994</v>
      </c>
      <c r="B1914" s="10" t="s">
        <v>75</v>
      </c>
      <c r="C1914" s="10" t="s">
        <v>1499</v>
      </c>
      <c r="D1914" s="10" t="s">
        <v>2923</v>
      </c>
      <c r="E1914" s="10" t="s">
        <v>2958</v>
      </c>
      <c r="F1914" s="10" t="s">
        <v>2995</v>
      </c>
      <c r="G1914" s="10"/>
      <c r="H1914" s="10" t="s">
        <v>2925</v>
      </c>
      <c r="I1914" s="10" t="s">
        <v>2938</v>
      </c>
      <c r="J1914" s="10" t="s">
        <v>124</v>
      </c>
      <c r="K1914" s="10" t="s">
        <v>2989</v>
      </c>
      <c r="L1914" s="10"/>
      <c r="M1914" s="10"/>
      <c r="N1914" s="10"/>
      <c r="O1914" s="10"/>
      <c r="P1914" s="10"/>
      <c r="Q1914" s="10" t="s">
        <v>57</v>
      </c>
      <c r="R1914" s="10" t="s">
        <v>3004</v>
      </c>
      <c r="S1914" s="10"/>
      <c r="T1914" s="10"/>
      <c r="U1914" s="10"/>
      <c r="V1914" s="10"/>
      <c r="W1914" s="10"/>
      <c r="X1914" s="10"/>
      <c r="Y1914" s="10" t="s">
        <v>3005</v>
      </c>
      <c r="Z1914" s="10"/>
      <c r="AA1914" s="10"/>
      <c r="AB1914" s="10"/>
      <c r="AC1914" s="10"/>
      <c r="AD1914" s="10"/>
      <c r="AE1914" s="10">
        <v>4919</v>
      </c>
      <c r="AF1914" s="11"/>
      <c r="AG1914" s="10">
        <f t="shared" si="183"/>
        <v>4919</v>
      </c>
      <c r="AH1914" s="11"/>
      <c r="AI1914" s="10">
        <f t="shared" si="178"/>
        <v>4919</v>
      </c>
      <c r="AJ1914" s="11"/>
      <c r="AK1914" s="10">
        <f t="shared" si="179"/>
        <v>0</v>
      </c>
      <c r="AL1914" s="10">
        <f t="shared" si="180"/>
        <v>4919</v>
      </c>
      <c r="AM1914" s="10">
        <f t="shared" si="181"/>
        <v>0</v>
      </c>
      <c r="AN1914" s="11">
        <f t="shared" si="182"/>
        <v>0</v>
      </c>
      <c r="AO1914" s="10"/>
      <c r="AP1914" s="10"/>
      <c r="AQ1914" s="10"/>
      <c r="AR1914" s="10"/>
      <c r="AS1914" s="10"/>
      <c r="AT1914" t="s">
        <v>558</v>
      </c>
    </row>
    <row r="1915" ht="15.75" customHeight="1" spans="1:46">
      <c r="A1915" s="10" t="s">
        <v>2994</v>
      </c>
      <c r="B1915" s="10" t="s">
        <v>79</v>
      </c>
      <c r="C1915" s="10" t="s">
        <v>1499</v>
      </c>
      <c r="D1915" s="10" t="s">
        <v>2923</v>
      </c>
      <c r="E1915" s="10" t="s">
        <v>2958</v>
      </c>
      <c r="F1915" s="10" t="s">
        <v>2995</v>
      </c>
      <c r="G1915" s="10"/>
      <c r="H1915" s="10" t="s">
        <v>2925</v>
      </c>
      <c r="I1915" s="10" t="s">
        <v>2938</v>
      </c>
      <c r="J1915" s="10" t="s">
        <v>124</v>
      </c>
      <c r="K1915" s="10" t="s">
        <v>3006</v>
      </c>
      <c r="L1915" s="10"/>
      <c r="M1915" s="10"/>
      <c r="N1915" s="10"/>
      <c r="O1915" s="10"/>
      <c r="P1915" s="10"/>
      <c r="Q1915" s="10" t="s">
        <v>57</v>
      </c>
      <c r="R1915" s="10" t="s">
        <v>3007</v>
      </c>
      <c r="S1915" s="10"/>
      <c r="T1915" s="10"/>
      <c r="U1915" s="10"/>
      <c r="V1915" s="10"/>
      <c r="W1915" s="10"/>
      <c r="X1915" s="10"/>
      <c r="Y1915" s="10" t="s">
        <v>3008</v>
      </c>
      <c r="Z1915" s="10"/>
      <c r="AA1915" s="10"/>
      <c r="AB1915" s="10"/>
      <c r="AC1915" s="10"/>
      <c r="AD1915" s="10"/>
      <c r="AE1915" s="10">
        <v>4919</v>
      </c>
      <c r="AF1915" s="11"/>
      <c r="AG1915" s="10">
        <f t="shared" si="183"/>
        <v>4919</v>
      </c>
      <c r="AH1915" s="11"/>
      <c r="AI1915" s="10">
        <f t="shared" si="178"/>
        <v>4919</v>
      </c>
      <c r="AJ1915" s="11"/>
      <c r="AK1915" s="10">
        <f t="shared" si="179"/>
        <v>0</v>
      </c>
      <c r="AL1915" s="10">
        <f t="shared" si="180"/>
        <v>4919</v>
      </c>
      <c r="AM1915" s="10">
        <f t="shared" si="181"/>
        <v>0</v>
      </c>
      <c r="AN1915" s="11">
        <f t="shared" si="182"/>
        <v>0</v>
      </c>
      <c r="AO1915" s="10"/>
      <c r="AP1915" s="10"/>
      <c r="AQ1915" s="10"/>
      <c r="AR1915" s="10"/>
      <c r="AS1915" s="10"/>
      <c r="AT1915" t="s">
        <v>558</v>
      </c>
    </row>
    <row r="1916" ht="15.75" customHeight="1" spans="1:46">
      <c r="A1916" s="10" t="s">
        <v>2994</v>
      </c>
      <c r="B1916" s="10" t="s">
        <v>83</v>
      </c>
      <c r="C1916" s="10" t="s">
        <v>1499</v>
      </c>
      <c r="D1916" s="10" t="s">
        <v>2923</v>
      </c>
      <c r="E1916" s="10" t="s">
        <v>2958</v>
      </c>
      <c r="F1916" s="10" t="s">
        <v>2995</v>
      </c>
      <c r="G1916" s="10"/>
      <c r="H1916" s="10" t="s">
        <v>2925</v>
      </c>
      <c r="I1916" s="10" t="s">
        <v>2938</v>
      </c>
      <c r="J1916" s="10" t="s">
        <v>124</v>
      </c>
      <c r="K1916" s="10" t="s">
        <v>3009</v>
      </c>
      <c r="L1916" s="10"/>
      <c r="M1916" s="10"/>
      <c r="N1916" s="10"/>
      <c r="O1916" s="10"/>
      <c r="P1916" s="10"/>
      <c r="Q1916" s="10" t="s">
        <v>57</v>
      </c>
      <c r="R1916" s="10" t="s">
        <v>3010</v>
      </c>
      <c r="S1916" s="10"/>
      <c r="T1916" s="10"/>
      <c r="U1916" s="10"/>
      <c r="V1916" s="10"/>
      <c r="W1916" s="10"/>
      <c r="X1916" s="10"/>
      <c r="Y1916" s="10" t="s">
        <v>3011</v>
      </c>
      <c r="Z1916" s="10"/>
      <c r="AA1916" s="10"/>
      <c r="AB1916" s="10"/>
      <c r="AC1916" s="10"/>
      <c r="AD1916" s="10"/>
      <c r="AE1916" s="10">
        <v>5039</v>
      </c>
      <c r="AF1916" s="11"/>
      <c r="AG1916" s="10">
        <f t="shared" si="183"/>
        <v>5039</v>
      </c>
      <c r="AH1916" s="11"/>
      <c r="AI1916" s="10">
        <f t="shared" si="178"/>
        <v>5039</v>
      </c>
      <c r="AJ1916" s="11"/>
      <c r="AK1916" s="10">
        <f t="shared" si="179"/>
        <v>0</v>
      </c>
      <c r="AL1916" s="10">
        <f t="shared" si="180"/>
        <v>5039</v>
      </c>
      <c r="AM1916" s="10">
        <f t="shared" si="181"/>
        <v>0</v>
      </c>
      <c r="AN1916" s="11">
        <f t="shared" si="182"/>
        <v>0</v>
      </c>
      <c r="AO1916" s="10"/>
      <c r="AP1916" s="10"/>
      <c r="AQ1916" s="10"/>
      <c r="AR1916" s="10"/>
      <c r="AS1916" s="10"/>
      <c r="AT1916" t="s">
        <v>558</v>
      </c>
    </row>
    <row r="1917" ht="15.75" customHeight="1" spans="1:46">
      <c r="A1917" t="s">
        <v>3012</v>
      </c>
      <c r="B1917" t="s">
        <v>46</v>
      </c>
      <c r="C1917" t="s">
        <v>1499</v>
      </c>
      <c r="D1917" t="s">
        <v>2923</v>
      </c>
      <c r="E1917" t="s">
        <v>1501</v>
      </c>
      <c r="F1917" t="s">
        <v>3013</v>
      </c>
      <c r="H1917" t="s">
        <v>2925</v>
      </c>
      <c r="I1917" t="s">
        <v>2926</v>
      </c>
      <c r="J1917" t="s">
        <v>124</v>
      </c>
      <c r="K1917" t="s">
        <v>2928</v>
      </c>
      <c r="Q1917" t="s">
        <v>57</v>
      </c>
      <c r="R1917" t="s">
        <v>3014</v>
      </c>
      <c r="Y1917" t="s">
        <v>3015</v>
      </c>
      <c r="AE1917">
        <v>3199</v>
      </c>
      <c r="AF1917" s="4"/>
      <c r="AG1917">
        <f t="shared" si="183"/>
        <v>3199</v>
      </c>
      <c r="AH1917" s="4"/>
      <c r="AI1917">
        <f t="shared" si="178"/>
        <v>3199</v>
      </c>
      <c r="AJ1917" s="4"/>
      <c r="AK1917">
        <f t="shared" si="179"/>
        <v>0</v>
      </c>
      <c r="AL1917">
        <f t="shared" si="180"/>
        <v>3199</v>
      </c>
      <c r="AM1917">
        <f t="shared" si="181"/>
        <v>0</v>
      </c>
      <c r="AN1917" s="4">
        <f t="shared" si="182"/>
        <v>0</v>
      </c>
      <c r="AT1917" t="s">
        <v>1662</v>
      </c>
    </row>
    <row r="1918" ht="15.75" customHeight="1" spans="1:46">
      <c r="A1918" t="s">
        <v>3012</v>
      </c>
      <c r="B1918" t="s">
        <v>67</v>
      </c>
      <c r="C1918" t="s">
        <v>1499</v>
      </c>
      <c r="D1918" t="s">
        <v>2923</v>
      </c>
      <c r="E1918" t="s">
        <v>1501</v>
      </c>
      <c r="F1918" t="s">
        <v>3013</v>
      </c>
      <c r="H1918" t="s">
        <v>2925</v>
      </c>
      <c r="I1918" t="s">
        <v>2926</v>
      </c>
      <c r="J1918" t="s">
        <v>124</v>
      </c>
      <c r="K1918" t="s">
        <v>3016</v>
      </c>
      <c r="Q1918" t="s">
        <v>57</v>
      </c>
      <c r="R1918" t="s">
        <v>3017</v>
      </c>
      <c r="Y1918" t="s">
        <v>3018</v>
      </c>
      <c r="AE1918">
        <v>3199</v>
      </c>
      <c r="AF1918" s="4"/>
      <c r="AG1918">
        <f t="shared" si="183"/>
        <v>3199</v>
      </c>
      <c r="AH1918" s="4"/>
      <c r="AI1918">
        <f t="shared" si="178"/>
        <v>3199</v>
      </c>
      <c r="AJ1918" s="4"/>
      <c r="AK1918">
        <f t="shared" si="179"/>
        <v>0</v>
      </c>
      <c r="AL1918">
        <f t="shared" si="180"/>
        <v>3199</v>
      </c>
      <c r="AM1918">
        <f t="shared" si="181"/>
        <v>0</v>
      </c>
      <c r="AN1918" s="4">
        <f t="shared" si="182"/>
        <v>0</v>
      </c>
      <c r="AT1918" t="s">
        <v>1662</v>
      </c>
    </row>
    <row r="1919" ht="15.75" customHeight="1" spans="1:46">
      <c r="A1919" t="s">
        <v>3019</v>
      </c>
      <c r="B1919" t="s">
        <v>46</v>
      </c>
      <c r="C1919" t="s">
        <v>1499</v>
      </c>
      <c r="D1919" t="s">
        <v>2923</v>
      </c>
      <c r="E1919" t="s">
        <v>1501</v>
      </c>
      <c r="F1919" t="s">
        <v>3020</v>
      </c>
      <c r="H1919" t="s">
        <v>2925</v>
      </c>
      <c r="I1919" t="s">
        <v>2926</v>
      </c>
      <c r="J1919" t="s">
        <v>124</v>
      </c>
      <c r="K1919" t="s">
        <v>143</v>
      </c>
      <c r="Q1919" t="s">
        <v>57</v>
      </c>
      <c r="R1919" t="s">
        <v>3021</v>
      </c>
      <c r="Y1919" t="s">
        <v>3022</v>
      </c>
      <c r="AE1919">
        <v>2799</v>
      </c>
      <c r="AF1919" s="4"/>
      <c r="AG1919">
        <f t="shared" si="183"/>
        <v>2799</v>
      </c>
      <c r="AH1919" s="4"/>
      <c r="AI1919">
        <f t="shared" si="178"/>
        <v>2799</v>
      </c>
      <c r="AJ1919" s="4"/>
      <c r="AK1919">
        <f t="shared" si="179"/>
        <v>0</v>
      </c>
      <c r="AL1919">
        <f t="shared" si="180"/>
        <v>2799</v>
      </c>
      <c r="AM1919">
        <f t="shared" si="181"/>
        <v>0</v>
      </c>
      <c r="AN1919" s="4">
        <f t="shared" si="182"/>
        <v>0</v>
      </c>
      <c r="AT1919" t="s">
        <v>1662</v>
      </c>
    </row>
    <row r="1920" ht="15.75" customHeight="1" spans="1:46">
      <c r="A1920" t="s">
        <v>3023</v>
      </c>
      <c r="B1920" t="s">
        <v>46</v>
      </c>
      <c r="C1920" t="s">
        <v>1499</v>
      </c>
      <c r="D1920" t="s">
        <v>2923</v>
      </c>
      <c r="E1920" t="s">
        <v>1501</v>
      </c>
      <c r="F1920" t="s">
        <v>3024</v>
      </c>
      <c r="H1920" t="s">
        <v>2925</v>
      </c>
      <c r="I1920" t="s">
        <v>2938</v>
      </c>
      <c r="J1920" t="s">
        <v>124</v>
      </c>
      <c r="K1920" t="s">
        <v>3025</v>
      </c>
      <c r="Q1920" t="s">
        <v>57</v>
      </c>
      <c r="R1920" t="s">
        <v>3026</v>
      </c>
      <c r="Y1920" t="s">
        <v>3027</v>
      </c>
      <c r="AE1920">
        <v>6599</v>
      </c>
      <c r="AF1920" s="4"/>
      <c r="AG1920">
        <f t="shared" si="183"/>
        <v>6599</v>
      </c>
      <c r="AH1920" s="4"/>
      <c r="AI1920">
        <f t="shared" si="178"/>
        <v>6599</v>
      </c>
      <c r="AJ1920" s="4"/>
      <c r="AK1920">
        <f t="shared" si="179"/>
        <v>0</v>
      </c>
      <c r="AL1920">
        <f t="shared" si="180"/>
        <v>6599</v>
      </c>
      <c r="AM1920">
        <f t="shared" si="181"/>
        <v>0</v>
      </c>
      <c r="AN1920" s="4">
        <f t="shared" si="182"/>
        <v>0</v>
      </c>
      <c r="AT1920" t="s">
        <v>1662</v>
      </c>
    </row>
    <row r="1921" ht="15.75" customHeight="1" spans="1:46">
      <c r="A1921" t="s">
        <v>3023</v>
      </c>
      <c r="B1921" t="s">
        <v>67</v>
      </c>
      <c r="C1921" t="s">
        <v>1499</v>
      </c>
      <c r="D1921" t="s">
        <v>2923</v>
      </c>
      <c r="E1921" t="s">
        <v>1501</v>
      </c>
      <c r="F1921" t="s">
        <v>3024</v>
      </c>
      <c r="H1921" t="s">
        <v>2925</v>
      </c>
      <c r="I1921" t="s">
        <v>2938</v>
      </c>
      <c r="J1921" t="s">
        <v>124</v>
      </c>
      <c r="K1921" t="s">
        <v>3028</v>
      </c>
      <c r="Q1921" t="s">
        <v>57</v>
      </c>
      <c r="R1921" t="s">
        <v>3029</v>
      </c>
      <c r="Y1921" t="s">
        <v>3030</v>
      </c>
      <c r="AE1921">
        <v>6599</v>
      </c>
      <c r="AF1921" s="4"/>
      <c r="AG1921">
        <f t="shared" si="183"/>
        <v>6599</v>
      </c>
      <c r="AH1921" s="4"/>
      <c r="AI1921">
        <f t="shared" si="178"/>
        <v>6599</v>
      </c>
      <c r="AJ1921" s="4"/>
      <c r="AK1921">
        <f t="shared" si="179"/>
        <v>0</v>
      </c>
      <c r="AL1921">
        <f t="shared" si="180"/>
        <v>6599</v>
      </c>
      <c r="AM1921">
        <f t="shared" si="181"/>
        <v>0</v>
      </c>
      <c r="AN1921" s="4">
        <f t="shared" si="182"/>
        <v>0</v>
      </c>
      <c r="AT1921" t="s">
        <v>1662</v>
      </c>
    </row>
    <row r="1922" ht="15.75" customHeight="1" spans="1:46">
      <c r="A1922" t="s">
        <v>3031</v>
      </c>
      <c r="B1922" t="s">
        <v>46</v>
      </c>
      <c r="C1922" t="s">
        <v>1499</v>
      </c>
      <c r="D1922" t="s">
        <v>2923</v>
      </c>
      <c r="E1922" t="s">
        <v>1501</v>
      </c>
      <c r="F1922" t="s">
        <v>3032</v>
      </c>
      <c r="H1922" t="s">
        <v>2925</v>
      </c>
      <c r="I1922" t="s">
        <v>2938</v>
      </c>
      <c r="J1922" t="s">
        <v>124</v>
      </c>
      <c r="K1922" t="s">
        <v>3028</v>
      </c>
      <c r="Q1922" t="s">
        <v>57</v>
      </c>
      <c r="R1922" t="s">
        <v>3033</v>
      </c>
      <c r="Y1922" t="s">
        <v>3034</v>
      </c>
      <c r="AE1922">
        <v>6799</v>
      </c>
      <c r="AF1922" s="4"/>
      <c r="AG1922">
        <f t="shared" si="183"/>
        <v>6799</v>
      </c>
      <c r="AH1922" s="4"/>
      <c r="AI1922">
        <f t="shared" ref="AI1922:AI1985" si="184">ROUND(AG1922+(AG1922*AH1922),2)</f>
        <v>6799</v>
      </c>
      <c r="AJ1922" s="4"/>
      <c r="AK1922">
        <f t="shared" ref="AK1922:AK1985" si="185">ROUND(AI1922*AJ1922,2)</f>
        <v>0</v>
      </c>
      <c r="AL1922">
        <f t="shared" ref="AL1922:AL1985" si="186">AI1922+AK1922</f>
        <v>6799</v>
      </c>
      <c r="AM1922">
        <f t="shared" ref="AM1922:AM1985" si="187">AE1922-AL1922</f>
        <v>0</v>
      </c>
      <c r="AN1922" s="4">
        <f t="shared" ref="AN1922:AN1985" si="188">AM1922/AE1922</f>
        <v>0</v>
      </c>
      <c r="AT1922" t="s">
        <v>1662</v>
      </c>
    </row>
    <row r="1923" ht="15.75" customHeight="1" spans="1:46">
      <c r="A1923" t="s">
        <v>3031</v>
      </c>
      <c r="B1923" t="s">
        <v>67</v>
      </c>
      <c r="C1923" t="s">
        <v>1499</v>
      </c>
      <c r="D1923" t="s">
        <v>2923</v>
      </c>
      <c r="E1923" t="s">
        <v>1501</v>
      </c>
      <c r="F1923" t="s">
        <v>3032</v>
      </c>
      <c r="H1923" t="s">
        <v>2925</v>
      </c>
      <c r="I1923" t="s">
        <v>2938</v>
      </c>
      <c r="J1923" t="s">
        <v>124</v>
      </c>
      <c r="K1923" t="s">
        <v>909</v>
      </c>
      <c r="Q1923" t="s">
        <v>57</v>
      </c>
      <c r="R1923" t="s">
        <v>3035</v>
      </c>
      <c r="Y1923" t="s">
        <v>3036</v>
      </c>
      <c r="AE1923">
        <v>6799</v>
      </c>
      <c r="AF1923" s="4"/>
      <c r="AG1923">
        <f t="shared" si="183"/>
        <v>6799</v>
      </c>
      <c r="AH1923" s="4"/>
      <c r="AI1923">
        <f t="shared" si="184"/>
        <v>6799</v>
      </c>
      <c r="AJ1923" s="4"/>
      <c r="AK1923">
        <f t="shared" si="185"/>
        <v>0</v>
      </c>
      <c r="AL1923">
        <f t="shared" si="186"/>
        <v>6799</v>
      </c>
      <c r="AM1923">
        <f t="shared" si="187"/>
        <v>0</v>
      </c>
      <c r="AN1923" s="4">
        <f t="shared" si="188"/>
        <v>0</v>
      </c>
      <c r="AT1923" t="s">
        <v>1662</v>
      </c>
    </row>
    <row r="1924" ht="15.75" customHeight="1" spans="1:46">
      <c r="A1924" t="s">
        <v>3031</v>
      </c>
      <c r="B1924" t="s">
        <v>71</v>
      </c>
      <c r="C1924" t="s">
        <v>1499</v>
      </c>
      <c r="D1924" t="s">
        <v>2923</v>
      </c>
      <c r="E1924" t="s">
        <v>1501</v>
      </c>
      <c r="F1924" t="s">
        <v>3032</v>
      </c>
      <c r="H1924" t="s">
        <v>2925</v>
      </c>
      <c r="I1924" t="s">
        <v>2938</v>
      </c>
      <c r="J1924" t="s">
        <v>124</v>
      </c>
      <c r="K1924" t="s">
        <v>3025</v>
      </c>
      <c r="Q1924" t="s">
        <v>57</v>
      </c>
      <c r="R1924" t="s">
        <v>3037</v>
      </c>
      <c r="Y1924" t="s">
        <v>3038</v>
      </c>
      <c r="AE1924">
        <v>6799</v>
      </c>
      <c r="AF1924" s="4"/>
      <c r="AG1924">
        <f t="shared" ref="AG1924:AG1967" si="189">ROUND(AE1924-(AE1924*AF1924),2)</f>
        <v>6799</v>
      </c>
      <c r="AH1924" s="4"/>
      <c r="AI1924">
        <f t="shared" si="184"/>
        <v>6799</v>
      </c>
      <c r="AJ1924" s="4"/>
      <c r="AK1924">
        <f t="shared" si="185"/>
        <v>0</v>
      </c>
      <c r="AL1924">
        <f t="shared" si="186"/>
        <v>6799</v>
      </c>
      <c r="AM1924">
        <f t="shared" si="187"/>
        <v>0</v>
      </c>
      <c r="AN1924" s="4">
        <f t="shared" si="188"/>
        <v>0</v>
      </c>
      <c r="AT1924" t="s">
        <v>1662</v>
      </c>
    </row>
    <row r="1925" ht="15.75" customHeight="1" spans="1:46">
      <c r="A1925" t="s">
        <v>3039</v>
      </c>
      <c r="B1925" t="s">
        <v>46</v>
      </c>
      <c r="C1925" t="s">
        <v>1499</v>
      </c>
      <c r="D1925" t="s">
        <v>2923</v>
      </c>
      <c r="E1925" t="s">
        <v>1501</v>
      </c>
      <c r="F1925" t="s">
        <v>3040</v>
      </c>
      <c r="H1925" t="s">
        <v>2925</v>
      </c>
      <c r="I1925" t="s">
        <v>2938</v>
      </c>
      <c r="J1925" t="s">
        <v>124</v>
      </c>
      <c r="K1925" t="s">
        <v>143</v>
      </c>
      <c r="Q1925" t="s">
        <v>57</v>
      </c>
      <c r="Y1925" t="s">
        <v>3041</v>
      </c>
      <c r="AE1925">
        <v>6499</v>
      </c>
      <c r="AF1925" s="4"/>
      <c r="AG1925">
        <f t="shared" si="189"/>
        <v>6499</v>
      </c>
      <c r="AH1925" s="4"/>
      <c r="AI1925">
        <f t="shared" si="184"/>
        <v>6499</v>
      </c>
      <c r="AJ1925" s="4"/>
      <c r="AK1925">
        <f t="shared" si="185"/>
        <v>0</v>
      </c>
      <c r="AL1925">
        <f t="shared" si="186"/>
        <v>6499</v>
      </c>
      <c r="AM1925">
        <f t="shared" si="187"/>
        <v>0</v>
      </c>
      <c r="AN1925" s="4">
        <f t="shared" si="188"/>
        <v>0</v>
      </c>
      <c r="AT1925" t="s">
        <v>1662</v>
      </c>
    </row>
    <row r="1926" ht="15.75" customHeight="1" spans="1:46">
      <c r="A1926" s="10" t="s">
        <v>3042</v>
      </c>
      <c r="B1926" s="10" t="s">
        <v>46</v>
      </c>
      <c r="C1926" s="10" t="s">
        <v>1499</v>
      </c>
      <c r="D1926" s="10" t="s">
        <v>2923</v>
      </c>
      <c r="E1926" s="10" t="s">
        <v>1798</v>
      </c>
      <c r="F1926" s="10" t="s">
        <v>3043</v>
      </c>
      <c r="G1926" s="10"/>
      <c r="H1926" s="10" t="s">
        <v>2925</v>
      </c>
      <c r="I1926" s="10" t="s">
        <v>3044</v>
      </c>
      <c r="J1926" s="10" t="s">
        <v>124</v>
      </c>
      <c r="K1926" s="10" t="s">
        <v>3045</v>
      </c>
      <c r="L1926" s="10"/>
      <c r="M1926" s="10"/>
      <c r="N1926" s="10"/>
      <c r="O1926" s="10"/>
      <c r="P1926" s="10"/>
      <c r="Q1926" s="10" t="s">
        <v>57</v>
      </c>
      <c r="R1926" s="10" t="s">
        <v>3046</v>
      </c>
      <c r="S1926" s="10"/>
      <c r="T1926" s="10"/>
      <c r="U1926" s="10"/>
      <c r="V1926" s="10"/>
      <c r="W1926" s="10"/>
      <c r="X1926" s="10"/>
      <c r="Y1926" s="10" t="s">
        <v>3047</v>
      </c>
      <c r="Z1926" s="10"/>
      <c r="AA1926" s="10"/>
      <c r="AB1926" s="10"/>
      <c r="AC1926" s="10"/>
      <c r="AD1926" s="10"/>
      <c r="AE1926" s="10">
        <v>3200</v>
      </c>
      <c r="AF1926" s="11"/>
      <c r="AG1926" s="10">
        <f t="shared" si="189"/>
        <v>3200</v>
      </c>
      <c r="AH1926" s="11"/>
      <c r="AI1926" s="10">
        <f t="shared" si="184"/>
        <v>3200</v>
      </c>
      <c r="AJ1926" s="11"/>
      <c r="AK1926" s="10">
        <f t="shared" si="185"/>
        <v>0</v>
      </c>
      <c r="AL1926" s="10">
        <f t="shared" si="186"/>
        <v>3200</v>
      </c>
      <c r="AM1926" s="10">
        <f t="shared" si="187"/>
        <v>0</v>
      </c>
      <c r="AN1926" s="11">
        <f t="shared" si="188"/>
        <v>0</v>
      </c>
      <c r="AO1926" s="10"/>
      <c r="AP1926" s="10"/>
      <c r="AQ1926" s="10"/>
      <c r="AR1926" s="10"/>
      <c r="AS1926" s="10"/>
      <c r="AT1926" t="s">
        <v>558</v>
      </c>
    </row>
    <row r="1927" ht="15.75" customHeight="1" spans="1:46">
      <c r="A1927" s="10" t="s">
        <v>3042</v>
      </c>
      <c r="B1927" s="10" t="s">
        <v>67</v>
      </c>
      <c r="C1927" s="10" t="s">
        <v>1499</v>
      </c>
      <c r="D1927" s="10" t="s">
        <v>2923</v>
      </c>
      <c r="E1927" s="10" t="s">
        <v>1798</v>
      </c>
      <c r="F1927" s="10" t="s">
        <v>3043</v>
      </c>
      <c r="G1927" s="10"/>
      <c r="H1927" s="10" t="s">
        <v>2925</v>
      </c>
      <c r="I1927" s="10" t="s">
        <v>3044</v>
      </c>
      <c r="J1927" s="10" t="s">
        <v>124</v>
      </c>
      <c r="K1927" s="10" t="s">
        <v>3048</v>
      </c>
      <c r="L1927" s="10"/>
      <c r="M1927" s="10"/>
      <c r="N1927" s="10"/>
      <c r="O1927" s="10"/>
      <c r="P1927" s="10"/>
      <c r="Q1927" s="10" t="s">
        <v>57</v>
      </c>
      <c r="R1927" s="10" t="s">
        <v>3049</v>
      </c>
      <c r="S1927" s="10"/>
      <c r="T1927" s="10"/>
      <c r="U1927" s="10"/>
      <c r="V1927" s="10"/>
      <c r="W1927" s="10"/>
      <c r="X1927" s="10"/>
      <c r="Y1927" s="10" t="s">
        <v>3050</v>
      </c>
      <c r="Z1927" s="10"/>
      <c r="AA1927" s="10"/>
      <c r="AB1927" s="10"/>
      <c r="AC1927" s="10"/>
      <c r="AD1927" s="10"/>
      <c r="AE1927" s="10">
        <v>2699</v>
      </c>
      <c r="AF1927" s="11"/>
      <c r="AG1927" s="10">
        <f t="shared" si="189"/>
        <v>2699</v>
      </c>
      <c r="AH1927" s="11"/>
      <c r="AI1927" s="10">
        <f t="shared" si="184"/>
        <v>2699</v>
      </c>
      <c r="AJ1927" s="11"/>
      <c r="AK1927" s="10">
        <f t="shared" si="185"/>
        <v>0</v>
      </c>
      <c r="AL1927" s="10">
        <f t="shared" si="186"/>
        <v>2699</v>
      </c>
      <c r="AM1927" s="10">
        <f t="shared" si="187"/>
        <v>0</v>
      </c>
      <c r="AN1927" s="11">
        <f t="shared" si="188"/>
        <v>0</v>
      </c>
      <c r="AO1927" s="10"/>
      <c r="AP1927" s="10"/>
      <c r="AQ1927" s="10"/>
      <c r="AR1927" s="10"/>
      <c r="AS1927" s="10"/>
      <c r="AT1927" t="s">
        <v>558</v>
      </c>
    </row>
    <row r="1928" ht="15.75" customHeight="1" spans="1:46">
      <c r="A1928" s="10" t="s">
        <v>3042</v>
      </c>
      <c r="B1928" s="10" t="s">
        <v>71</v>
      </c>
      <c r="C1928" s="10" t="s">
        <v>1499</v>
      </c>
      <c r="D1928" s="10" t="s">
        <v>2923</v>
      </c>
      <c r="E1928" s="10" t="s">
        <v>1798</v>
      </c>
      <c r="F1928" s="10" t="s">
        <v>3043</v>
      </c>
      <c r="G1928" s="10"/>
      <c r="H1928" s="10" t="s">
        <v>2925</v>
      </c>
      <c r="I1928" s="10" t="s">
        <v>3044</v>
      </c>
      <c r="J1928" s="10" t="s">
        <v>124</v>
      </c>
      <c r="K1928" s="10" t="s">
        <v>2941</v>
      </c>
      <c r="L1928" s="10"/>
      <c r="M1928" s="10"/>
      <c r="N1928" s="10"/>
      <c r="O1928" s="10"/>
      <c r="P1928" s="10"/>
      <c r="Q1928" s="10" t="s">
        <v>57</v>
      </c>
      <c r="R1928" s="10" t="s">
        <v>3051</v>
      </c>
      <c r="S1928" s="10"/>
      <c r="T1928" s="10"/>
      <c r="U1928" s="10"/>
      <c r="V1928" s="10"/>
      <c r="W1928" s="10"/>
      <c r="X1928" s="10"/>
      <c r="Y1928" s="10" t="s">
        <v>3052</v>
      </c>
      <c r="Z1928" s="10"/>
      <c r="AA1928" s="10"/>
      <c r="AB1928" s="10"/>
      <c r="AC1928" s="10"/>
      <c r="AD1928" s="10"/>
      <c r="AE1928" s="10">
        <v>2699</v>
      </c>
      <c r="AF1928" s="11"/>
      <c r="AG1928" s="10">
        <f t="shared" si="189"/>
        <v>2699</v>
      </c>
      <c r="AH1928" s="11"/>
      <c r="AI1928" s="10">
        <f t="shared" si="184"/>
        <v>2699</v>
      </c>
      <c r="AJ1928" s="11"/>
      <c r="AK1928" s="10">
        <f t="shared" si="185"/>
        <v>0</v>
      </c>
      <c r="AL1928" s="10">
        <f t="shared" si="186"/>
        <v>2699</v>
      </c>
      <c r="AM1928" s="10">
        <f t="shared" si="187"/>
        <v>0</v>
      </c>
      <c r="AN1928" s="11">
        <f t="shared" si="188"/>
        <v>0</v>
      </c>
      <c r="AO1928" s="10"/>
      <c r="AP1928" s="10"/>
      <c r="AQ1928" s="10"/>
      <c r="AR1928" s="10"/>
      <c r="AS1928" s="10"/>
      <c r="AT1928" t="s">
        <v>558</v>
      </c>
    </row>
    <row r="1929" ht="15.75" customHeight="1" spans="1:46">
      <c r="A1929" s="10" t="s">
        <v>3042</v>
      </c>
      <c r="B1929" s="10" t="s">
        <v>75</v>
      </c>
      <c r="C1929" s="10" t="s">
        <v>1499</v>
      </c>
      <c r="D1929" s="10" t="s">
        <v>2923</v>
      </c>
      <c r="E1929" s="10" t="s">
        <v>1798</v>
      </c>
      <c r="F1929" s="10" t="s">
        <v>3043</v>
      </c>
      <c r="G1929" s="10"/>
      <c r="H1929" s="10" t="s">
        <v>2925</v>
      </c>
      <c r="I1929" s="10" t="s">
        <v>3044</v>
      </c>
      <c r="J1929" s="10" t="s">
        <v>124</v>
      </c>
      <c r="K1929" s="10" t="s">
        <v>2928</v>
      </c>
      <c r="L1929" s="10"/>
      <c r="M1929" s="10"/>
      <c r="N1929" s="10"/>
      <c r="O1929" s="10"/>
      <c r="P1929" s="10"/>
      <c r="Q1929" s="10" t="s">
        <v>57</v>
      </c>
      <c r="R1929" s="10" t="s">
        <v>3053</v>
      </c>
      <c r="S1929" s="10"/>
      <c r="T1929" s="10"/>
      <c r="U1929" s="10"/>
      <c r="V1929" s="10"/>
      <c r="W1929" s="10"/>
      <c r="X1929" s="10"/>
      <c r="Y1929" s="10" t="s">
        <v>3054</v>
      </c>
      <c r="Z1929" s="10"/>
      <c r="AA1929" s="10"/>
      <c r="AB1929" s="10"/>
      <c r="AC1929" s="10"/>
      <c r="AD1929" s="10"/>
      <c r="AE1929" s="10">
        <v>3270</v>
      </c>
      <c r="AF1929" s="11"/>
      <c r="AG1929" s="10">
        <f t="shared" si="189"/>
        <v>3270</v>
      </c>
      <c r="AH1929" s="11"/>
      <c r="AI1929" s="10">
        <f t="shared" si="184"/>
        <v>3270</v>
      </c>
      <c r="AJ1929" s="11"/>
      <c r="AK1929" s="10">
        <f t="shared" si="185"/>
        <v>0</v>
      </c>
      <c r="AL1929" s="10">
        <f t="shared" si="186"/>
        <v>3270</v>
      </c>
      <c r="AM1929" s="10">
        <f t="shared" si="187"/>
        <v>0</v>
      </c>
      <c r="AN1929" s="11">
        <f t="shared" si="188"/>
        <v>0</v>
      </c>
      <c r="AO1929" s="10"/>
      <c r="AP1929" s="10"/>
      <c r="AQ1929" s="10"/>
      <c r="AR1929" s="10"/>
      <c r="AS1929" s="10"/>
      <c r="AT1929" t="s">
        <v>558</v>
      </c>
    </row>
    <row r="1930" ht="15.75" customHeight="1" spans="1:46">
      <c r="A1930" s="10" t="s">
        <v>3042</v>
      </c>
      <c r="B1930" s="10" t="s">
        <v>79</v>
      </c>
      <c r="C1930" s="10" t="s">
        <v>1499</v>
      </c>
      <c r="D1930" s="10" t="s">
        <v>2923</v>
      </c>
      <c r="E1930" s="10" t="s">
        <v>1798</v>
      </c>
      <c r="F1930" s="10" t="s">
        <v>3043</v>
      </c>
      <c r="G1930" s="10"/>
      <c r="H1930" s="10" t="s">
        <v>2925</v>
      </c>
      <c r="I1930" s="10" t="s">
        <v>3044</v>
      </c>
      <c r="J1930" s="10" t="s">
        <v>124</v>
      </c>
      <c r="K1930" s="10" t="s">
        <v>143</v>
      </c>
      <c r="L1930" s="10"/>
      <c r="M1930" s="10"/>
      <c r="N1930" s="10"/>
      <c r="O1930" s="10"/>
      <c r="P1930" s="10"/>
      <c r="Q1930" s="10" t="s">
        <v>57</v>
      </c>
      <c r="R1930" s="10" t="s">
        <v>3055</v>
      </c>
      <c r="S1930" s="10"/>
      <c r="T1930" s="10"/>
      <c r="U1930" s="10"/>
      <c r="V1930" s="10"/>
      <c r="W1930" s="10"/>
      <c r="X1930" s="10"/>
      <c r="Y1930" s="10" t="s">
        <v>3056</v>
      </c>
      <c r="Z1930" s="10"/>
      <c r="AA1930" s="10"/>
      <c r="AB1930" s="10"/>
      <c r="AC1930" s="10"/>
      <c r="AD1930" s="10"/>
      <c r="AE1930" s="10">
        <v>1900</v>
      </c>
      <c r="AF1930" s="11"/>
      <c r="AG1930" s="10">
        <f t="shared" si="189"/>
        <v>1900</v>
      </c>
      <c r="AH1930" s="11"/>
      <c r="AI1930" s="10">
        <f t="shared" si="184"/>
        <v>1900</v>
      </c>
      <c r="AJ1930" s="11"/>
      <c r="AK1930" s="10">
        <f t="shared" si="185"/>
        <v>0</v>
      </c>
      <c r="AL1930" s="10">
        <f t="shared" si="186"/>
        <v>1900</v>
      </c>
      <c r="AM1930" s="10">
        <f t="shared" si="187"/>
        <v>0</v>
      </c>
      <c r="AN1930" s="11">
        <f t="shared" si="188"/>
        <v>0</v>
      </c>
      <c r="AO1930" s="10"/>
      <c r="AP1930" s="10"/>
      <c r="AQ1930" s="10"/>
      <c r="AR1930" s="10"/>
      <c r="AS1930" s="10"/>
      <c r="AT1930" t="s">
        <v>558</v>
      </c>
    </row>
    <row r="1931" ht="15.75" customHeight="1" spans="1:46">
      <c r="A1931" s="10" t="s">
        <v>3057</v>
      </c>
      <c r="B1931" s="10" t="s">
        <v>46</v>
      </c>
      <c r="C1931" s="10" t="s">
        <v>1499</v>
      </c>
      <c r="D1931" s="10" t="s">
        <v>2923</v>
      </c>
      <c r="E1931" s="10" t="s">
        <v>1798</v>
      </c>
      <c r="F1931" s="10" t="s">
        <v>3058</v>
      </c>
      <c r="G1931" s="10"/>
      <c r="H1931" s="10" t="s">
        <v>2925</v>
      </c>
      <c r="I1931" s="10" t="s">
        <v>2926</v>
      </c>
      <c r="J1931" s="10" t="s">
        <v>124</v>
      </c>
      <c r="K1931" s="10" t="s">
        <v>3059</v>
      </c>
      <c r="L1931" s="10"/>
      <c r="M1931" s="10"/>
      <c r="N1931" s="10"/>
      <c r="O1931" s="10"/>
      <c r="P1931" s="10"/>
      <c r="Q1931" s="10" t="s">
        <v>57</v>
      </c>
      <c r="R1931" s="10" t="s">
        <v>3060</v>
      </c>
      <c r="S1931" s="10"/>
      <c r="T1931" s="10"/>
      <c r="U1931" s="10"/>
      <c r="V1931" s="10"/>
      <c r="W1931" s="10"/>
      <c r="X1931" s="10"/>
      <c r="Y1931" s="10" t="s">
        <v>3061</v>
      </c>
      <c r="Z1931" s="10"/>
      <c r="AA1931" s="10"/>
      <c r="AB1931" s="10"/>
      <c r="AC1931" s="10"/>
      <c r="AD1931" s="10"/>
      <c r="AE1931" s="10">
        <v>3675</v>
      </c>
      <c r="AF1931" s="11"/>
      <c r="AG1931" s="10">
        <f t="shared" si="189"/>
        <v>3675</v>
      </c>
      <c r="AH1931" s="11"/>
      <c r="AI1931" s="10">
        <f t="shared" si="184"/>
        <v>3675</v>
      </c>
      <c r="AJ1931" s="11"/>
      <c r="AK1931" s="10">
        <f t="shared" si="185"/>
        <v>0</v>
      </c>
      <c r="AL1931" s="10">
        <f t="shared" si="186"/>
        <v>3675</v>
      </c>
      <c r="AM1931" s="10">
        <f t="shared" si="187"/>
        <v>0</v>
      </c>
      <c r="AN1931" s="11">
        <f t="shared" si="188"/>
        <v>0</v>
      </c>
      <c r="AO1931" s="10"/>
      <c r="AP1931" s="10"/>
      <c r="AQ1931" s="10"/>
      <c r="AR1931" s="10"/>
      <c r="AS1931" s="10"/>
      <c r="AT1931" t="s">
        <v>558</v>
      </c>
    </row>
    <row r="1932" ht="15.75" customHeight="1" spans="1:46">
      <c r="A1932" s="10" t="s">
        <v>3057</v>
      </c>
      <c r="B1932" s="10" t="s">
        <v>67</v>
      </c>
      <c r="C1932" s="10" t="s">
        <v>1499</v>
      </c>
      <c r="D1932" s="10" t="s">
        <v>2923</v>
      </c>
      <c r="E1932" s="10" t="s">
        <v>1798</v>
      </c>
      <c r="F1932" s="10" t="s">
        <v>3058</v>
      </c>
      <c r="G1932" s="10"/>
      <c r="H1932" s="10" t="s">
        <v>2925</v>
      </c>
      <c r="I1932" s="10" t="s">
        <v>2926</v>
      </c>
      <c r="J1932" s="10" t="s">
        <v>124</v>
      </c>
      <c r="K1932" s="10" t="s">
        <v>3062</v>
      </c>
      <c r="L1932" s="10"/>
      <c r="M1932" s="10"/>
      <c r="N1932" s="10"/>
      <c r="O1932" s="10"/>
      <c r="P1932" s="10"/>
      <c r="Q1932" s="10" t="s">
        <v>57</v>
      </c>
      <c r="R1932" s="10" t="s">
        <v>3063</v>
      </c>
      <c r="S1932" s="10"/>
      <c r="T1932" s="10"/>
      <c r="U1932" s="10"/>
      <c r="V1932" s="10"/>
      <c r="W1932" s="10"/>
      <c r="X1932" s="10"/>
      <c r="Y1932" s="10" t="s">
        <v>3064</v>
      </c>
      <c r="Z1932" s="10"/>
      <c r="AA1932" s="10"/>
      <c r="AB1932" s="10"/>
      <c r="AC1932" s="10"/>
      <c r="AD1932" s="10"/>
      <c r="AE1932" s="10">
        <v>3675</v>
      </c>
      <c r="AF1932" s="11"/>
      <c r="AG1932" s="10">
        <f t="shared" si="189"/>
        <v>3675</v>
      </c>
      <c r="AH1932" s="11"/>
      <c r="AI1932" s="10">
        <f t="shared" si="184"/>
        <v>3675</v>
      </c>
      <c r="AJ1932" s="11"/>
      <c r="AK1932" s="10">
        <f t="shared" si="185"/>
        <v>0</v>
      </c>
      <c r="AL1932" s="10">
        <f t="shared" si="186"/>
        <v>3675</v>
      </c>
      <c r="AM1932" s="10">
        <f t="shared" si="187"/>
        <v>0</v>
      </c>
      <c r="AN1932" s="11">
        <f t="shared" si="188"/>
        <v>0</v>
      </c>
      <c r="AO1932" s="10"/>
      <c r="AP1932" s="10"/>
      <c r="AQ1932" s="10"/>
      <c r="AR1932" s="10"/>
      <c r="AS1932" s="10"/>
      <c r="AT1932" t="s">
        <v>558</v>
      </c>
    </row>
    <row r="1933" ht="15.75" customHeight="1" spans="1:46">
      <c r="A1933" s="10" t="s">
        <v>3065</v>
      </c>
      <c r="B1933" s="10" t="s">
        <v>46</v>
      </c>
      <c r="C1933" s="10" t="s">
        <v>1499</v>
      </c>
      <c r="D1933" s="10" t="s">
        <v>2923</v>
      </c>
      <c r="E1933" s="10" t="s">
        <v>1798</v>
      </c>
      <c r="F1933" s="10" t="s">
        <v>3066</v>
      </c>
      <c r="G1933" s="10"/>
      <c r="H1933" s="10" t="s">
        <v>2925</v>
      </c>
      <c r="I1933" s="10" t="s">
        <v>2938</v>
      </c>
      <c r="J1933" s="10" t="s">
        <v>124</v>
      </c>
      <c r="K1933" s="10" t="s">
        <v>3067</v>
      </c>
      <c r="L1933" s="10"/>
      <c r="M1933" s="10"/>
      <c r="N1933" s="10"/>
      <c r="O1933" s="10"/>
      <c r="P1933" s="10"/>
      <c r="Q1933" s="10" t="s">
        <v>57</v>
      </c>
      <c r="R1933" s="10" t="s">
        <v>3068</v>
      </c>
      <c r="S1933" s="10"/>
      <c r="T1933" s="10"/>
      <c r="U1933" s="10"/>
      <c r="V1933" s="10"/>
      <c r="W1933" s="10"/>
      <c r="X1933" s="10"/>
      <c r="Y1933" s="10" t="s">
        <v>3069</v>
      </c>
      <c r="Z1933" s="10"/>
      <c r="AA1933" s="10"/>
      <c r="AB1933" s="10"/>
      <c r="AC1933" s="10"/>
      <c r="AD1933" s="10"/>
      <c r="AE1933" s="10">
        <v>6680</v>
      </c>
      <c r="AF1933" s="11"/>
      <c r="AG1933" s="10">
        <f t="shared" si="189"/>
        <v>6680</v>
      </c>
      <c r="AH1933" s="11"/>
      <c r="AI1933" s="10">
        <f t="shared" si="184"/>
        <v>6680</v>
      </c>
      <c r="AJ1933" s="11"/>
      <c r="AK1933" s="10">
        <f t="shared" si="185"/>
        <v>0</v>
      </c>
      <c r="AL1933" s="10">
        <f t="shared" si="186"/>
        <v>6680</v>
      </c>
      <c r="AM1933" s="10">
        <f t="shared" si="187"/>
        <v>0</v>
      </c>
      <c r="AN1933" s="11">
        <f t="shared" si="188"/>
        <v>0</v>
      </c>
      <c r="AO1933" s="10"/>
      <c r="AP1933" s="10"/>
      <c r="AQ1933" s="10"/>
      <c r="AR1933" s="10"/>
      <c r="AS1933" s="10"/>
      <c r="AT1933" t="s">
        <v>558</v>
      </c>
    </row>
    <row r="1934" ht="15.75" customHeight="1" spans="1:46">
      <c r="A1934" s="10" t="s">
        <v>3065</v>
      </c>
      <c r="B1934" s="10" t="s">
        <v>67</v>
      </c>
      <c r="C1934" s="10" t="s">
        <v>1499</v>
      </c>
      <c r="D1934" s="10" t="s">
        <v>2923</v>
      </c>
      <c r="E1934" s="10" t="s">
        <v>1798</v>
      </c>
      <c r="F1934" s="10" t="s">
        <v>3066</v>
      </c>
      <c r="G1934" s="10"/>
      <c r="H1934" s="10" t="s">
        <v>2925</v>
      </c>
      <c r="I1934" s="10" t="s">
        <v>2938</v>
      </c>
      <c r="J1934" s="10" t="s">
        <v>124</v>
      </c>
      <c r="K1934" s="10" t="s">
        <v>1339</v>
      </c>
      <c r="L1934" s="10"/>
      <c r="M1934" s="10"/>
      <c r="N1934" s="10"/>
      <c r="O1934" s="10"/>
      <c r="P1934" s="10"/>
      <c r="Q1934" s="10" t="s">
        <v>57</v>
      </c>
      <c r="R1934" s="10" t="s">
        <v>3070</v>
      </c>
      <c r="S1934" s="10"/>
      <c r="T1934" s="10"/>
      <c r="U1934" s="10"/>
      <c r="V1934" s="10"/>
      <c r="W1934" s="10"/>
      <c r="X1934" s="10"/>
      <c r="Y1934" s="10" t="s">
        <v>3071</v>
      </c>
      <c r="Z1934" s="10"/>
      <c r="AA1934" s="10"/>
      <c r="AB1934" s="10"/>
      <c r="AC1934" s="10"/>
      <c r="AD1934" s="10"/>
      <c r="AE1934" s="10">
        <v>5000</v>
      </c>
      <c r="AF1934" s="11"/>
      <c r="AG1934" s="10">
        <f t="shared" si="189"/>
        <v>5000</v>
      </c>
      <c r="AH1934" s="11"/>
      <c r="AI1934" s="10">
        <f t="shared" si="184"/>
        <v>5000</v>
      </c>
      <c r="AJ1934" s="11"/>
      <c r="AK1934" s="10">
        <f t="shared" si="185"/>
        <v>0</v>
      </c>
      <c r="AL1934" s="10">
        <f t="shared" si="186"/>
        <v>5000</v>
      </c>
      <c r="AM1934" s="10">
        <f t="shared" si="187"/>
        <v>0</v>
      </c>
      <c r="AN1934" s="11">
        <f t="shared" si="188"/>
        <v>0</v>
      </c>
      <c r="AO1934" s="10"/>
      <c r="AP1934" s="10"/>
      <c r="AQ1934" s="10"/>
      <c r="AR1934" s="10"/>
      <c r="AS1934" s="10"/>
      <c r="AT1934" t="s">
        <v>558</v>
      </c>
    </row>
    <row r="1935" ht="15.75" customHeight="1" spans="1:46">
      <c r="A1935" s="10" t="s">
        <v>3065</v>
      </c>
      <c r="B1935" s="10" t="s">
        <v>71</v>
      </c>
      <c r="C1935" s="10" t="s">
        <v>1499</v>
      </c>
      <c r="D1935" s="10" t="s">
        <v>2923</v>
      </c>
      <c r="E1935" s="10" t="s">
        <v>1798</v>
      </c>
      <c r="F1935" s="10" t="s">
        <v>3066</v>
      </c>
      <c r="G1935" s="10"/>
      <c r="H1935" s="10" t="s">
        <v>2925</v>
      </c>
      <c r="I1935" s="10" t="s">
        <v>2938</v>
      </c>
      <c r="J1935" s="10" t="s">
        <v>124</v>
      </c>
      <c r="K1935" s="10" t="s">
        <v>915</v>
      </c>
      <c r="L1935" s="10"/>
      <c r="M1935" s="10"/>
      <c r="N1935" s="10"/>
      <c r="O1935" s="10"/>
      <c r="P1935" s="10"/>
      <c r="Q1935" s="10" t="s">
        <v>57</v>
      </c>
      <c r="R1935" s="10" t="s">
        <v>3072</v>
      </c>
      <c r="S1935" s="10"/>
      <c r="T1935" s="10"/>
      <c r="U1935" s="10"/>
      <c r="V1935" s="10"/>
      <c r="W1935" s="10"/>
      <c r="X1935" s="10"/>
      <c r="Y1935" s="10" t="s">
        <v>3073</v>
      </c>
      <c r="Z1935" s="10"/>
      <c r="AA1935" s="10"/>
      <c r="AB1935" s="10"/>
      <c r="AC1935" s="10"/>
      <c r="AD1935" s="10"/>
      <c r="AE1935" s="10">
        <v>6680</v>
      </c>
      <c r="AF1935" s="11"/>
      <c r="AG1935" s="10">
        <f t="shared" si="189"/>
        <v>6680</v>
      </c>
      <c r="AH1935" s="11"/>
      <c r="AI1935" s="10">
        <f t="shared" si="184"/>
        <v>6680</v>
      </c>
      <c r="AJ1935" s="11"/>
      <c r="AK1935" s="10">
        <f t="shared" si="185"/>
        <v>0</v>
      </c>
      <c r="AL1935" s="10">
        <f t="shared" si="186"/>
        <v>6680</v>
      </c>
      <c r="AM1935" s="10">
        <f t="shared" si="187"/>
        <v>0</v>
      </c>
      <c r="AN1935" s="11">
        <f t="shared" si="188"/>
        <v>0</v>
      </c>
      <c r="AO1935" s="10"/>
      <c r="AP1935" s="10"/>
      <c r="AQ1935" s="10"/>
      <c r="AR1935" s="10"/>
      <c r="AS1935" s="10"/>
      <c r="AT1935" t="s">
        <v>558</v>
      </c>
    </row>
    <row r="1936" ht="15.75" customHeight="1" spans="1:46">
      <c r="A1936" s="10" t="s">
        <v>3074</v>
      </c>
      <c r="B1936" s="10" t="s">
        <v>46</v>
      </c>
      <c r="C1936" s="10" t="s">
        <v>1499</v>
      </c>
      <c r="D1936" s="10" t="s">
        <v>2923</v>
      </c>
      <c r="E1936" s="10" t="s">
        <v>1798</v>
      </c>
      <c r="F1936" s="10" t="s">
        <v>3075</v>
      </c>
      <c r="G1936" s="10"/>
      <c r="H1936" s="10" t="s">
        <v>2925</v>
      </c>
      <c r="I1936" s="10" t="s">
        <v>2938</v>
      </c>
      <c r="J1936" s="10" t="s">
        <v>124</v>
      </c>
      <c r="K1936" s="10" t="s">
        <v>2928</v>
      </c>
      <c r="L1936" s="10"/>
      <c r="M1936" s="10"/>
      <c r="N1936" s="10"/>
      <c r="O1936" s="10"/>
      <c r="P1936" s="10"/>
      <c r="Q1936" s="10" t="s">
        <v>57</v>
      </c>
      <c r="R1936" s="10" t="s">
        <v>3076</v>
      </c>
      <c r="S1936" s="10"/>
      <c r="T1936" s="10"/>
      <c r="U1936" s="10"/>
      <c r="V1936" s="10"/>
      <c r="W1936" s="10"/>
      <c r="X1936" s="10"/>
      <c r="Y1936" s="10" t="s">
        <v>3077</v>
      </c>
      <c r="Z1936" s="10"/>
      <c r="AA1936" s="10"/>
      <c r="AB1936" s="10"/>
      <c r="AC1936" s="10"/>
      <c r="AD1936" s="10"/>
      <c r="AE1936" s="10">
        <v>4510</v>
      </c>
      <c r="AF1936" s="11"/>
      <c r="AG1936" s="10">
        <f t="shared" si="189"/>
        <v>4510</v>
      </c>
      <c r="AH1936" s="11"/>
      <c r="AI1936" s="10">
        <f t="shared" si="184"/>
        <v>4510</v>
      </c>
      <c r="AJ1936" s="11"/>
      <c r="AK1936" s="10">
        <f t="shared" si="185"/>
        <v>0</v>
      </c>
      <c r="AL1936" s="10">
        <f t="shared" si="186"/>
        <v>4510</v>
      </c>
      <c r="AM1936" s="10">
        <f t="shared" si="187"/>
        <v>0</v>
      </c>
      <c r="AN1936" s="11">
        <f t="shared" si="188"/>
        <v>0</v>
      </c>
      <c r="AO1936" s="10"/>
      <c r="AP1936" s="10"/>
      <c r="AQ1936" s="10"/>
      <c r="AR1936" s="10"/>
      <c r="AS1936" s="10"/>
      <c r="AT1936" t="s">
        <v>558</v>
      </c>
    </row>
    <row r="1937" ht="15.75" customHeight="1" spans="1:46">
      <c r="A1937" s="10" t="s">
        <v>3074</v>
      </c>
      <c r="B1937" s="10" t="s">
        <v>67</v>
      </c>
      <c r="C1937" s="10" t="s">
        <v>1499</v>
      </c>
      <c r="D1937" s="10" t="s">
        <v>2923</v>
      </c>
      <c r="E1937" s="10" t="s">
        <v>1798</v>
      </c>
      <c r="F1937" s="10" t="s">
        <v>3075</v>
      </c>
      <c r="G1937" s="10"/>
      <c r="H1937" s="10" t="s">
        <v>2925</v>
      </c>
      <c r="I1937" s="10" t="s">
        <v>2938</v>
      </c>
      <c r="J1937" s="10" t="s">
        <v>124</v>
      </c>
      <c r="K1937" s="10" t="s">
        <v>3078</v>
      </c>
      <c r="L1937" s="10"/>
      <c r="M1937" s="10"/>
      <c r="N1937" s="10"/>
      <c r="O1937" s="10"/>
      <c r="P1937" s="10"/>
      <c r="Q1937" s="10" t="s">
        <v>57</v>
      </c>
      <c r="R1937" s="10" t="s">
        <v>3079</v>
      </c>
      <c r="S1937" s="10"/>
      <c r="T1937" s="10"/>
      <c r="U1937" s="10"/>
      <c r="V1937" s="10"/>
      <c r="W1937" s="10"/>
      <c r="X1937" s="10"/>
      <c r="Y1937" s="10" t="s">
        <v>3080</v>
      </c>
      <c r="Z1937" s="10"/>
      <c r="AA1937" s="10"/>
      <c r="AB1937" s="10"/>
      <c r="AC1937" s="10"/>
      <c r="AD1937" s="10"/>
      <c r="AE1937" s="10">
        <v>5320</v>
      </c>
      <c r="AF1937" s="11"/>
      <c r="AG1937" s="10">
        <f t="shared" si="189"/>
        <v>5320</v>
      </c>
      <c r="AH1937" s="11"/>
      <c r="AI1937" s="10">
        <f t="shared" si="184"/>
        <v>5320</v>
      </c>
      <c r="AJ1937" s="11"/>
      <c r="AK1937" s="10">
        <f t="shared" si="185"/>
        <v>0</v>
      </c>
      <c r="AL1937" s="10">
        <f t="shared" si="186"/>
        <v>5320</v>
      </c>
      <c r="AM1937" s="10">
        <f t="shared" si="187"/>
        <v>0</v>
      </c>
      <c r="AN1937" s="11">
        <f t="shared" si="188"/>
        <v>0</v>
      </c>
      <c r="AO1937" s="10"/>
      <c r="AP1937" s="10"/>
      <c r="AQ1937" s="10"/>
      <c r="AR1937" s="10"/>
      <c r="AS1937" s="10"/>
      <c r="AT1937" t="s">
        <v>558</v>
      </c>
    </row>
    <row r="1938" ht="15.75" customHeight="1" spans="1:46">
      <c r="A1938" s="10" t="s">
        <v>3074</v>
      </c>
      <c r="B1938" s="10" t="s">
        <v>71</v>
      </c>
      <c r="C1938" s="10" t="s">
        <v>1499</v>
      </c>
      <c r="D1938" s="10" t="s">
        <v>2923</v>
      </c>
      <c r="E1938" s="10" t="s">
        <v>1798</v>
      </c>
      <c r="F1938" s="10" t="s">
        <v>3075</v>
      </c>
      <c r="G1938" s="10"/>
      <c r="H1938" s="10" t="s">
        <v>2925</v>
      </c>
      <c r="I1938" s="10" t="s">
        <v>2938</v>
      </c>
      <c r="J1938" s="10" t="s">
        <v>124</v>
      </c>
      <c r="K1938" s="10" t="s">
        <v>2941</v>
      </c>
      <c r="L1938" s="10"/>
      <c r="M1938" s="10"/>
      <c r="N1938" s="10"/>
      <c r="O1938" s="10"/>
      <c r="P1938" s="10"/>
      <c r="Q1938" s="10" t="s">
        <v>57</v>
      </c>
      <c r="R1938" s="10" t="s">
        <v>3081</v>
      </c>
      <c r="S1938" s="10"/>
      <c r="T1938" s="10"/>
      <c r="U1938" s="10"/>
      <c r="V1938" s="10"/>
      <c r="W1938" s="10"/>
      <c r="X1938" s="10"/>
      <c r="Y1938" s="10" t="s">
        <v>3082</v>
      </c>
      <c r="Z1938" s="10"/>
      <c r="AA1938" s="10"/>
      <c r="AB1938" s="10"/>
      <c r="AC1938" s="10"/>
      <c r="AD1938" s="10"/>
      <c r="AE1938" s="10">
        <v>5320</v>
      </c>
      <c r="AF1938" s="11"/>
      <c r="AG1938" s="10">
        <f t="shared" si="189"/>
        <v>5320</v>
      </c>
      <c r="AH1938" s="11"/>
      <c r="AI1938" s="10">
        <f t="shared" si="184"/>
        <v>5320</v>
      </c>
      <c r="AJ1938" s="11"/>
      <c r="AK1938" s="10">
        <f t="shared" si="185"/>
        <v>0</v>
      </c>
      <c r="AL1938" s="10">
        <f t="shared" si="186"/>
        <v>5320</v>
      </c>
      <c r="AM1938" s="10">
        <f t="shared" si="187"/>
        <v>0</v>
      </c>
      <c r="AN1938" s="11">
        <f t="shared" si="188"/>
        <v>0</v>
      </c>
      <c r="AO1938" s="10"/>
      <c r="AP1938" s="10"/>
      <c r="AQ1938" s="10"/>
      <c r="AR1938" s="10"/>
      <c r="AS1938" s="10"/>
      <c r="AT1938" t="s">
        <v>558</v>
      </c>
    </row>
    <row r="1939" ht="15.75" customHeight="1" spans="1:46">
      <c r="A1939" s="10" t="s">
        <v>3074</v>
      </c>
      <c r="B1939" s="10" t="s">
        <v>75</v>
      </c>
      <c r="C1939" s="10" t="s">
        <v>1499</v>
      </c>
      <c r="D1939" s="10" t="s">
        <v>2923</v>
      </c>
      <c r="E1939" s="10" t="s">
        <v>1798</v>
      </c>
      <c r="F1939" s="10" t="s">
        <v>3075</v>
      </c>
      <c r="G1939" s="10"/>
      <c r="H1939" s="10" t="s">
        <v>2925</v>
      </c>
      <c r="I1939" s="10" t="s">
        <v>2938</v>
      </c>
      <c r="J1939" s="10" t="s">
        <v>124</v>
      </c>
      <c r="K1939" s="10" t="s">
        <v>3083</v>
      </c>
      <c r="L1939" s="10"/>
      <c r="M1939" s="10"/>
      <c r="N1939" s="10"/>
      <c r="O1939" s="10"/>
      <c r="P1939" s="10"/>
      <c r="Q1939" s="10" t="s">
        <v>57</v>
      </c>
      <c r="R1939" s="10" t="s">
        <v>3084</v>
      </c>
      <c r="S1939" s="10"/>
      <c r="T1939" s="10"/>
      <c r="U1939" s="10"/>
      <c r="V1939" s="10"/>
      <c r="W1939" s="10"/>
      <c r="X1939" s="10"/>
      <c r="Y1939" s="10" t="s">
        <v>3085</v>
      </c>
      <c r="Z1939" s="10"/>
      <c r="AA1939" s="10"/>
      <c r="AB1939" s="10"/>
      <c r="AC1939" s="10"/>
      <c r="AD1939" s="10"/>
      <c r="AE1939" s="10">
        <v>5320</v>
      </c>
      <c r="AF1939" s="11"/>
      <c r="AG1939" s="10">
        <f t="shared" si="189"/>
        <v>5320</v>
      </c>
      <c r="AH1939" s="11"/>
      <c r="AI1939" s="10">
        <f t="shared" si="184"/>
        <v>5320</v>
      </c>
      <c r="AJ1939" s="11"/>
      <c r="AK1939" s="10">
        <f t="shared" si="185"/>
        <v>0</v>
      </c>
      <c r="AL1939" s="10">
        <f t="shared" si="186"/>
        <v>5320</v>
      </c>
      <c r="AM1939" s="10">
        <f t="shared" si="187"/>
        <v>0</v>
      </c>
      <c r="AN1939" s="11">
        <f t="shared" si="188"/>
        <v>0</v>
      </c>
      <c r="AO1939" s="10"/>
      <c r="AP1939" s="10"/>
      <c r="AQ1939" s="10"/>
      <c r="AR1939" s="10"/>
      <c r="AS1939" s="10"/>
      <c r="AT1939" t="s">
        <v>558</v>
      </c>
    </row>
    <row r="1940" ht="15.75" customHeight="1" spans="1:46">
      <c r="A1940" s="10" t="s">
        <v>3074</v>
      </c>
      <c r="B1940" s="10" t="s">
        <v>79</v>
      </c>
      <c r="C1940" s="10" t="s">
        <v>1499</v>
      </c>
      <c r="D1940" s="10" t="s">
        <v>2923</v>
      </c>
      <c r="E1940" s="10" t="s">
        <v>1798</v>
      </c>
      <c r="F1940" s="10" t="s">
        <v>3075</v>
      </c>
      <c r="G1940" s="10"/>
      <c r="H1940" s="10" t="s">
        <v>2925</v>
      </c>
      <c r="I1940" s="10" t="s">
        <v>2938</v>
      </c>
      <c r="J1940" s="10" t="s">
        <v>124</v>
      </c>
      <c r="K1940" s="10" t="s">
        <v>3086</v>
      </c>
      <c r="L1940" s="10"/>
      <c r="M1940" s="10"/>
      <c r="N1940" s="10"/>
      <c r="O1940" s="10"/>
      <c r="P1940" s="10"/>
      <c r="Q1940" s="10" t="s">
        <v>57</v>
      </c>
      <c r="R1940" s="10" t="s">
        <v>3076</v>
      </c>
      <c r="S1940" s="10"/>
      <c r="T1940" s="10"/>
      <c r="U1940" s="10"/>
      <c r="V1940" s="10"/>
      <c r="W1940" s="10"/>
      <c r="X1940" s="10"/>
      <c r="Y1940" s="10" t="s">
        <v>3087</v>
      </c>
      <c r="Z1940" s="10"/>
      <c r="AA1940" s="10"/>
      <c r="AB1940" s="10"/>
      <c r="AC1940" s="10"/>
      <c r="AD1940" s="10"/>
      <c r="AE1940" s="10">
        <v>5320</v>
      </c>
      <c r="AF1940" s="11"/>
      <c r="AG1940" s="10">
        <f t="shared" si="189"/>
        <v>5320</v>
      </c>
      <c r="AH1940" s="11"/>
      <c r="AI1940" s="10">
        <f t="shared" si="184"/>
        <v>5320</v>
      </c>
      <c r="AJ1940" s="11"/>
      <c r="AK1940" s="10">
        <f t="shared" si="185"/>
        <v>0</v>
      </c>
      <c r="AL1940" s="10">
        <f t="shared" si="186"/>
        <v>5320</v>
      </c>
      <c r="AM1940" s="10">
        <f t="shared" si="187"/>
        <v>0</v>
      </c>
      <c r="AN1940" s="11">
        <f t="shared" si="188"/>
        <v>0</v>
      </c>
      <c r="AO1940" s="10"/>
      <c r="AP1940" s="10"/>
      <c r="AQ1940" s="10"/>
      <c r="AR1940" s="10"/>
      <c r="AS1940" s="10"/>
      <c r="AT1940" t="s">
        <v>558</v>
      </c>
    </row>
    <row r="1941" ht="15.75" customHeight="1" spans="1:46">
      <c r="A1941" s="10" t="s">
        <v>3074</v>
      </c>
      <c r="B1941" s="10" t="s">
        <v>83</v>
      </c>
      <c r="C1941" s="10" t="s">
        <v>1499</v>
      </c>
      <c r="D1941" s="10" t="s">
        <v>2923</v>
      </c>
      <c r="E1941" s="10" t="s">
        <v>1798</v>
      </c>
      <c r="F1941" s="10" t="s">
        <v>3075</v>
      </c>
      <c r="G1941" s="10"/>
      <c r="H1941" s="10" t="s">
        <v>2925</v>
      </c>
      <c r="I1941" s="10" t="s">
        <v>2938</v>
      </c>
      <c r="J1941" s="10" t="s">
        <v>124</v>
      </c>
      <c r="K1941" s="10" t="s">
        <v>3088</v>
      </c>
      <c r="L1941" s="10"/>
      <c r="M1941" s="10"/>
      <c r="N1941" s="10"/>
      <c r="O1941" s="10"/>
      <c r="P1941" s="10"/>
      <c r="Q1941" s="10" t="s">
        <v>57</v>
      </c>
      <c r="R1941" s="10" t="s">
        <v>3076</v>
      </c>
      <c r="S1941" s="10"/>
      <c r="T1941" s="10"/>
      <c r="U1941" s="10"/>
      <c r="V1941" s="10"/>
      <c r="W1941" s="10"/>
      <c r="X1941" s="10"/>
      <c r="Y1941" s="10" t="s">
        <v>3089</v>
      </c>
      <c r="Z1941" s="10"/>
      <c r="AA1941" s="10"/>
      <c r="AB1941" s="10"/>
      <c r="AC1941" s="10"/>
      <c r="AD1941" s="10"/>
      <c r="AE1941" s="10">
        <v>5320</v>
      </c>
      <c r="AF1941" s="11"/>
      <c r="AG1941" s="10">
        <f t="shared" si="189"/>
        <v>5320</v>
      </c>
      <c r="AH1941" s="11"/>
      <c r="AI1941" s="10">
        <f t="shared" si="184"/>
        <v>5320</v>
      </c>
      <c r="AJ1941" s="11"/>
      <c r="AK1941" s="10">
        <f t="shared" si="185"/>
        <v>0</v>
      </c>
      <c r="AL1941" s="10">
        <f t="shared" si="186"/>
        <v>5320</v>
      </c>
      <c r="AM1941" s="10">
        <f t="shared" si="187"/>
        <v>0</v>
      </c>
      <c r="AN1941" s="11">
        <f t="shared" si="188"/>
        <v>0</v>
      </c>
      <c r="AO1941" s="10"/>
      <c r="AP1941" s="10"/>
      <c r="AQ1941" s="10"/>
      <c r="AR1941" s="10"/>
      <c r="AS1941" s="10"/>
      <c r="AT1941" t="s">
        <v>558</v>
      </c>
    </row>
    <row r="1942" ht="15.75" customHeight="1" spans="1:46">
      <c r="A1942" s="10" t="s">
        <v>3074</v>
      </c>
      <c r="B1942" s="10" t="s">
        <v>131</v>
      </c>
      <c r="C1942" s="10" t="s">
        <v>1499</v>
      </c>
      <c r="D1942" s="10" t="s">
        <v>2923</v>
      </c>
      <c r="E1942" s="10" t="s">
        <v>1798</v>
      </c>
      <c r="F1942" s="10" t="s">
        <v>3075</v>
      </c>
      <c r="G1942" s="10"/>
      <c r="H1942" s="10" t="s">
        <v>2925</v>
      </c>
      <c r="I1942" s="10" t="s">
        <v>2938</v>
      </c>
      <c r="J1942" s="10" t="s">
        <v>124</v>
      </c>
      <c r="K1942" s="10" t="s">
        <v>3090</v>
      </c>
      <c r="L1942" s="10"/>
      <c r="M1942" s="10"/>
      <c r="N1942" s="10"/>
      <c r="O1942" s="10"/>
      <c r="P1942" s="10"/>
      <c r="Q1942" s="10" t="s">
        <v>57</v>
      </c>
      <c r="R1942" s="10" t="s">
        <v>3091</v>
      </c>
      <c r="S1942" s="10"/>
      <c r="T1942" s="10"/>
      <c r="U1942" s="10"/>
      <c r="V1942" s="10"/>
      <c r="W1942" s="10"/>
      <c r="X1942" s="10"/>
      <c r="Y1942" s="10" t="s">
        <v>3092</v>
      </c>
      <c r="Z1942" s="10"/>
      <c r="AA1942" s="10"/>
      <c r="AB1942" s="10"/>
      <c r="AC1942" s="10"/>
      <c r="AD1942" s="10"/>
      <c r="AE1942" s="10">
        <v>5320</v>
      </c>
      <c r="AF1942" s="11"/>
      <c r="AG1942" s="10">
        <f t="shared" si="189"/>
        <v>5320</v>
      </c>
      <c r="AH1942" s="11"/>
      <c r="AI1942" s="10">
        <f t="shared" si="184"/>
        <v>5320</v>
      </c>
      <c r="AJ1942" s="11"/>
      <c r="AK1942" s="10">
        <f t="shared" si="185"/>
        <v>0</v>
      </c>
      <c r="AL1942" s="10">
        <f t="shared" si="186"/>
        <v>5320</v>
      </c>
      <c r="AM1942" s="10">
        <f t="shared" si="187"/>
        <v>0</v>
      </c>
      <c r="AN1942" s="11">
        <f t="shared" si="188"/>
        <v>0</v>
      </c>
      <c r="AO1942" s="10"/>
      <c r="AP1942" s="10"/>
      <c r="AQ1942" s="10"/>
      <c r="AR1942" s="10"/>
      <c r="AS1942" s="10"/>
      <c r="AT1942" t="s">
        <v>558</v>
      </c>
    </row>
    <row r="1943" ht="15.75" customHeight="1" spans="1:46">
      <c r="A1943" s="10" t="s">
        <v>3074</v>
      </c>
      <c r="B1943" s="10" t="s">
        <v>133</v>
      </c>
      <c r="C1943" s="10" t="s">
        <v>1499</v>
      </c>
      <c r="D1943" s="10" t="s">
        <v>2923</v>
      </c>
      <c r="E1943" s="10" t="s">
        <v>1798</v>
      </c>
      <c r="F1943" s="10" t="s">
        <v>3075</v>
      </c>
      <c r="G1943" s="10"/>
      <c r="H1943" s="10" t="s">
        <v>2925</v>
      </c>
      <c r="I1943" s="10" t="s">
        <v>2938</v>
      </c>
      <c r="J1943" s="10" t="s">
        <v>124</v>
      </c>
      <c r="K1943" s="10" t="s">
        <v>3048</v>
      </c>
      <c r="L1943" s="10"/>
      <c r="M1943" s="10"/>
      <c r="N1943" s="10"/>
      <c r="O1943" s="10"/>
      <c r="P1943" s="10"/>
      <c r="Q1943" s="10" t="s">
        <v>57</v>
      </c>
      <c r="R1943" s="10" t="s">
        <v>3093</v>
      </c>
      <c r="S1943" s="10"/>
      <c r="T1943" s="10"/>
      <c r="U1943" s="10"/>
      <c r="V1943" s="10"/>
      <c r="W1943" s="10"/>
      <c r="X1943" s="10"/>
      <c r="Y1943" s="10" t="s">
        <v>3094</v>
      </c>
      <c r="Z1943" s="10"/>
      <c r="AA1943" s="10"/>
      <c r="AB1943" s="10"/>
      <c r="AC1943" s="10"/>
      <c r="AD1943" s="10"/>
      <c r="AE1943" s="10">
        <v>5320</v>
      </c>
      <c r="AF1943" s="11"/>
      <c r="AG1943" s="10">
        <f t="shared" si="189"/>
        <v>5320</v>
      </c>
      <c r="AH1943" s="11"/>
      <c r="AI1943" s="10">
        <f t="shared" si="184"/>
        <v>5320</v>
      </c>
      <c r="AJ1943" s="11"/>
      <c r="AK1943" s="10">
        <f t="shared" si="185"/>
        <v>0</v>
      </c>
      <c r="AL1943" s="10">
        <f t="shared" si="186"/>
        <v>5320</v>
      </c>
      <c r="AM1943" s="10">
        <f t="shared" si="187"/>
        <v>0</v>
      </c>
      <c r="AN1943" s="11">
        <f t="shared" si="188"/>
        <v>0</v>
      </c>
      <c r="AO1943" s="10"/>
      <c r="AP1943" s="10"/>
      <c r="AQ1943" s="10"/>
      <c r="AR1943" s="10"/>
      <c r="AS1943" s="10"/>
      <c r="AT1943" t="s">
        <v>558</v>
      </c>
    </row>
    <row r="1944" ht="15.75" customHeight="1" spans="1:46">
      <c r="A1944" s="10" t="s">
        <v>3074</v>
      </c>
      <c r="B1944" s="10" t="s">
        <v>135</v>
      </c>
      <c r="C1944" s="10" t="s">
        <v>1499</v>
      </c>
      <c r="D1944" s="10" t="s">
        <v>2923</v>
      </c>
      <c r="E1944" s="10" t="s">
        <v>1798</v>
      </c>
      <c r="F1944" s="10" t="s">
        <v>3075</v>
      </c>
      <c r="G1944" s="10"/>
      <c r="H1944" s="10" t="s">
        <v>2925</v>
      </c>
      <c r="I1944" s="10" t="s">
        <v>2938</v>
      </c>
      <c r="J1944" s="10" t="s">
        <v>124</v>
      </c>
      <c r="K1944" s="10" t="s">
        <v>2928</v>
      </c>
      <c r="L1944" s="10"/>
      <c r="M1944" s="10"/>
      <c r="N1944" s="10"/>
      <c r="O1944" s="10"/>
      <c r="P1944" s="10"/>
      <c r="Q1944" s="10" t="s">
        <v>57</v>
      </c>
      <c r="R1944" s="10" t="s">
        <v>3076</v>
      </c>
      <c r="S1944" s="10"/>
      <c r="T1944" s="10"/>
      <c r="U1944" s="10"/>
      <c r="V1944" s="10"/>
      <c r="W1944" s="10"/>
      <c r="X1944" s="10"/>
      <c r="Y1944" s="10" t="s">
        <v>3095</v>
      </c>
      <c r="Z1944" s="10"/>
      <c r="AA1944" s="10"/>
      <c r="AB1944" s="10"/>
      <c r="AC1944" s="10"/>
      <c r="AD1944" s="10"/>
      <c r="AE1944" s="10">
        <v>5320</v>
      </c>
      <c r="AF1944" s="11"/>
      <c r="AG1944" s="10">
        <f t="shared" si="189"/>
        <v>5320</v>
      </c>
      <c r="AH1944" s="11"/>
      <c r="AI1944" s="10">
        <f t="shared" si="184"/>
        <v>5320</v>
      </c>
      <c r="AJ1944" s="11"/>
      <c r="AK1944" s="10">
        <f t="shared" si="185"/>
        <v>0</v>
      </c>
      <c r="AL1944" s="10">
        <f t="shared" si="186"/>
        <v>5320</v>
      </c>
      <c r="AM1944" s="10">
        <f t="shared" si="187"/>
        <v>0</v>
      </c>
      <c r="AN1944" s="11">
        <f t="shared" si="188"/>
        <v>0</v>
      </c>
      <c r="AO1944" s="10"/>
      <c r="AP1944" s="10"/>
      <c r="AQ1944" s="10"/>
      <c r="AR1944" s="10"/>
      <c r="AS1944" s="10"/>
      <c r="AT1944" t="s">
        <v>558</v>
      </c>
    </row>
    <row r="1945" ht="15.75" customHeight="1" spans="1:46">
      <c r="A1945" s="15" t="s">
        <v>3096</v>
      </c>
      <c r="B1945" s="15" t="s">
        <v>46</v>
      </c>
      <c r="C1945" s="15" t="s">
        <v>1499</v>
      </c>
      <c r="D1945" s="15" t="s">
        <v>2923</v>
      </c>
      <c r="E1945" s="15" t="s">
        <v>3097</v>
      </c>
      <c r="F1945" s="15" t="s">
        <v>3098</v>
      </c>
      <c r="G1945" s="15"/>
      <c r="H1945" s="15" t="s">
        <v>2925</v>
      </c>
      <c r="I1945" s="15" t="s">
        <v>2938</v>
      </c>
      <c r="J1945" s="15" t="s">
        <v>124</v>
      </c>
      <c r="K1945" s="15" t="s">
        <v>3099</v>
      </c>
      <c r="L1945" s="15"/>
      <c r="M1945" s="15"/>
      <c r="N1945" s="15"/>
      <c r="O1945" s="15"/>
      <c r="P1945" s="15"/>
      <c r="Q1945" s="15" t="s">
        <v>57</v>
      </c>
      <c r="R1945" s="15" t="s">
        <v>3100</v>
      </c>
      <c r="S1945" s="15"/>
      <c r="T1945" s="15"/>
      <c r="U1945" s="15"/>
      <c r="V1945" s="15"/>
      <c r="W1945" s="15"/>
      <c r="X1945" s="15"/>
      <c r="Y1945" s="15" t="s">
        <v>3101</v>
      </c>
      <c r="Z1945" s="15"/>
      <c r="AA1945" s="15"/>
      <c r="AB1945" s="15"/>
      <c r="AC1945" s="15"/>
      <c r="AD1945" s="15"/>
      <c r="AE1945" s="15">
        <v>5660</v>
      </c>
      <c r="AF1945" s="16"/>
      <c r="AG1945" s="15">
        <f t="shared" si="189"/>
        <v>5660</v>
      </c>
      <c r="AH1945" s="16"/>
      <c r="AI1945" s="15">
        <f t="shared" si="184"/>
        <v>5660</v>
      </c>
      <c r="AJ1945" s="16"/>
      <c r="AK1945" s="15">
        <f t="shared" si="185"/>
        <v>0</v>
      </c>
      <c r="AL1945" s="15">
        <f t="shared" si="186"/>
        <v>5660</v>
      </c>
      <c r="AM1945" s="15">
        <f t="shared" si="187"/>
        <v>0</v>
      </c>
      <c r="AN1945" s="16">
        <f t="shared" si="188"/>
        <v>0</v>
      </c>
      <c r="AO1945" s="15"/>
      <c r="AP1945" s="15"/>
      <c r="AQ1945" s="15"/>
      <c r="AR1945" s="15"/>
      <c r="AS1945" s="15"/>
      <c r="AT1945" t="s">
        <v>869</v>
      </c>
    </row>
    <row r="1946" ht="15.75" customHeight="1" spans="1:46">
      <c r="A1946" s="15" t="s">
        <v>3096</v>
      </c>
      <c r="B1946" s="15" t="s">
        <v>67</v>
      </c>
      <c r="C1946" s="15" t="s">
        <v>1499</v>
      </c>
      <c r="D1946" s="15" t="s">
        <v>2923</v>
      </c>
      <c r="E1946" s="15" t="s">
        <v>3097</v>
      </c>
      <c r="F1946" s="15" t="s">
        <v>3098</v>
      </c>
      <c r="G1946" s="15"/>
      <c r="H1946" s="15" t="s">
        <v>2925</v>
      </c>
      <c r="I1946" s="15" t="s">
        <v>2938</v>
      </c>
      <c r="J1946" s="15" t="s">
        <v>124</v>
      </c>
      <c r="K1946" s="15" t="s">
        <v>3102</v>
      </c>
      <c r="L1946" s="15"/>
      <c r="M1946" s="15"/>
      <c r="N1946" s="15"/>
      <c r="O1946" s="15"/>
      <c r="P1946" s="15"/>
      <c r="Q1946" s="15" t="s">
        <v>57</v>
      </c>
      <c r="R1946" s="15" t="s">
        <v>3100</v>
      </c>
      <c r="S1946" s="15"/>
      <c r="T1946" s="15"/>
      <c r="U1946" s="15"/>
      <c r="V1946" s="15"/>
      <c r="W1946" s="15"/>
      <c r="X1946" s="15"/>
      <c r="Y1946" s="15" t="s">
        <v>3103</v>
      </c>
      <c r="Z1946" s="15"/>
      <c r="AA1946" s="15"/>
      <c r="AB1946" s="15"/>
      <c r="AC1946" s="15"/>
      <c r="AD1946" s="15"/>
      <c r="AE1946" s="15">
        <v>5660</v>
      </c>
      <c r="AF1946" s="16"/>
      <c r="AG1946" s="15">
        <f t="shared" si="189"/>
        <v>5660</v>
      </c>
      <c r="AH1946" s="16"/>
      <c r="AI1946" s="15">
        <f t="shared" si="184"/>
        <v>5660</v>
      </c>
      <c r="AJ1946" s="16"/>
      <c r="AK1946" s="15">
        <f t="shared" si="185"/>
        <v>0</v>
      </c>
      <c r="AL1946" s="15">
        <f t="shared" si="186"/>
        <v>5660</v>
      </c>
      <c r="AM1946" s="15">
        <f t="shared" si="187"/>
        <v>0</v>
      </c>
      <c r="AN1946" s="16">
        <f t="shared" si="188"/>
        <v>0</v>
      </c>
      <c r="AO1946" s="15"/>
      <c r="AP1946" s="15"/>
      <c r="AQ1946" s="15"/>
      <c r="AR1946" s="15"/>
      <c r="AS1946" s="15"/>
      <c r="AT1946" t="s">
        <v>869</v>
      </c>
    </row>
    <row r="1947" ht="15.75" customHeight="1" spans="1:46">
      <c r="A1947" s="15" t="s">
        <v>3096</v>
      </c>
      <c r="B1947" s="15" t="s">
        <v>71</v>
      </c>
      <c r="C1947" s="15" t="s">
        <v>1499</v>
      </c>
      <c r="D1947" s="15" t="s">
        <v>2923</v>
      </c>
      <c r="E1947" s="15" t="s">
        <v>3097</v>
      </c>
      <c r="F1947" s="15" t="s">
        <v>3098</v>
      </c>
      <c r="G1947" s="15"/>
      <c r="H1947" s="15" t="s">
        <v>2925</v>
      </c>
      <c r="I1947" s="15" t="s">
        <v>2938</v>
      </c>
      <c r="J1947" s="15" t="s">
        <v>124</v>
      </c>
      <c r="K1947" s="15" t="s">
        <v>3104</v>
      </c>
      <c r="L1947" s="15"/>
      <c r="M1947" s="15"/>
      <c r="N1947" s="15"/>
      <c r="O1947" s="15"/>
      <c r="P1947" s="15"/>
      <c r="Q1947" s="15" t="s">
        <v>57</v>
      </c>
      <c r="R1947" s="15" t="s">
        <v>3100</v>
      </c>
      <c r="S1947" s="15"/>
      <c r="T1947" s="15"/>
      <c r="U1947" s="15"/>
      <c r="V1947" s="15"/>
      <c r="W1947" s="15"/>
      <c r="X1947" s="15"/>
      <c r="Y1947" s="15" t="s">
        <v>3105</v>
      </c>
      <c r="Z1947" s="15"/>
      <c r="AA1947" s="15"/>
      <c r="AB1947" s="15"/>
      <c r="AC1947" s="15"/>
      <c r="AD1947" s="15"/>
      <c r="AE1947" s="15">
        <v>5660</v>
      </c>
      <c r="AF1947" s="16"/>
      <c r="AG1947" s="15">
        <f t="shared" si="189"/>
        <v>5660</v>
      </c>
      <c r="AH1947" s="16"/>
      <c r="AI1947" s="15">
        <f t="shared" si="184"/>
        <v>5660</v>
      </c>
      <c r="AJ1947" s="16"/>
      <c r="AK1947" s="15">
        <f t="shared" si="185"/>
        <v>0</v>
      </c>
      <c r="AL1947" s="15">
        <f t="shared" si="186"/>
        <v>5660</v>
      </c>
      <c r="AM1947" s="15">
        <f t="shared" si="187"/>
        <v>0</v>
      </c>
      <c r="AN1947" s="16">
        <f t="shared" si="188"/>
        <v>0</v>
      </c>
      <c r="AO1947" s="15"/>
      <c r="AP1947" s="15"/>
      <c r="AQ1947" s="15"/>
      <c r="AR1947" s="15"/>
      <c r="AS1947" s="15"/>
      <c r="AT1947" t="s">
        <v>869</v>
      </c>
    </row>
    <row r="1948" ht="15.75" customHeight="1" spans="1:46">
      <c r="A1948" s="15" t="s">
        <v>3096</v>
      </c>
      <c r="B1948" s="15" t="s">
        <v>75</v>
      </c>
      <c r="C1948" s="15" t="s">
        <v>1499</v>
      </c>
      <c r="D1948" s="15" t="s">
        <v>2923</v>
      </c>
      <c r="E1948" s="15" t="s">
        <v>3097</v>
      </c>
      <c r="F1948" s="15" t="s">
        <v>3098</v>
      </c>
      <c r="G1948" s="15"/>
      <c r="H1948" s="15" t="s">
        <v>2925</v>
      </c>
      <c r="I1948" s="15" t="s">
        <v>2938</v>
      </c>
      <c r="J1948" s="15" t="s">
        <v>124</v>
      </c>
      <c r="K1948" s="15" t="s">
        <v>3106</v>
      </c>
      <c r="L1948" s="15"/>
      <c r="M1948" s="15"/>
      <c r="N1948" s="15"/>
      <c r="O1948" s="15"/>
      <c r="P1948" s="15"/>
      <c r="Q1948" s="15" t="s">
        <v>57</v>
      </c>
      <c r="R1948" s="15" t="s">
        <v>3100</v>
      </c>
      <c r="S1948" s="15"/>
      <c r="T1948" s="15"/>
      <c r="U1948" s="15"/>
      <c r="V1948" s="15"/>
      <c r="W1948" s="15"/>
      <c r="X1948" s="15"/>
      <c r="Y1948" s="15" t="s">
        <v>3107</v>
      </c>
      <c r="Z1948" s="15"/>
      <c r="AA1948" s="15"/>
      <c r="AB1948" s="15"/>
      <c r="AC1948" s="15"/>
      <c r="AD1948" s="15"/>
      <c r="AE1948" s="15">
        <v>5660</v>
      </c>
      <c r="AF1948" s="16"/>
      <c r="AG1948" s="15">
        <f t="shared" si="189"/>
        <v>5660</v>
      </c>
      <c r="AH1948" s="16"/>
      <c r="AI1948" s="15">
        <f t="shared" si="184"/>
        <v>5660</v>
      </c>
      <c r="AJ1948" s="16"/>
      <c r="AK1948" s="15">
        <f t="shared" si="185"/>
        <v>0</v>
      </c>
      <c r="AL1948" s="15">
        <f t="shared" si="186"/>
        <v>5660</v>
      </c>
      <c r="AM1948" s="15">
        <f t="shared" si="187"/>
        <v>0</v>
      </c>
      <c r="AN1948" s="16">
        <f t="shared" si="188"/>
        <v>0</v>
      </c>
      <c r="AO1948" s="15"/>
      <c r="AP1948" s="15"/>
      <c r="AQ1948" s="15"/>
      <c r="AR1948" s="15"/>
      <c r="AS1948" s="15"/>
      <c r="AT1948" t="s">
        <v>869</v>
      </c>
    </row>
    <row r="1949" ht="15.75" customHeight="1" spans="1:46">
      <c r="A1949" s="15" t="s">
        <v>3096</v>
      </c>
      <c r="B1949" s="15" t="s">
        <v>79</v>
      </c>
      <c r="C1949" s="15" t="s">
        <v>1499</v>
      </c>
      <c r="D1949" s="15" t="s">
        <v>2923</v>
      </c>
      <c r="E1949" s="15" t="s">
        <v>3097</v>
      </c>
      <c r="F1949" s="15" t="s">
        <v>3098</v>
      </c>
      <c r="G1949" s="15"/>
      <c r="H1949" s="15" t="s">
        <v>2925</v>
      </c>
      <c r="I1949" s="15" t="s">
        <v>2938</v>
      </c>
      <c r="J1949" s="15" t="s">
        <v>124</v>
      </c>
      <c r="K1949" s="15" t="s">
        <v>3108</v>
      </c>
      <c r="L1949" s="15"/>
      <c r="M1949" s="15"/>
      <c r="N1949" s="15"/>
      <c r="O1949" s="15"/>
      <c r="P1949" s="15"/>
      <c r="Q1949" s="15" t="s">
        <v>57</v>
      </c>
      <c r="R1949" s="15" t="s">
        <v>3100</v>
      </c>
      <c r="S1949" s="15"/>
      <c r="T1949" s="15"/>
      <c r="U1949" s="15"/>
      <c r="V1949" s="15"/>
      <c r="W1949" s="15"/>
      <c r="X1949" s="15"/>
      <c r="Y1949" s="15" t="s">
        <v>3109</v>
      </c>
      <c r="Z1949" s="15"/>
      <c r="AA1949" s="15"/>
      <c r="AB1949" s="15"/>
      <c r="AC1949" s="15"/>
      <c r="AD1949" s="15"/>
      <c r="AE1949" s="15">
        <v>5660</v>
      </c>
      <c r="AF1949" s="16"/>
      <c r="AG1949" s="15">
        <f t="shared" si="189"/>
        <v>5660</v>
      </c>
      <c r="AH1949" s="16"/>
      <c r="AI1949" s="15">
        <f t="shared" si="184"/>
        <v>5660</v>
      </c>
      <c r="AJ1949" s="16"/>
      <c r="AK1949" s="15">
        <f t="shared" si="185"/>
        <v>0</v>
      </c>
      <c r="AL1949" s="15">
        <f t="shared" si="186"/>
        <v>5660</v>
      </c>
      <c r="AM1949" s="15">
        <f t="shared" si="187"/>
        <v>0</v>
      </c>
      <c r="AN1949" s="16">
        <f t="shared" si="188"/>
        <v>0</v>
      </c>
      <c r="AO1949" s="15"/>
      <c r="AP1949" s="15"/>
      <c r="AQ1949" s="15"/>
      <c r="AR1949" s="15"/>
      <c r="AS1949" s="15"/>
      <c r="AT1949" t="s">
        <v>869</v>
      </c>
    </row>
    <row r="1950" ht="15.75" customHeight="1" spans="1:46">
      <c r="A1950" s="15" t="s">
        <v>3096</v>
      </c>
      <c r="B1950" s="15" t="s">
        <v>83</v>
      </c>
      <c r="C1950" s="15" t="s">
        <v>1499</v>
      </c>
      <c r="D1950" s="15" t="s">
        <v>2923</v>
      </c>
      <c r="E1950" s="15" t="s">
        <v>3097</v>
      </c>
      <c r="F1950" s="15" t="s">
        <v>3098</v>
      </c>
      <c r="G1950" s="15"/>
      <c r="H1950" s="15" t="s">
        <v>2925</v>
      </c>
      <c r="I1950" s="15" t="s">
        <v>2938</v>
      </c>
      <c r="J1950" s="15" t="s">
        <v>124</v>
      </c>
      <c r="K1950" s="15" t="s">
        <v>3110</v>
      </c>
      <c r="L1950" s="15"/>
      <c r="M1950" s="15"/>
      <c r="N1950" s="15"/>
      <c r="O1950" s="15"/>
      <c r="P1950" s="15"/>
      <c r="Q1950" s="15" t="s">
        <v>57</v>
      </c>
      <c r="R1950" s="15" t="s">
        <v>3100</v>
      </c>
      <c r="S1950" s="15"/>
      <c r="T1950" s="15"/>
      <c r="U1950" s="15"/>
      <c r="V1950" s="15"/>
      <c r="W1950" s="15"/>
      <c r="X1950" s="15"/>
      <c r="Y1950" s="15" t="s">
        <v>3111</v>
      </c>
      <c r="Z1950" s="15"/>
      <c r="AA1950" s="15"/>
      <c r="AB1950" s="15"/>
      <c r="AC1950" s="15"/>
      <c r="AD1950" s="15"/>
      <c r="AE1950" s="15">
        <v>5660</v>
      </c>
      <c r="AF1950" s="16"/>
      <c r="AG1950" s="15">
        <f t="shared" si="189"/>
        <v>5660</v>
      </c>
      <c r="AH1950" s="16"/>
      <c r="AI1950" s="15">
        <f t="shared" si="184"/>
        <v>5660</v>
      </c>
      <c r="AJ1950" s="16"/>
      <c r="AK1950" s="15">
        <f t="shared" si="185"/>
        <v>0</v>
      </c>
      <c r="AL1950" s="15">
        <f t="shared" si="186"/>
        <v>5660</v>
      </c>
      <c r="AM1950" s="15">
        <f t="shared" si="187"/>
        <v>0</v>
      </c>
      <c r="AN1950" s="16">
        <f t="shared" si="188"/>
        <v>0</v>
      </c>
      <c r="AO1950" s="15"/>
      <c r="AP1950" s="15"/>
      <c r="AQ1950" s="15"/>
      <c r="AR1950" s="15"/>
      <c r="AS1950" s="15"/>
      <c r="AT1950" t="s">
        <v>869</v>
      </c>
    </row>
    <row r="1951" ht="15.75" customHeight="1" spans="1:46">
      <c r="A1951" s="15" t="s">
        <v>3096</v>
      </c>
      <c r="B1951" s="15" t="s">
        <v>131</v>
      </c>
      <c r="C1951" s="15" t="s">
        <v>1499</v>
      </c>
      <c r="D1951" s="15" t="s">
        <v>2923</v>
      </c>
      <c r="E1951" s="15" t="s">
        <v>3097</v>
      </c>
      <c r="F1951" s="15" t="s">
        <v>3098</v>
      </c>
      <c r="G1951" s="15"/>
      <c r="H1951" s="15" t="s">
        <v>2925</v>
      </c>
      <c r="I1951" s="15" t="s">
        <v>2938</v>
      </c>
      <c r="J1951" s="15" t="s">
        <v>124</v>
      </c>
      <c r="K1951" s="15" t="s">
        <v>3112</v>
      </c>
      <c r="L1951" s="15"/>
      <c r="M1951" s="15"/>
      <c r="N1951" s="15"/>
      <c r="O1951" s="15"/>
      <c r="P1951" s="15"/>
      <c r="Q1951" s="15" t="s">
        <v>57</v>
      </c>
      <c r="R1951" s="15" t="s">
        <v>3100</v>
      </c>
      <c r="S1951" s="15"/>
      <c r="T1951" s="15"/>
      <c r="U1951" s="15"/>
      <c r="V1951" s="15"/>
      <c r="W1951" s="15"/>
      <c r="X1951" s="15"/>
      <c r="Y1951" s="15" t="s">
        <v>3113</v>
      </c>
      <c r="Z1951" s="15"/>
      <c r="AA1951" s="15"/>
      <c r="AB1951" s="15"/>
      <c r="AC1951" s="15"/>
      <c r="AD1951" s="15"/>
      <c r="AE1951" s="15">
        <v>5660</v>
      </c>
      <c r="AF1951" s="16"/>
      <c r="AG1951" s="15">
        <f t="shared" si="189"/>
        <v>5660</v>
      </c>
      <c r="AH1951" s="16"/>
      <c r="AI1951" s="15">
        <f t="shared" si="184"/>
        <v>5660</v>
      </c>
      <c r="AJ1951" s="16"/>
      <c r="AK1951" s="15">
        <f t="shared" si="185"/>
        <v>0</v>
      </c>
      <c r="AL1951" s="15">
        <f t="shared" si="186"/>
        <v>5660</v>
      </c>
      <c r="AM1951" s="15">
        <f t="shared" si="187"/>
        <v>0</v>
      </c>
      <c r="AN1951" s="16">
        <f t="shared" si="188"/>
        <v>0</v>
      </c>
      <c r="AO1951" s="15"/>
      <c r="AP1951" s="15"/>
      <c r="AQ1951" s="15"/>
      <c r="AR1951" s="15"/>
      <c r="AS1951" s="15"/>
      <c r="AT1951" t="s">
        <v>869</v>
      </c>
    </row>
    <row r="1952" ht="15.75" customHeight="1" spans="1:46">
      <c r="A1952" s="15" t="s">
        <v>3096</v>
      </c>
      <c r="B1952" s="15" t="s">
        <v>133</v>
      </c>
      <c r="C1952" s="15" t="s">
        <v>1499</v>
      </c>
      <c r="D1952" s="15" t="s">
        <v>2923</v>
      </c>
      <c r="E1952" s="15" t="s">
        <v>3097</v>
      </c>
      <c r="F1952" s="15" t="s">
        <v>3098</v>
      </c>
      <c r="G1952" s="15"/>
      <c r="H1952" s="15" t="s">
        <v>2925</v>
      </c>
      <c r="I1952" s="15" t="s">
        <v>2938</v>
      </c>
      <c r="J1952" s="15" t="s">
        <v>124</v>
      </c>
      <c r="K1952" s="15" t="s">
        <v>3114</v>
      </c>
      <c r="L1952" s="15"/>
      <c r="M1952" s="15"/>
      <c r="N1952" s="15"/>
      <c r="O1952" s="15"/>
      <c r="P1952" s="15"/>
      <c r="Q1952" s="15" t="s">
        <v>57</v>
      </c>
      <c r="R1952" s="15" t="s">
        <v>3100</v>
      </c>
      <c r="S1952" s="15"/>
      <c r="T1952" s="15"/>
      <c r="U1952" s="15"/>
      <c r="V1952" s="15"/>
      <c r="W1952" s="15"/>
      <c r="X1952" s="15"/>
      <c r="Y1952" s="15" t="s">
        <v>3115</v>
      </c>
      <c r="Z1952" s="15"/>
      <c r="AA1952" s="15"/>
      <c r="AB1952" s="15"/>
      <c r="AC1952" s="15"/>
      <c r="AD1952" s="15"/>
      <c r="AE1952" s="15">
        <v>5660</v>
      </c>
      <c r="AF1952" s="16"/>
      <c r="AG1952" s="15">
        <f t="shared" si="189"/>
        <v>5660</v>
      </c>
      <c r="AH1952" s="16"/>
      <c r="AI1952" s="15">
        <f t="shared" si="184"/>
        <v>5660</v>
      </c>
      <c r="AJ1952" s="16"/>
      <c r="AK1952" s="15">
        <f t="shared" si="185"/>
        <v>0</v>
      </c>
      <c r="AL1952" s="15">
        <f t="shared" si="186"/>
        <v>5660</v>
      </c>
      <c r="AM1952" s="15">
        <f t="shared" si="187"/>
        <v>0</v>
      </c>
      <c r="AN1952" s="16">
        <f t="shared" si="188"/>
        <v>0</v>
      </c>
      <c r="AO1952" s="15"/>
      <c r="AP1952" s="15"/>
      <c r="AQ1952" s="15"/>
      <c r="AR1952" s="15"/>
      <c r="AS1952" s="15"/>
      <c r="AT1952" t="s">
        <v>869</v>
      </c>
    </row>
    <row r="1953" ht="15.75" customHeight="1" spans="1:46">
      <c r="A1953" s="15" t="s">
        <v>3116</v>
      </c>
      <c r="B1953" s="15" t="s">
        <v>46</v>
      </c>
      <c r="C1953" s="15" t="s">
        <v>1499</v>
      </c>
      <c r="D1953" s="15" t="s">
        <v>2923</v>
      </c>
      <c r="E1953" s="15" t="s">
        <v>3097</v>
      </c>
      <c r="F1953" s="15" t="s">
        <v>3117</v>
      </c>
      <c r="G1953" s="15"/>
      <c r="H1953" s="15" t="s">
        <v>2925</v>
      </c>
      <c r="I1953" s="15" t="s">
        <v>2938</v>
      </c>
      <c r="J1953" s="15" t="s">
        <v>124</v>
      </c>
      <c r="K1953" s="15" t="s">
        <v>3104</v>
      </c>
      <c r="L1953" s="15"/>
      <c r="M1953" s="15"/>
      <c r="N1953" s="15"/>
      <c r="O1953" s="15"/>
      <c r="P1953" s="15"/>
      <c r="Q1953" s="15" t="s">
        <v>57</v>
      </c>
      <c r="R1953" s="15" t="s">
        <v>3118</v>
      </c>
      <c r="S1953" s="15"/>
      <c r="T1953" s="15"/>
      <c r="U1953" s="15"/>
      <c r="V1953" s="15"/>
      <c r="W1953" s="15"/>
      <c r="X1953" s="15"/>
      <c r="Y1953" s="15" t="s">
        <v>3119</v>
      </c>
      <c r="Z1953" s="15"/>
      <c r="AA1953" s="15"/>
      <c r="AB1953" s="15"/>
      <c r="AC1953" s="15"/>
      <c r="AD1953" s="15"/>
      <c r="AE1953" s="15">
        <v>4349</v>
      </c>
      <c r="AF1953" s="16"/>
      <c r="AG1953" s="15">
        <f t="shared" si="189"/>
        <v>4349</v>
      </c>
      <c r="AH1953" s="16"/>
      <c r="AI1953" s="15">
        <f t="shared" si="184"/>
        <v>4349</v>
      </c>
      <c r="AJ1953" s="16"/>
      <c r="AK1953" s="15">
        <f t="shared" si="185"/>
        <v>0</v>
      </c>
      <c r="AL1953" s="15">
        <f t="shared" si="186"/>
        <v>4349</v>
      </c>
      <c r="AM1953" s="15">
        <f t="shared" si="187"/>
        <v>0</v>
      </c>
      <c r="AN1953" s="16">
        <f t="shared" si="188"/>
        <v>0</v>
      </c>
      <c r="AO1953" s="15"/>
      <c r="AP1953" s="15"/>
      <c r="AQ1953" s="15"/>
      <c r="AR1953" s="15"/>
      <c r="AS1953" s="15"/>
      <c r="AT1953" t="s">
        <v>869</v>
      </c>
    </row>
    <row r="1954" ht="15.75" customHeight="1" spans="1:46">
      <c r="A1954" s="15" t="s">
        <v>3116</v>
      </c>
      <c r="B1954" s="15" t="s">
        <v>67</v>
      </c>
      <c r="C1954" s="15" t="s">
        <v>1499</v>
      </c>
      <c r="D1954" s="15" t="s">
        <v>2923</v>
      </c>
      <c r="E1954" s="15" t="s">
        <v>3097</v>
      </c>
      <c r="F1954" s="15" t="s">
        <v>3117</v>
      </c>
      <c r="G1954" s="15"/>
      <c r="H1954" s="15" t="s">
        <v>2925</v>
      </c>
      <c r="I1954" s="15" t="s">
        <v>2938</v>
      </c>
      <c r="J1954" s="15" t="s">
        <v>124</v>
      </c>
      <c r="K1954" s="15" t="s">
        <v>3106</v>
      </c>
      <c r="L1954" s="15"/>
      <c r="M1954" s="15"/>
      <c r="N1954" s="15"/>
      <c r="O1954" s="15"/>
      <c r="P1954" s="15"/>
      <c r="Q1954" s="15" t="s">
        <v>57</v>
      </c>
      <c r="R1954" s="15" t="s">
        <v>3118</v>
      </c>
      <c r="S1954" s="15"/>
      <c r="T1954" s="15"/>
      <c r="U1954" s="15"/>
      <c r="V1954" s="15"/>
      <c r="W1954" s="15"/>
      <c r="X1954" s="15"/>
      <c r="Y1954" s="15" t="s">
        <v>3120</v>
      </c>
      <c r="Z1954" s="15"/>
      <c r="AA1954" s="15"/>
      <c r="AB1954" s="15"/>
      <c r="AC1954" s="15"/>
      <c r="AD1954" s="15"/>
      <c r="AE1954" s="15">
        <v>4349</v>
      </c>
      <c r="AF1954" s="16"/>
      <c r="AG1954" s="15">
        <f t="shared" si="189"/>
        <v>4349</v>
      </c>
      <c r="AH1954" s="16"/>
      <c r="AI1954" s="15">
        <f t="shared" si="184"/>
        <v>4349</v>
      </c>
      <c r="AJ1954" s="16"/>
      <c r="AK1954" s="15">
        <f t="shared" si="185"/>
        <v>0</v>
      </c>
      <c r="AL1954" s="15">
        <f t="shared" si="186"/>
        <v>4349</v>
      </c>
      <c r="AM1954" s="15">
        <f t="shared" si="187"/>
        <v>0</v>
      </c>
      <c r="AN1954" s="16">
        <f t="shared" si="188"/>
        <v>0</v>
      </c>
      <c r="AO1954" s="15"/>
      <c r="AP1954" s="15"/>
      <c r="AQ1954" s="15"/>
      <c r="AR1954" s="15"/>
      <c r="AS1954" s="15"/>
      <c r="AT1954" t="s">
        <v>869</v>
      </c>
    </row>
    <row r="1955" ht="15.75" customHeight="1" spans="1:46">
      <c r="A1955" s="15" t="s">
        <v>3116</v>
      </c>
      <c r="B1955" s="15" t="s">
        <v>71</v>
      </c>
      <c r="C1955" s="15" t="s">
        <v>1499</v>
      </c>
      <c r="D1955" s="15" t="s">
        <v>2923</v>
      </c>
      <c r="E1955" s="15" t="s">
        <v>3097</v>
      </c>
      <c r="F1955" s="15" t="s">
        <v>3117</v>
      </c>
      <c r="G1955" s="15"/>
      <c r="H1955" s="15" t="s">
        <v>2925</v>
      </c>
      <c r="I1955" s="15" t="s">
        <v>2938</v>
      </c>
      <c r="J1955" s="15" t="s">
        <v>124</v>
      </c>
      <c r="K1955" s="15" t="s">
        <v>3110</v>
      </c>
      <c r="L1955" s="15"/>
      <c r="M1955" s="15"/>
      <c r="N1955" s="15"/>
      <c r="O1955" s="15"/>
      <c r="P1955" s="15"/>
      <c r="Q1955" s="15" t="s">
        <v>57</v>
      </c>
      <c r="R1955" s="15" t="s">
        <v>3118</v>
      </c>
      <c r="S1955" s="15"/>
      <c r="T1955" s="15"/>
      <c r="U1955" s="15"/>
      <c r="V1955" s="15"/>
      <c r="W1955" s="15"/>
      <c r="X1955" s="15"/>
      <c r="Y1955" s="15" t="s">
        <v>3121</v>
      </c>
      <c r="Z1955" s="15"/>
      <c r="AA1955" s="15"/>
      <c r="AB1955" s="15"/>
      <c r="AC1955" s="15"/>
      <c r="AD1955" s="15"/>
      <c r="AE1955" s="15">
        <v>4349</v>
      </c>
      <c r="AF1955" s="16"/>
      <c r="AG1955" s="15">
        <f t="shared" si="189"/>
        <v>4349</v>
      </c>
      <c r="AH1955" s="16"/>
      <c r="AI1955" s="15">
        <f t="shared" si="184"/>
        <v>4349</v>
      </c>
      <c r="AJ1955" s="16"/>
      <c r="AK1955" s="15">
        <f t="shared" si="185"/>
        <v>0</v>
      </c>
      <c r="AL1955" s="15">
        <f t="shared" si="186"/>
        <v>4349</v>
      </c>
      <c r="AM1955" s="15">
        <f t="shared" si="187"/>
        <v>0</v>
      </c>
      <c r="AN1955" s="16">
        <f t="shared" si="188"/>
        <v>0</v>
      </c>
      <c r="AO1955" s="15"/>
      <c r="AP1955" s="15"/>
      <c r="AQ1955" s="15"/>
      <c r="AR1955" s="15"/>
      <c r="AS1955" s="15"/>
      <c r="AT1955" t="s">
        <v>869</v>
      </c>
    </row>
    <row r="1956" ht="15.75" customHeight="1" spans="1:46">
      <c r="A1956" s="15" t="s">
        <v>3116</v>
      </c>
      <c r="B1956" s="15" t="s">
        <v>75</v>
      </c>
      <c r="C1956" s="15" t="s">
        <v>1499</v>
      </c>
      <c r="D1956" s="15" t="s">
        <v>2923</v>
      </c>
      <c r="E1956" s="15" t="s">
        <v>3097</v>
      </c>
      <c r="F1956" s="15" t="s">
        <v>3117</v>
      </c>
      <c r="G1956" s="15"/>
      <c r="H1956" s="15" t="s">
        <v>2925</v>
      </c>
      <c r="I1956" s="15" t="s">
        <v>2938</v>
      </c>
      <c r="J1956" s="15" t="s">
        <v>124</v>
      </c>
      <c r="K1956" s="15" t="s">
        <v>3122</v>
      </c>
      <c r="L1956" s="15"/>
      <c r="M1956" s="15"/>
      <c r="N1956" s="15"/>
      <c r="O1956" s="15"/>
      <c r="P1956" s="15"/>
      <c r="Q1956" s="15" t="s">
        <v>57</v>
      </c>
      <c r="R1956" s="15" t="s">
        <v>3118</v>
      </c>
      <c r="S1956" s="15"/>
      <c r="T1956" s="15"/>
      <c r="U1956" s="15"/>
      <c r="V1956" s="15"/>
      <c r="W1956" s="15"/>
      <c r="X1956" s="15"/>
      <c r="Y1956" s="15" t="s">
        <v>3123</v>
      </c>
      <c r="Z1956" s="15"/>
      <c r="AA1956" s="15"/>
      <c r="AB1956" s="15"/>
      <c r="AC1956" s="15"/>
      <c r="AD1956" s="15"/>
      <c r="AE1956" s="15">
        <v>4349</v>
      </c>
      <c r="AF1956" s="16"/>
      <c r="AG1956" s="15">
        <f t="shared" si="189"/>
        <v>4349</v>
      </c>
      <c r="AH1956" s="16"/>
      <c r="AI1956" s="15">
        <f t="shared" si="184"/>
        <v>4349</v>
      </c>
      <c r="AJ1956" s="16"/>
      <c r="AK1956" s="15">
        <f t="shared" si="185"/>
        <v>0</v>
      </c>
      <c r="AL1956" s="15">
        <f t="shared" si="186"/>
        <v>4349</v>
      </c>
      <c r="AM1956" s="15">
        <f t="shared" si="187"/>
        <v>0</v>
      </c>
      <c r="AN1956" s="16">
        <f t="shared" si="188"/>
        <v>0</v>
      </c>
      <c r="AO1956" s="15"/>
      <c r="AP1956" s="15"/>
      <c r="AQ1956" s="15"/>
      <c r="AR1956" s="15"/>
      <c r="AS1956" s="15"/>
      <c r="AT1956" t="s">
        <v>869</v>
      </c>
    </row>
    <row r="1957" ht="15.75" customHeight="1" spans="1:46">
      <c r="A1957" s="15" t="s">
        <v>3124</v>
      </c>
      <c r="B1957" s="15" t="s">
        <v>46</v>
      </c>
      <c r="C1957" s="15" t="s">
        <v>1499</v>
      </c>
      <c r="D1957" s="15" t="s">
        <v>2923</v>
      </c>
      <c r="E1957" s="15" t="s">
        <v>3097</v>
      </c>
      <c r="F1957" s="15" t="s">
        <v>3125</v>
      </c>
      <c r="G1957" s="15"/>
      <c r="H1957" s="15" t="s">
        <v>2925</v>
      </c>
      <c r="I1957" s="15" t="s">
        <v>2938</v>
      </c>
      <c r="J1957" s="15" t="s">
        <v>124</v>
      </c>
      <c r="K1957" s="15" t="s">
        <v>3104</v>
      </c>
      <c r="L1957" s="15"/>
      <c r="M1957" s="15"/>
      <c r="N1957" s="15"/>
      <c r="O1957" s="15"/>
      <c r="P1957" s="15"/>
      <c r="Q1957" s="15" t="s">
        <v>57</v>
      </c>
      <c r="R1957" s="15" t="s">
        <v>3126</v>
      </c>
      <c r="S1957" s="15"/>
      <c r="T1957" s="15"/>
      <c r="U1957" s="15"/>
      <c r="V1957" s="15"/>
      <c r="W1957" s="15"/>
      <c r="X1957" s="15"/>
      <c r="Y1957" s="15" t="s">
        <v>3127</v>
      </c>
      <c r="Z1957" s="15"/>
      <c r="AA1957" s="15"/>
      <c r="AB1957" s="15"/>
      <c r="AC1957" s="15"/>
      <c r="AD1957" s="15"/>
      <c r="AE1957" s="15">
        <v>4590</v>
      </c>
      <c r="AF1957" s="16"/>
      <c r="AG1957" s="15">
        <f t="shared" si="189"/>
        <v>4590</v>
      </c>
      <c r="AH1957" s="16"/>
      <c r="AI1957" s="15">
        <f t="shared" si="184"/>
        <v>4590</v>
      </c>
      <c r="AJ1957" s="16"/>
      <c r="AK1957" s="15">
        <f t="shared" si="185"/>
        <v>0</v>
      </c>
      <c r="AL1957" s="15">
        <f t="shared" si="186"/>
        <v>4590</v>
      </c>
      <c r="AM1957" s="15">
        <f t="shared" si="187"/>
        <v>0</v>
      </c>
      <c r="AN1957" s="16">
        <f t="shared" si="188"/>
        <v>0</v>
      </c>
      <c r="AO1957" s="15"/>
      <c r="AP1957" s="15"/>
      <c r="AQ1957" s="15"/>
      <c r="AR1957" s="15"/>
      <c r="AS1957" s="15"/>
      <c r="AT1957" t="s">
        <v>869</v>
      </c>
    </row>
    <row r="1958" ht="15.75" customHeight="1" spans="1:46">
      <c r="A1958" s="15" t="s">
        <v>3124</v>
      </c>
      <c r="B1958" s="15" t="s">
        <v>67</v>
      </c>
      <c r="C1958" s="15" t="s">
        <v>1499</v>
      </c>
      <c r="D1958" s="15" t="s">
        <v>2923</v>
      </c>
      <c r="E1958" s="15" t="s">
        <v>3097</v>
      </c>
      <c r="F1958" s="15" t="s">
        <v>3125</v>
      </c>
      <c r="G1958" s="15"/>
      <c r="H1958" s="15" t="s">
        <v>2925</v>
      </c>
      <c r="I1958" s="15" t="s">
        <v>2938</v>
      </c>
      <c r="J1958" s="15" t="s">
        <v>124</v>
      </c>
      <c r="K1958" s="15" t="s">
        <v>3106</v>
      </c>
      <c r="L1958" s="15"/>
      <c r="M1958" s="15"/>
      <c r="N1958" s="15"/>
      <c r="O1958" s="15"/>
      <c r="P1958" s="15"/>
      <c r="Q1958" s="15" t="s">
        <v>57</v>
      </c>
      <c r="R1958" s="15" t="s">
        <v>3126</v>
      </c>
      <c r="S1958" s="15"/>
      <c r="T1958" s="15"/>
      <c r="U1958" s="15"/>
      <c r="V1958" s="15"/>
      <c r="W1958" s="15"/>
      <c r="X1958" s="15"/>
      <c r="Y1958" s="15" t="s">
        <v>3128</v>
      </c>
      <c r="Z1958" s="15"/>
      <c r="AA1958" s="15"/>
      <c r="AB1958" s="15"/>
      <c r="AC1958" s="15"/>
      <c r="AD1958" s="15"/>
      <c r="AE1958" s="15">
        <v>4590</v>
      </c>
      <c r="AF1958" s="16"/>
      <c r="AG1958" s="15">
        <f t="shared" si="189"/>
        <v>4590</v>
      </c>
      <c r="AH1958" s="16"/>
      <c r="AI1958" s="15">
        <f t="shared" si="184"/>
        <v>4590</v>
      </c>
      <c r="AJ1958" s="16"/>
      <c r="AK1958" s="15">
        <f t="shared" si="185"/>
        <v>0</v>
      </c>
      <c r="AL1958" s="15">
        <f t="shared" si="186"/>
        <v>4590</v>
      </c>
      <c r="AM1958" s="15">
        <f t="shared" si="187"/>
        <v>0</v>
      </c>
      <c r="AN1958" s="16">
        <f t="shared" si="188"/>
        <v>0</v>
      </c>
      <c r="AO1958" s="15"/>
      <c r="AP1958" s="15"/>
      <c r="AQ1958" s="15"/>
      <c r="AR1958" s="15"/>
      <c r="AS1958" s="15"/>
      <c r="AT1958" t="s">
        <v>869</v>
      </c>
    </row>
    <row r="1959" ht="15.75" customHeight="1" spans="1:46">
      <c r="A1959" s="15" t="s">
        <v>3124</v>
      </c>
      <c r="B1959" s="15" t="s">
        <v>71</v>
      </c>
      <c r="C1959" s="15" t="s">
        <v>1499</v>
      </c>
      <c r="D1959" s="15" t="s">
        <v>2923</v>
      </c>
      <c r="E1959" s="15" t="s">
        <v>3097</v>
      </c>
      <c r="F1959" s="15" t="s">
        <v>3125</v>
      </c>
      <c r="G1959" s="15"/>
      <c r="H1959" s="15" t="s">
        <v>2925</v>
      </c>
      <c r="I1959" s="15" t="s">
        <v>2938</v>
      </c>
      <c r="J1959" s="15" t="s">
        <v>124</v>
      </c>
      <c r="K1959" s="15" t="s">
        <v>3110</v>
      </c>
      <c r="L1959" s="15"/>
      <c r="M1959" s="15"/>
      <c r="N1959" s="15"/>
      <c r="O1959" s="15"/>
      <c r="P1959" s="15"/>
      <c r="Q1959" s="15" t="s">
        <v>57</v>
      </c>
      <c r="R1959" s="15" t="s">
        <v>3126</v>
      </c>
      <c r="S1959" s="15"/>
      <c r="T1959" s="15"/>
      <c r="U1959" s="15"/>
      <c r="V1959" s="15"/>
      <c r="W1959" s="15"/>
      <c r="X1959" s="15"/>
      <c r="Y1959" s="15" t="s">
        <v>3129</v>
      </c>
      <c r="Z1959" s="15"/>
      <c r="AA1959" s="15"/>
      <c r="AB1959" s="15"/>
      <c r="AC1959" s="15"/>
      <c r="AD1959" s="15"/>
      <c r="AE1959" s="15">
        <v>4590</v>
      </c>
      <c r="AF1959" s="16"/>
      <c r="AG1959" s="15">
        <f t="shared" si="189"/>
        <v>4590</v>
      </c>
      <c r="AH1959" s="16"/>
      <c r="AI1959" s="15">
        <f t="shared" si="184"/>
        <v>4590</v>
      </c>
      <c r="AJ1959" s="16"/>
      <c r="AK1959" s="15">
        <f t="shared" si="185"/>
        <v>0</v>
      </c>
      <c r="AL1959" s="15">
        <f t="shared" si="186"/>
        <v>4590</v>
      </c>
      <c r="AM1959" s="15">
        <f t="shared" si="187"/>
        <v>0</v>
      </c>
      <c r="AN1959" s="16">
        <f t="shared" si="188"/>
        <v>0</v>
      </c>
      <c r="AO1959" s="15"/>
      <c r="AP1959" s="15"/>
      <c r="AQ1959" s="15"/>
      <c r="AR1959" s="15"/>
      <c r="AS1959" s="15"/>
      <c r="AT1959" t="s">
        <v>869</v>
      </c>
    </row>
    <row r="1960" ht="15.75" customHeight="1" spans="1:46">
      <c r="A1960" s="15" t="s">
        <v>3124</v>
      </c>
      <c r="B1960" s="15" t="s">
        <v>75</v>
      </c>
      <c r="C1960" s="15" t="s">
        <v>1499</v>
      </c>
      <c r="D1960" s="15" t="s">
        <v>2923</v>
      </c>
      <c r="E1960" s="15" t="s">
        <v>3097</v>
      </c>
      <c r="F1960" s="15" t="s">
        <v>3125</v>
      </c>
      <c r="G1960" s="15"/>
      <c r="H1960" s="15" t="s">
        <v>2925</v>
      </c>
      <c r="I1960" s="15" t="s">
        <v>2938</v>
      </c>
      <c r="J1960" s="15" t="s">
        <v>124</v>
      </c>
      <c r="K1960" s="15" t="s">
        <v>3122</v>
      </c>
      <c r="L1960" s="15"/>
      <c r="M1960" s="15"/>
      <c r="N1960" s="15"/>
      <c r="O1960" s="15"/>
      <c r="P1960" s="15"/>
      <c r="Q1960" s="15" t="s">
        <v>57</v>
      </c>
      <c r="R1960" s="15" t="s">
        <v>3126</v>
      </c>
      <c r="S1960" s="15"/>
      <c r="T1960" s="15"/>
      <c r="U1960" s="15"/>
      <c r="V1960" s="15"/>
      <c r="W1960" s="15"/>
      <c r="X1960" s="15"/>
      <c r="Y1960" s="15" t="s">
        <v>3130</v>
      </c>
      <c r="Z1960" s="15"/>
      <c r="AA1960" s="15"/>
      <c r="AB1960" s="15"/>
      <c r="AC1960" s="15"/>
      <c r="AD1960" s="15"/>
      <c r="AE1960" s="15">
        <v>4590</v>
      </c>
      <c r="AF1960" s="16"/>
      <c r="AG1960" s="15">
        <f t="shared" si="189"/>
        <v>4590</v>
      </c>
      <c r="AH1960" s="16"/>
      <c r="AI1960" s="15">
        <f t="shared" si="184"/>
        <v>4590</v>
      </c>
      <c r="AJ1960" s="16"/>
      <c r="AK1960" s="15">
        <f t="shared" si="185"/>
        <v>0</v>
      </c>
      <c r="AL1960" s="15">
        <f t="shared" si="186"/>
        <v>4590</v>
      </c>
      <c r="AM1960" s="15">
        <f t="shared" si="187"/>
        <v>0</v>
      </c>
      <c r="AN1960" s="16">
        <f t="shared" si="188"/>
        <v>0</v>
      </c>
      <c r="AO1960" s="15"/>
      <c r="AP1960" s="15"/>
      <c r="AQ1960" s="15"/>
      <c r="AR1960" s="15"/>
      <c r="AS1960" s="15"/>
      <c r="AT1960" t="s">
        <v>869</v>
      </c>
    </row>
    <row r="1961" ht="15.75" customHeight="1" spans="1:46">
      <c r="A1961" s="15" t="s">
        <v>3124</v>
      </c>
      <c r="B1961" s="15" t="s">
        <v>79</v>
      </c>
      <c r="C1961" s="15" t="s">
        <v>1499</v>
      </c>
      <c r="D1961" s="15" t="s">
        <v>2923</v>
      </c>
      <c r="E1961" s="15" t="s">
        <v>3097</v>
      </c>
      <c r="F1961" s="15" t="s">
        <v>3125</v>
      </c>
      <c r="G1961" s="15"/>
      <c r="H1961" s="15" t="s">
        <v>2925</v>
      </c>
      <c r="I1961" s="15" t="s">
        <v>2938</v>
      </c>
      <c r="J1961" s="15" t="s">
        <v>124</v>
      </c>
      <c r="K1961" s="15" t="s">
        <v>3112</v>
      </c>
      <c r="L1961" s="15"/>
      <c r="M1961" s="15"/>
      <c r="N1961" s="15"/>
      <c r="O1961" s="15"/>
      <c r="P1961" s="15"/>
      <c r="Q1961" s="15" t="s">
        <v>57</v>
      </c>
      <c r="R1961" s="15" t="s">
        <v>3126</v>
      </c>
      <c r="S1961" s="15"/>
      <c r="T1961" s="15"/>
      <c r="U1961" s="15"/>
      <c r="V1961" s="15"/>
      <c r="W1961" s="15"/>
      <c r="X1961" s="15"/>
      <c r="Y1961" s="15" t="s">
        <v>3131</v>
      </c>
      <c r="Z1961" s="15"/>
      <c r="AA1961" s="15"/>
      <c r="AB1961" s="15"/>
      <c r="AC1961" s="15"/>
      <c r="AD1961" s="15"/>
      <c r="AE1961" s="15">
        <v>4590</v>
      </c>
      <c r="AF1961" s="16"/>
      <c r="AG1961" s="15">
        <f t="shared" si="189"/>
        <v>4590</v>
      </c>
      <c r="AH1961" s="16"/>
      <c r="AI1961" s="15">
        <f t="shared" si="184"/>
        <v>4590</v>
      </c>
      <c r="AJ1961" s="16"/>
      <c r="AK1961" s="15">
        <f t="shared" si="185"/>
        <v>0</v>
      </c>
      <c r="AL1961" s="15">
        <f t="shared" si="186"/>
        <v>4590</v>
      </c>
      <c r="AM1961" s="15">
        <f t="shared" si="187"/>
        <v>0</v>
      </c>
      <c r="AN1961" s="16">
        <f t="shared" si="188"/>
        <v>0</v>
      </c>
      <c r="AO1961" s="15"/>
      <c r="AP1961" s="15"/>
      <c r="AQ1961" s="15"/>
      <c r="AR1961" s="15"/>
      <c r="AS1961" s="15"/>
      <c r="AT1961" t="s">
        <v>869</v>
      </c>
    </row>
    <row r="1962" ht="15.75" customHeight="1" spans="1:46">
      <c r="A1962" s="15" t="s">
        <v>3132</v>
      </c>
      <c r="B1962" s="15" t="s">
        <v>46</v>
      </c>
      <c r="C1962" s="15" t="s">
        <v>1499</v>
      </c>
      <c r="D1962" s="15" t="s">
        <v>2923</v>
      </c>
      <c r="E1962" s="15" t="s">
        <v>3097</v>
      </c>
      <c r="F1962" s="15" t="s">
        <v>3133</v>
      </c>
      <c r="G1962" s="15"/>
      <c r="H1962" s="15" t="s">
        <v>2925</v>
      </c>
      <c r="I1962" s="15" t="s">
        <v>2938</v>
      </c>
      <c r="J1962" s="15" t="s">
        <v>124</v>
      </c>
      <c r="K1962" s="15" t="s">
        <v>3134</v>
      </c>
      <c r="L1962" s="15"/>
      <c r="M1962" s="15"/>
      <c r="N1962" s="15"/>
      <c r="O1962" s="15"/>
      <c r="P1962" s="15"/>
      <c r="Q1962" s="15" t="s">
        <v>57</v>
      </c>
      <c r="R1962" s="15" t="s">
        <v>3135</v>
      </c>
      <c r="S1962" s="15"/>
      <c r="T1962" s="15"/>
      <c r="U1962" s="15"/>
      <c r="V1962" s="15"/>
      <c r="W1962" s="15"/>
      <c r="X1962" s="15"/>
      <c r="Y1962" s="15" t="s">
        <v>3136</v>
      </c>
      <c r="Z1962" s="15"/>
      <c r="AA1962" s="15"/>
      <c r="AB1962" s="15"/>
      <c r="AC1962" s="15"/>
      <c r="AD1962" s="15"/>
      <c r="AE1962" s="15">
        <v>7790</v>
      </c>
      <c r="AF1962" s="16"/>
      <c r="AG1962" s="15">
        <f t="shared" si="189"/>
        <v>7790</v>
      </c>
      <c r="AH1962" s="16"/>
      <c r="AI1962" s="15">
        <f t="shared" si="184"/>
        <v>7790</v>
      </c>
      <c r="AJ1962" s="16"/>
      <c r="AK1962" s="15">
        <f t="shared" si="185"/>
        <v>0</v>
      </c>
      <c r="AL1962" s="15">
        <f t="shared" si="186"/>
        <v>7790</v>
      </c>
      <c r="AM1962" s="15">
        <f t="shared" si="187"/>
        <v>0</v>
      </c>
      <c r="AN1962" s="16">
        <f t="shared" si="188"/>
        <v>0</v>
      </c>
      <c r="AO1962" s="15"/>
      <c r="AP1962" s="15"/>
      <c r="AQ1962" s="15"/>
      <c r="AR1962" s="15"/>
      <c r="AS1962" s="15"/>
      <c r="AT1962" t="s">
        <v>869</v>
      </c>
    </row>
    <row r="1963" ht="15.75" customHeight="1" spans="1:46">
      <c r="A1963" s="15" t="s">
        <v>3132</v>
      </c>
      <c r="B1963" s="15" t="s">
        <v>67</v>
      </c>
      <c r="C1963" s="15" t="s">
        <v>1499</v>
      </c>
      <c r="D1963" s="15" t="s">
        <v>2923</v>
      </c>
      <c r="E1963" s="15" t="s">
        <v>3097</v>
      </c>
      <c r="F1963" s="15" t="s">
        <v>3133</v>
      </c>
      <c r="G1963" s="15"/>
      <c r="H1963" s="15" t="s">
        <v>2925</v>
      </c>
      <c r="I1963" s="15" t="s">
        <v>2938</v>
      </c>
      <c r="J1963" s="15" t="s">
        <v>124</v>
      </c>
      <c r="K1963" s="15" t="s">
        <v>3137</v>
      </c>
      <c r="L1963" s="15"/>
      <c r="M1963" s="15"/>
      <c r="N1963" s="15"/>
      <c r="O1963" s="15"/>
      <c r="P1963" s="15"/>
      <c r="Q1963" s="15" t="s">
        <v>57</v>
      </c>
      <c r="R1963" s="15" t="s">
        <v>3135</v>
      </c>
      <c r="S1963" s="15"/>
      <c r="T1963" s="15"/>
      <c r="U1963" s="15"/>
      <c r="V1963" s="15"/>
      <c r="W1963" s="15"/>
      <c r="X1963" s="15"/>
      <c r="Y1963" s="15" t="s">
        <v>3138</v>
      </c>
      <c r="Z1963" s="15"/>
      <c r="AA1963" s="15"/>
      <c r="AB1963" s="15"/>
      <c r="AC1963" s="15"/>
      <c r="AD1963" s="15"/>
      <c r="AE1963" s="15">
        <v>7790</v>
      </c>
      <c r="AF1963" s="16"/>
      <c r="AG1963" s="15">
        <f t="shared" si="189"/>
        <v>7790</v>
      </c>
      <c r="AH1963" s="16"/>
      <c r="AI1963" s="15">
        <f t="shared" si="184"/>
        <v>7790</v>
      </c>
      <c r="AJ1963" s="16"/>
      <c r="AK1963" s="15">
        <f t="shared" si="185"/>
        <v>0</v>
      </c>
      <c r="AL1963" s="15">
        <f t="shared" si="186"/>
        <v>7790</v>
      </c>
      <c r="AM1963" s="15">
        <f t="shared" si="187"/>
        <v>0</v>
      </c>
      <c r="AN1963" s="16">
        <f t="shared" si="188"/>
        <v>0</v>
      </c>
      <c r="AO1963" s="15"/>
      <c r="AP1963" s="15"/>
      <c r="AQ1963" s="15"/>
      <c r="AR1963" s="15"/>
      <c r="AS1963" s="15"/>
      <c r="AT1963" t="s">
        <v>869</v>
      </c>
    </row>
    <row r="1964" ht="15.75" customHeight="1" spans="1:46">
      <c r="A1964" s="15" t="s">
        <v>3132</v>
      </c>
      <c r="B1964" s="15" t="s">
        <v>71</v>
      </c>
      <c r="C1964" s="15" t="s">
        <v>1499</v>
      </c>
      <c r="D1964" s="15" t="s">
        <v>2923</v>
      </c>
      <c r="E1964" s="15" t="s">
        <v>3097</v>
      </c>
      <c r="F1964" s="15" t="s">
        <v>3133</v>
      </c>
      <c r="G1964" s="15"/>
      <c r="H1964" s="15" t="s">
        <v>2925</v>
      </c>
      <c r="I1964" s="15" t="s">
        <v>2938</v>
      </c>
      <c r="J1964" s="15" t="s">
        <v>124</v>
      </c>
      <c r="K1964" s="15" t="s">
        <v>3139</v>
      </c>
      <c r="L1964" s="15"/>
      <c r="M1964" s="15"/>
      <c r="N1964" s="15"/>
      <c r="O1964" s="15"/>
      <c r="P1964" s="15"/>
      <c r="Q1964" s="15" t="s">
        <v>57</v>
      </c>
      <c r="R1964" s="15" t="s">
        <v>3135</v>
      </c>
      <c r="S1964" s="15"/>
      <c r="T1964" s="15"/>
      <c r="U1964" s="15"/>
      <c r="V1964" s="15"/>
      <c r="W1964" s="15"/>
      <c r="X1964" s="15"/>
      <c r="Y1964" s="15" t="s">
        <v>3140</v>
      </c>
      <c r="Z1964" s="15"/>
      <c r="AA1964" s="15"/>
      <c r="AB1964" s="15"/>
      <c r="AC1964" s="15"/>
      <c r="AD1964" s="15"/>
      <c r="AE1964" s="15">
        <v>7790</v>
      </c>
      <c r="AF1964" s="16"/>
      <c r="AG1964" s="15">
        <f t="shared" si="189"/>
        <v>7790</v>
      </c>
      <c r="AH1964" s="16"/>
      <c r="AI1964" s="15">
        <f t="shared" si="184"/>
        <v>7790</v>
      </c>
      <c r="AJ1964" s="16"/>
      <c r="AK1964" s="15">
        <f t="shared" si="185"/>
        <v>0</v>
      </c>
      <c r="AL1964" s="15">
        <f t="shared" si="186"/>
        <v>7790</v>
      </c>
      <c r="AM1964" s="15">
        <f t="shared" si="187"/>
        <v>0</v>
      </c>
      <c r="AN1964" s="16">
        <f t="shared" si="188"/>
        <v>0</v>
      </c>
      <c r="AO1964" s="15"/>
      <c r="AP1964" s="15"/>
      <c r="AQ1964" s="15"/>
      <c r="AR1964" s="15"/>
      <c r="AS1964" s="15"/>
      <c r="AT1964" t="s">
        <v>869</v>
      </c>
    </row>
    <row r="1965" ht="15.75" customHeight="1" spans="1:46">
      <c r="A1965" s="15" t="s">
        <v>3132</v>
      </c>
      <c r="B1965" s="15" t="s">
        <v>75</v>
      </c>
      <c r="C1965" s="15" t="s">
        <v>1499</v>
      </c>
      <c r="D1965" s="15" t="s">
        <v>2923</v>
      </c>
      <c r="E1965" s="15" t="s">
        <v>3097</v>
      </c>
      <c r="F1965" s="15" t="s">
        <v>3133</v>
      </c>
      <c r="G1965" s="15"/>
      <c r="H1965" s="15" t="s">
        <v>2925</v>
      </c>
      <c r="I1965" s="15" t="s">
        <v>2938</v>
      </c>
      <c r="J1965" s="15" t="s">
        <v>124</v>
      </c>
      <c r="K1965" s="15" t="s">
        <v>3141</v>
      </c>
      <c r="L1965" s="15"/>
      <c r="M1965" s="15"/>
      <c r="N1965" s="15"/>
      <c r="O1965" s="15"/>
      <c r="P1965" s="15"/>
      <c r="Q1965" s="15" t="s">
        <v>57</v>
      </c>
      <c r="R1965" s="15" t="s">
        <v>3135</v>
      </c>
      <c r="S1965" s="15"/>
      <c r="T1965" s="15"/>
      <c r="U1965" s="15"/>
      <c r="V1965" s="15"/>
      <c r="W1965" s="15"/>
      <c r="X1965" s="15"/>
      <c r="Y1965" s="15" t="s">
        <v>3142</v>
      </c>
      <c r="Z1965" s="15"/>
      <c r="AA1965" s="15"/>
      <c r="AB1965" s="15"/>
      <c r="AC1965" s="15"/>
      <c r="AD1965" s="15"/>
      <c r="AE1965" s="15">
        <v>7790</v>
      </c>
      <c r="AF1965" s="16"/>
      <c r="AG1965" s="15">
        <f t="shared" si="189"/>
        <v>7790</v>
      </c>
      <c r="AH1965" s="16"/>
      <c r="AI1965" s="15">
        <f t="shared" si="184"/>
        <v>7790</v>
      </c>
      <c r="AJ1965" s="16"/>
      <c r="AK1965" s="15">
        <f t="shared" si="185"/>
        <v>0</v>
      </c>
      <c r="AL1965" s="15">
        <f t="shared" si="186"/>
        <v>7790</v>
      </c>
      <c r="AM1965" s="15">
        <f t="shared" si="187"/>
        <v>0</v>
      </c>
      <c r="AN1965" s="16">
        <f t="shared" si="188"/>
        <v>0</v>
      </c>
      <c r="AO1965" s="15"/>
      <c r="AP1965" s="15"/>
      <c r="AQ1965" s="15"/>
      <c r="AR1965" s="15"/>
      <c r="AS1965" s="15"/>
      <c r="AT1965" t="s">
        <v>869</v>
      </c>
    </row>
    <row r="1966" ht="15.75" customHeight="1" spans="1:46">
      <c r="A1966" s="15" t="s">
        <v>3132</v>
      </c>
      <c r="B1966" s="15" t="s">
        <v>79</v>
      </c>
      <c r="C1966" s="15" t="s">
        <v>1499</v>
      </c>
      <c r="D1966" s="15" t="s">
        <v>2923</v>
      </c>
      <c r="E1966" s="15" t="s">
        <v>3097</v>
      </c>
      <c r="F1966" s="15" t="s">
        <v>3133</v>
      </c>
      <c r="G1966" s="15"/>
      <c r="H1966" s="15" t="s">
        <v>2925</v>
      </c>
      <c r="I1966" s="15" t="s">
        <v>2938</v>
      </c>
      <c r="J1966" s="15" t="s">
        <v>124</v>
      </c>
      <c r="K1966" s="15" t="s">
        <v>3143</v>
      </c>
      <c r="L1966" s="15"/>
      <c r="M1966" s="15"/>
      <c r="N1966" s="15"/>
      <c r="O1966" s="15"/>
      <c r="P1966" s="15"/>
      <c r="Q1966" s="15" t="s">
        <v>57</v>
      </c>
      <c r="R1966" s="15" t="s">
        <v>3135</v>
      </c>
      <c r="S1966" s="15"/>
      <c r="T1966" s="15"/>
      <c r="U1966" s="15"/>
      <c r="V1966" s="15"/>
      <c r="W1966" s="15"/>
      <c r="X1966" s="15"/>
      <c r="Y1966" s="15" t="s">
        <v>3144</v>
      </c>
      <c r="Z1966" s="15"/>
      <c r="AA1966" s="15"/>
      <c r="AB1966" s="15"/>
      <c r="AC1966" s="15"/>
      <c r="AD1966" s="15"/>
      <c r="AE1966" s="15">
        <v>7790</v>
      </c>
      <c r="AF1966" s="16"/>
      <c r="AG1966" s="15">
        <f t="shared" si="189"/>
        <v>7790</v>
      </c>
      <c r="AH1966" s="16"/>
      <c r="AI1966" s="15">
        <f t="shared" si="184"/>
        <v>7790</v>
      </c>
      <c r="AJ1966" s="16"/>
      <c r="AK1966" s="15">
        <f t="shared" si="185"/>
        <v>0</v>
      </c>
      <c r="AL1966" s="15">
        <f t="shared" si="186"/>
        <v>7790</v>
      </c>
      <c r="AM1966" s="15">
        <f t="shared" si="187"/>
        <v>0</v>
      </c>
      <c r="AN1966" s="16">
        <f t="shared" si="188"/>
        <v>0</v>
      </c>
      <c r="AO1966" s="15"/>
      <c r="AP1966" s="15"/>
      <c r="AQ1966" s="15"/>
      <c r="AR1966" s="15"/>
      <c r="AS1966" s="15"/>
      <c r="AT1966" t="s">
        <v>869</v>
      </c>
    </row>
    <row r="1967" ht="15.75" customHeight="1" spans="1:46">
      <c r="A1967" s="15" t="s">
        <v>3132</v>
      </c>
      <c r="B1967" s="15" t="s">
        <v>83</v>
      </c>
      <c r="C1967" s="15" t="s">
        <v>1499</v>
      </c>
      <c r="D1967" s="15" t="s">
        <v>2923</v>
      </c>
      <c r="E1967" s="15" t="s">
        <v>3097</v>
      </c>
      <c r="F1967" s="15" t="s">
        <v>3133</v>
      </c>
      <c r="G1967" s="15"/>
      <c r="H1967" s="15" t="s">
        <v>2925</v>
      </c>
      <c r="I1967" s="15" t="s">
        <v>2938</v>
      </c>
      <c r="J1967" s="15" t="s">
        <v>124</v>
      </c>
      <c r="K1967" s="15" t="s">
        <v>3145</v>
      </c>
      <c r="L1967" s="15"/>
      <c r="M1967" s="15"/>
      <c r="N1967" s="15"/>
      <c r="O1967" s="15"/>
      <c r="P1967" s="15"/>
      <c r="Q1967" s="15" t="s">
        <v>57</v>
      </c>
      <c r="R1967" s="15" t="s">
        <v>3135</v>
      </c>
      <c r="S1967" s="15"/>
      <c r="T1967" s="15"/>
      <c r="U1967" s="15"/>
      <c r="V1967" s="15"/>
      <c r="W1967" s="15"/>
      <c r="X1967" s="15"/>
      <c r="Y1967" s="15" t="s">
        <v>3146</v>
      </c>
      <c r="Z1967" s="15"/>
      <c r="AA1967" s="15"/>
      <c r="AB1967" s="15"/>
      <c r="AC1967" s="15"/>
      <c r="AD1967" s="15"/>
      <c r="AE1967" s="15">
        <v>7790</v>
      </c>
      <c r="AF1967" s="16"/>
      <c r="AG1967" s="15">
        <f t="shared" si="189"/>
        <v>7790</v>
      </c>
      <c r="AH1967" s="16"/>
      <c r="AI1967" s="15">
        <f t="shared" si="184"/>
        <v>7790</v>
      </c>
      <c r="AJ1967" s="16"/>
      <c r="AK1967" s="15">
        <f t="shared" si="185"/>
        <v>0</v>
      </c>
      <c r="AL1967" s="15">
        <f t="shared" si="186"/>
        <v>7790</v>
      </c>
      <c r="AM1967" s="15">
        <f t="shared" si="187"/>
        <v>0</v>
      </c>
      <c r="AN1967" s="16">
        <f t="shared" si="188"/>
        <v>0</v>
      </c>
      <c r="AO1967" s="15"/>
      <c r="AP1967" s="15"/>
      <c r="AQ1967" s="15"/>
      <c r="AR1967" s="15"/>
      <c r="AS1967" s="15"/>
      <c r="AT1967" t="s">
        <v>869</v>
      </c>
    </row>
    <row r="1968" ht="15.75" customHeight="1" spans="1:46">
      <c r="A1968" t="s">
        <v>3147</v>
      </c>
      <c r="B1968" t="s">
        <v>46</v>
      </c>
      <c r="C1968" t="s">
        <v>1499</v>
      </c>
      <c r="D1968" t="s">
        <v>3148</v>
      </c>
      <c r="E1968" t="s">
        <v>1022</v>
      </c>
      <c r="F1968" t="s">
        <v>3148</v>
      </c>
      <c r="H1968" t="s">
        <v>53</v>
      </c>
      <c r="I1968" t="s">
        <v>160</v>
      </c>
      <c r="J1968" t="s">
        <v>186</v>
      </c>
      <c r="K1968" t="s">
        <v>1048</v>
      </c>
      <c r="Q1968" t="s">
        <v>57</v>
      </c>
      <c r="Y1968" t="s">
        <v>3149</v>
      </c>
      <c r="AF1968" s="4"/>
      <c r="AG1968">
        <v>100</v>
      </c>
      <c r="AH1968" s="4">
        <v>0.18</v>
      </c>
      <c r="AI1968">
        <f t="shared" si="184"/>
        <v>118</v>
      </c>
      <c r="AJ1968" s="4">
        <v>0.2</v>
      </c>
      <c r="AK1968">
        <f t="shared" si="185"/>
        <v>23.6</v>
      </c>
      <c r="AL1968">
        <f t="shared" si="186"/>
        <v>141.6</v>
      </c>
      <c r="AM1968">
        <f t="shared" si="187"/>
        <v>-141.6</v>
      </c>
      <c r="AN1968" s="16" t="e">
        <f t="shared" si="188"/>
        <v>#DIV/0!</v>
      </c>
    </row>
    <row r="1969" ht="15.75" customHeight="1" spans="1:46">
      <c r="A1969" t="s">
        <v>3147</v>
      </c>
      <c r="B1969" t="s">
        <v>67</v>
      </c>
      <c r="C1969" t="s">
        <v>1499</v>
      </c>
      <c r="D1969" t="s">
        <v>3148</v>
      </c>
      <c r="E1969" t="s">
        <v>1022</v>
      </c>
      <c r="F1969" t="s">
        <v>3148</v>
      </c>
      <c r="H1969" t="s">
        <v>53</v>
      </c>
      <c r="I1969" t="s">
        <v>2910</v>
      </c>
      <c r="J1969" t="s">
        <v>186</v>
      </c>
      <c r="K1969" t="s">
        <v>1048</v>
      </c>
      <c r="Q1969" t="s">
        <v>57</v>
      </c>
      <c r="Y1969" t="s">
        <v>3149</v>
      </c>
      <c r="AF1969" s="4"/>
      <c r="AG1969">
        <v>110</v>
      </c>
      <c r="AH1969" s="4">
        <v>0.18</v>
      </c>
      <c r="AI1969">
        <f t="shared" si="184"/>
        <v>129.8</v>
      </c>
      <c r="AJ1969" s="4">
        <v>0.2</v>
      </c>
      <c r="AK1969">
        <f t="shared" si="185"/>
        <v>25.96</v>
      </c>
      <c r="AL1969">
        <f t="shared" si="186"/>
        <v>155.76</v>
      </c>
      <c r="AM1969">
        <f t="shared" si="187"/>
        <v>-155.76</v>
      </c>
      <c r="AN1969" s="16" t="e">
        <f t="shared" si="188"/>
        <v>#DIV/0!</v>
      </c>
    </row>
    <row r="1970" ht="15.75" customHeight="1" spans="1:46">
      <c r="A1970" t="s">
        <v>3150</v>
      </c>
      <c r="B1970" t="s">
        <v>46</v>
      </c>
      <c r="C1970" t="s">
        <v>435</v>
      </c>
      <c r="D1970" t="s">
        <v>3151</v>
      </c>
      <c r="E1970" t="s">
        <v>3152</v>
      </c>
      <c r="F1970" t="s">
        <v>3153</v>
      </c>
      <c r="H1970" t="s">
        <v>124</v>
      </c>
      <c r="I1970" t="s">
        <v>3154</v>
      </c>
      <c r="Q1970" t="s">
        <v>57</v>
      </c>
      <c r="R1970" t="s">
        <v>3154</v>
      </c>
      <c r="Y1970" t="s">
        <v>3155</v>
      </c>
      <c r="AE1970">
        <v>35990</v>
      </c>
      <c r="AF1970" s="4"/>
      <c r="AG1970">
        <f t="shared" ref="AG1970:AG2026" si="190">ROUND(AE1970-(AE1970*AF1970),2)</f>
        <v>35990</v>
      </c>
      <c r="AH1970" s="4"/>
      <c r="AI1970">
        <f t="shared" si="184"/>
        <v>35990</v>
      </c>
      <c r="AJ1970" s="4"/>
      <c r="AK1970">
        <f t="shared" si="185"/>
        <v>0</v>
      </c>
      <c r="AL1970">
        <f t="shared" si="186"/>
        <v>35990</v>
      </c>
      <c r="AM1970">
        <f t="shared" si="187"/>
        <v>0</v>
      </c>
      <c r="AN1970" s="4">
        <f t="shared" si="188"/>
        <v>0</v>
      </c>
      <c r="AO1970" t="s">
        <v>221</v>
      </c>
      <c r="AT1970" t="s">
        <v>3156</v>
      </c>
    </row>
    <row r="1971" ht="15.75" customHeight="1" spans="1:46">
      <c r="A1971" t="s">
        <v>3150</v>
      </c>
      <c r="B1971" t="s">
        <v>67</v>
      </c>
      <c r="C1971" t="s">
        <v>435</v>
      </c>
      <c r="D1971" t="s">
        <v>3151</v>
      </c>
      <c r="E1971" t="s">
        <v>3152</v>
      </c>
      <c r="F1971" t="s">
        <v>3153</v>
      </c>
      <c r="H1971" t="s">
        <v>124</v>
      </c>
      <c r="I1971" t="s">
        <v>3157</v>
      </c>
      <c r="Q1971" t="s">
        <v>57</v>
      </c>
      <c r="R1971" t="s">
        <v>3157</v>
      </c>
      <c r="Y1971" t="s">
        <v>3158</v>
      </c>
      <c r="AE1971">
        <v>20990</v>
      </c>
      <c r="AF1971" s="4"/>
      <c r="AG1971">
        <f t="shared" si="190"/>
        <v>20990</v>
      </c>
      <c r="AH1971" s="4"/>
      <c r="AI1971">
        <f t="shared" si="184"/>
        <v>20990</v>
      </c>
      <c r="AJ1971" s="4"/>
      <c r="AK1971">
        <f t="shared" si="185"/>
        <v>0</v>
      </c>
      <c r="AL1971">
        <f t="shared" si="186"/>
        <v>20990</v>
      </c>
      <c r="AM1971">
        <f t="shared" si="187"/>
        <v>0</v>
      </c>
      <c r="AN1971" s="4">
        <f t="shared" si="188"/>
        <v>0</v>
      </c>
      <c r="AO1971" t="s">
        <v>221</v>
      </c>
      <c r="AT1971" t="s">
        <v>3156</v>
      </c>
    </row>
    <row r="1972" ht="15.75" customHeight="1" spans="1:46">
      <c r="A1972" t="s">
        <v>3150</v>
      </c>
      <c r="B1972" t="s">
        <v>71</v>
      </c>
      <c r="C1972" t="s">
        <v>435</v>
      </c>
      <c r="D1972" t="s">
        <v>3151</v>
      </c>
      <c r="E1972" t="s">
        <v>3152</v>
      </c>
      <c r="F1972" t="s">
        <v>3153</v>
      </c>
      <c r="H1972" t="s">
        <v>124</v>
      </c>
      <c r="I1972" t="s">
        <v>3159</v>
      </c>
      <c r="Q1972" t="s">
        <v>57</v>
      </c>
      <c r="R1972" t="s">
        <v>3159</v>
      </c>
      <c r="Y1972" t="s">
        <v>3160</v>
      </c>
      <c r="AE1972">
        <v>24990</v>
      </c>
      <c r="AF1972" s="4"/>
      <c r="AG1972">
        <f t="shared" si="190"/>
        <v>24990</v>
      </c>
      <c r="AH1972" s="4"/>
      <c r="AI1972">
        <f t="shared" si="184"/>
        <v>24990</v>
      </c>
      <c r="AJ1972" s="4"/>
      <c r="AK1972">
        <f t="shared" si="185"/>
        <v>0</v>
      </c>
      <c r="AL1972">
        <f t="shared" si="186"/>
        <v>24990</v>
      </c>
      <c r="AM1972">
        <f t="shared" si="187"/>
        <v>0</v>
      </c>
      <c r="AN1972" s="4">
        <f t="shared" si="188"/>
        <v>0</v>
      </c>
      <c r="AO1972" t="s">
        <v>221</v>
      </c>
      <c r="AT1972" t="s">
        <v>3156</v>
      </c>
    </row>
    <row r="1973" ht="15.75" customHeight="1" spans="1:46">
      <c r="A1973" t="s">
        <v>3161</v>
      </c>
      <c r="B1973" t="s">
        <v>46</v>
      </c>
      <c r="C1973" t="s">
        <v>435</v>
      </c>
      <c r="D1973" t="s">
        <v>3151</v>
      </c>
      <c r="E1973" t="s">
        <v>3152</v>
      </c>
      <c r="F1973" t="s">
        <v>3162</v>
      </c>
      <c r="H1973" t="s">
        <v>124</v>
      </c>
      <c r="I1973" t="s">
        <v>3163</v>
      </c>
      <c r="Q1973" t="s">
        <v>57</v>
      </c>
      <c r="R1973" t="s">
        <v>3163</v>
      </c>
      <c r="Y1973" t="s">
        <v>3164</v>
      </c>
      <c r="AE1973">
        <v>35980</v>
      </c>
      <c r="AF1973" s="4"/>
      <c r="AG1973">
        <f t="shared" si="190"/>
        <v>35980</v>
      </c>
      <c r="AH1973" s="4"/>
      <c r="AI1973">
        <f t="shared" si="184"/>
        <v>35980</v>
      </c>
      <c r="AJ1973" s="4"/>
      <c r="AK1973">
        <f t="shared" si="185"/>
        <v>0</v>
      </c>
      <c r="AL1973">
        <f t="shared" si="186"/>
        <v>35980</v>
      </c>
      <c r="AM1973">
        <f t="shared" si="187"/>
        <v>0</v>
      </c>
      <c r="AN1973" s="4">
        <f t="shared" si="188"/>
        <v>0</v>
      </c>
      <c r="AO1973" t="s">
        <v>221</v>
      </c>
      <c r="AT1973" t="s">
        <v>3156</v>
      </c>
    </row>
    <row r="1974" ht="15.75" customHeight="1" spans="1:46">
      <c r="A1974" t="s">
        <v>3161</v>
      </c>
      <c r="B1974" t="s">
        <v>67</v>
      </c>
      <c r="C1974" t="s">
        <v>435</v>
      </c>
      <c r="D1974" t="s">
        <v>3151</v>
      </c>
      <c r="E1974" t="s">
        <v>3152</v>
      </c>
      <c r="F1974" t="s">
        <v>3162</v>
      </c>
      <c r="H1974" t="s">
        <v>124</v>
      </c>
      <c r="I1974" t="s">
        <v>3165</v>
      </c>
      <c r="Q1974" t="s">
        <v>57</v>
      </c>
      <c r="R1974" t="s">
        <v>3165</v>
      </c>
      <c r="Y1974" t="s">
        <v>3166</v>
      </c>
      <c r="AE1974">
        <v>19990</v>
      </c>
      <c r="AF1974" s="4"/>
      <c r="AG1974">
        <f t="shared" si="190"/>
        <v>19990</v>
      </c>
      <c r="AH1974" s="4"/>
      <c r="AI1974">
        <f t="shared" si="184"/>
        <v>19990</v>
      </c>
      <c r="AJ1974" s="4"/>
      <c r="AK1974">
        <f t="shared" si="185"/>
        <v>0</v>
      </c>
      <c r="AL1974">
        <f t="shared" si="186"/>
        <v>19990</v>
      </c>
      <c r="AM1974">
        <f t="shared" si="187"/>
        <v>0</v>
      </c>
      <c r="AN1974" s="4">
        <f t="shared" si="188"/>
        <v>0</v>
      </c>
      <c r="AO1974" t="s">
        <v>221</v>
      </c>
      <c r="AT1974" t="s">
        <v>3156</v>
      </c>
    </row>
    <row r="1975" ht="15.75" customHeight="1" spans="1:46">
      <c r="A1975" t="s">
        <v>3161</v>
      </c>
      <c r="B1975" t="s">
        <v>71</v>
      </c>
      <c r="C1975" t="s">
        <v>435</v>
      </c>
      <c r="D1975" t="s">
        <v>3151</v>
      </c>
      <c r="E1975" t="s">
        <v>3152</v>
      </c>
      <c r="F1975" t="s">
        <v>3162</v>
      </c>
      <c r="H1975" t="s">
        <v>124</v>
      </c>
      <c r="I1975" t="s">
        <v>3167</v>
      </c>
      <c r="Q1975" t="s">
        <v>57</v>
      </c>
      <c r="R1975" t="s">
        <v>3167</v>
      </c>
      <c r="Y1975" t="s">
        <v>3168</v>
      </c>
      <c r="AE1975">
        <v>22990</v>
      </c>
      <c r="AF1975" s="4"/>
      <c r="AG1975">
        <f t="shared" si="190"/>
        <v>22990</v>
      </c>
      <c r="AH1975" s="4"/>
      <c r="AI1975">
        <f t="shared" si="184"/>
        <v>22990</v>
      </c>
      <c r="AJ1975" s="4"/>
      <c r="AK1975">
        <f t="shared" si="185"/>
        <v>0</v>
      </c>
      <c r="AL1975">
        <f t="shared" si="186"/>
        <v>22990</v>
      </c>
      <c r="AM1975">
        <f t="shared" si="187"/>
        <v>0</v>
      </c>
      <c r="AN1975" s="4">
        <f t="shared" si="188"/>
        <v>0</v>
      </c>
      <c r="AO1975" t="s">
        <v>221</v>
      </c>
      <c r="AT1975" t="s">
        <v>3156</v>
      </c>
    </row>
    <row r="1976" ht="15.75" customHeight="1" spans="1:46">
      <c r="A1976" t="s">
        <v>3161</v>
      </c>
      <c r="B1976" t="s">
        <v>75</v>
      </c>
      <c r="C1976" t="s">
        <v>435</v>
      </c>
      <c r="D1976" t="s">
        <v>3151</v>
      </c>
      <c r="E1976" t="s">
        <v>3152</v>
      </c>
      <c r="F1976" t="s">
        <v>3162</v>
      </c>
      <c r="H1976" t="s">
        <v>124</v>
      </c>
      <c r="I1976" t="s">
        <v>3169</v>
      </c>
      <c r="Q1976" t="s">
        <v>57</v>
      </c>
      <c r="R1976" t="s">
        <v>3169</v>
      </c>
      <c r="Y1976" t="s">
        <v>3170</v>
      </c>
      <c r="AE1976">
        <v>17990</v>
      </c>
      <c r="AF1976" s="4"/>
      <c r="AG1976">
        <f t="shared" si="190"/>
        <v>17990</v>
      </c>
      <c r="AH1976" s="4"/>
      <c r="AI1976">
        <f t="shared" si="184"/>
        <v>17990</v>
      </c>
      <c r="AJ1976" s="4"/>
      <c r="AK1976">
        <f t="shared" si="185"/>
        <v>0</v>
      </c>
      <c r="AL1976">
        <f t="shared" si="186"/>
        <v>17990</v>
      </c>
      <c r="AM1976">
        <f t="shared" si="187"/>
        <v>0</v>
      </c>
      <c r="AN1976" s="4">
        <f t="shared" si="188"/>
        <v>0</v>
      </c>
      <c r="AO1976" t="s">
        <v>221</v>
      </c>
      <c r="AT1976" t="s">
        <v>3156</v>
      </c>
    </row>
    <row r="1977" ht="15.75" customHeight="1" spans="1:46">
      <c r="A1977" t="s">
        <v>3171</v>
      </c>
      <c r="B1977" t="s">
        <v>46</v>
      </c>
      <c r="C1977" t="s">
        <v>435</v>
      </c>
      <c r="D1977" t="s">
        <v>3151</v>
      </c>
      <c r="E1977" t="s">
        <v>3152</v>
      </c>
      <c r="F1977" t="s">
        <v>3172</v>
      </c>
      <c r="H1977" t="s">
        <v>124</v>
      </c>
      <c r="I1977" t="s">
        <v>3173</v>
      </c>
      <c r="Q1977" t="s">
        <v>57</v>
      </c>
      <c r="R1977" t="s">
        <v>3173</v>
      </c>
      <c r="Y1977" t="s">
        <v>3174</v>
      </c>
      <c r="AE1977">
        <v>37980</v>
      </c>
      <c r="AF1977" s="4"/>
      <c r="AG1977">
        <f t="shared" si="190"/>
        <v>37980</v>
      </c>
      <c r="AH1977" s="4"/>
      <c r="AI1977">
        <f t="shared" si="184"/>
        <v>37980</v>
      </c>
      <c r="AJ1977" s="4"/>
      <c r="AK1977">
        <f t="shared" si="185"/>
        <v>0</v>
      </c>
      <c r="AL1977">
        <f t="shared" si="186"/>
        <v>37980</v>
      </c>
      <c r="AM1977">
        <f t="shared" si="187"/>
        <v>0</v>
      </c>
      <c r="AN1977" s="4">
        <f t="shared" si="188"/>
        <v>0</v>
      </c>
      <c r="AO1977" t="s">
        <v>221</v>
      </c>
      <c r="AT1977" t="s">
        <v>3156</v>
      </c>
    </row>
    <row r="1978" ht="15.75" customHeight="1" spans="1:46">
      <c r="A1978" t="s">
        <v>3175</v>
      </c>
      <c r="B1978" t="s">
        <v>46</v>
      </c>
      <c r="C1978" t="s">
        <v>435</v>
      </c>
      <c r="D1978" t="s">
        <v>3151</v>
      </c>
      <c r="E1978" t="s">
        <v>3152</v>
      </c>
      <c r="F1978" t="s">
        <v>3176</v>
      </c>
      <c r="H1978" t="s">
        <v>124</v>
      </c>
      <c r="I1978" t="s">
        <v>909</v>
      </c>
      <c r="Q1978" t="s">
        <v>57</v>
      </c>
      <c r="R1978" t="s">
        <v>909</v>
      </c>
      <c r="Y1978" t="s">
        <v>3177</v>
      </c>
      <c r="AE1978">
        <v>14990</v>
      </c>
      <c r="AF1978" s="4"/>
      <c r="AG1978">
        <f t="shared" si="190"/>
        <v>14990</v>
      </c>
      <c r="AH1978" s="4"/>
      <c r="AI1978">
        <f t="shared" si="184"/>
        <v>14990</v>
      </c>
      <c r="AJ1978" s="4"/>
      <c r="AK1978">
        <f t="shared" si="185"/>
        <v>0</v>
      </c>
      <c r="AL1978">
        <f t="shared" si="186"/>
        <v>14990</v>
      </c>
      <c r="AM1978">
        <f t="shared" si="187"/>
        <v>0</v>
      </c>
      <c r="AN1978" s="4">
        <f t="shared" si="188"/>
        <v>0</v>
      </c>
      <c r="AO1978" t="s">
        <v>221</v>
      </c>
      <c r="AT1978" t="s">
        <v>3156</v>
      </c>
    </row>
    <row r="1979" ht="15.75" customHeight="1" spans="1:46">
      <c r="A1979" t="s">
        <v>3178</v>
      </c>
      <c r="B1979" t="s">
        <v>46</v>
      </c>
      <c r="C1979" t="s">
        <v>435</v>
      </c>
      <c r="D1979" t="s">
        <v>3151</v>
      </c>
      <c r="E1979" t="s">
        <v>554</v>
      </c>
      <c r="F1979" t="s">
        <v>3179</v>
      </c>
      <c r="H1979" t="s">
        <v>124</v>
      </c>
      <c r="I1979" t="s">
        <v>3180</v>
      </c>
      <c r="J1979" t="s">
        <v>3181</v>
      </c>
      <c r="Q1979" t="s">
        <v>57</v>
      </c>
      <c r="R1979">
        <v>6649</v>
      </c>
      <c r="Y1979" t="s">
        <v>3182</v>
      </c>
      <c r="AE1979">
        <v>1830</v>
      </c>
      <c r="AF1979" s="4"/>
      <c r="AG1979">
        <f t="shared" si="190"/>
        <v>1830</v>
      </c>
      <c r="AH1979" s="4"/>
      <c r="AI1979">
        <f t="shared" si="184"/>
        <v>1830</v>
      </c>
      <c r="AJ1979" s="4"/>
      <c r="AK1979">
        <f t="shared" si="185"/>
        <v>0</v>
      </c>
      <c r="AL1979">
        <f t="shared" si="186"/>
        <v>1830</v>
      </c>
      <c r="AM1979">
        <f t="shared" si="187"/>
        <v>0</v>
      </c>
      <c r="AN1979" s="4">
        <f t="shared" si="188"/>
        <v>0</v>
      </c>
      <c r="AO1979" t="s">
        <v>221</v>
      </c>
      <c r="AT1979" t="s">
        <v>64</v>
      </c>
    </row>
    <row r="1980" ht="15.75" customHeight="1" spans="1:46">
      <c r="A1980" t="s">
        <v>3178</v>
      </c>
      <c r="B1980" t="s">
        <v>67</v>
      </c>
      <c r="C1980" t="s">
        <v>435</v>
      </c>
      <c r="D1980" t="s">
        <v>3151</v>
      </c>
      <c r="E1980" t="s">
        <v>554</v>
      </c>
      <c r="F1980" t="s">
        <v>3179</v>
      </c>
      <c r="H1980" t="s">
        <v>124</v>
      </c>
      <c r="I1980" t="s">
        <v>448</v>
      </c>
      <c r="J1980" t="s">
        <v>3181</v>
      </c>
      <c r="K1980" t="s">
        <v>3183</v>
      </c>
      <c r="Q1980" t="s">
        <v>57</v>
      </c>
      <c r="R1980">
        <v>7752</v>
      </c>
      <c r="Y1980" t="s">
        <v>3184</v>
      </c>
      <c r="AE1980">
        <v>1860</v>
      </c>
      <c r="AF1980" s="4"/>
      <c r="AG1980">
        <f t="shared" si="190"/>
        <v>1860</v>
      </c>
      <c r="AH1980" s="4"/>
      <c r="AI1980">
        <f t="shared" si="184"/>
        <v>1860</v>
      </c>
      <c r="AJ1980" s="4"/>
      <c r="AK1980">
        <f t="shared" si="185"/>
        <v>0</v>
      </c>
      <c r="AL1980">
        <f t="shared" si="186"/>
        <v>1860</v>
      </c>
      <c r="AM1980">
        <f t="shared" si="187"/>
        <v>0</v>
      </c>
      <c r="AN1980" s="4">
        <f t="shared" si="188"/>
        <v>0</v>
      </c>
      <c r="AO1980" t="s">
        <v>221</v>
      </c>
      <c r="AT1980" t="s">
        <v>64</v>
      </c>
    </row>
    <row r="1981" ht="15.75" customHeight="1" spans="1:46">
      <c r="A1981" t="s">
        <v>3178</v>
      </c>
      <c r="B1981" t="s">
        <v>71</v>
      </c>
      <c r="C1981" t="s">
        <v>435</v>
      </c>
      <c r="D1981" t="s">
        <v>3151</v>
      </c>
      <c r="E1981" t="s">
        <v>554</v>
      </c>
      <c r="F1981" t="s">
        <v>3179</v>
      </c>
      <c r="H1981" t="s">
        <v>124</v>
      </c>
      <c r="I1981" t="s">
        <v>3185</v>
      </c>
      <c r="J1981" t="s">
        <v>3181</v>
      </c>
      <c r="K1981" t="s">
        <v>3186</v>
      </c>
      <c r="Q1981" t="s">
        <v>57</v>
      </c>
      <c r="R1981">
        <v>3253</v>
      </c>
      <c r="Y1981" t="s">
        <v>3187</v>
      </c>
      <c r="AE1981">
        <v>3370</v>
      </c>
      <c r="AF1981" s="4"/>
      <c r="AG1981">
        <f t="shared" si="190"/>
        <v>3370</v>
      </c>
      <c r="AH1981" s="4"/>
      <c r="AI1981">
        <f t="shared" si="184"/>
        <v>3370</v>
      </c>
      <c r="AJ1981" s="4"/>
      <c r="AK1981">
        <f t="shared" si="185"/>
        <v>0</v>
      </c>
      <c r="AL1981">
        <f t="shared" si="186"/>
        <v>3370</v>
      </c>
      <c r="AM1981">
        <f t="shared" si="187"/>
        <v>0</v>
      </c>
      <c r="AN1981" s="4">
        <f t="shared" si="188"/>
        <v>0</v>
      </c>
      <c r="AO1981" t="s">
        <v>221</v>
      </c>
      <c r="AT1981" t="s">
        <v>64</v>
      </c>
    </row>
    <row r="1982" ht="15.75" customHeight="1" spans="1:46">
      <c r="A1982" t="s">
        <v>3188</v>
      </c>
      <c r="B1982" t="s">
        <v>46</v>
      </c>
      <c r="C1982" t="s">
        <v>435</v>
      </c>
      <c r="D1982" t="s">
        <v>3151</v>
      </c>
      <c r="E1982" t="s">
        <v>839</v>
      </c>
      <c r="F1982" t="s">
        <v>3179</v>
      </c>
      <c r="H1982" t="s">
        <v>124</v>
      </c>
      <c r="I1982" t="s">
        <v>3189</v>
      </c>
      <c r="J1982" t="s">
        <v>3181</v>
      </c>
      <c r="K1982" t="s">
        <v>3190</v>
      </c>
      <c r="Q1982" t="s">
        <v>57</v>
      </c>
      <c r="R1982" t="s">
        <v>3191</v>
      </c>
      <c r="Y1982" t="s">
        <v>3192</v>
      </c>
      <c r="AE1982">
        <v>3265</v>
      </c>
      <c r="AF1982" s="4"/>
      <c r="AG1982">
        <f t="shared" si="190"/>
        <v>3265</v>
      </c>
      <c r="AH1982" s="4"/>
      <c r="AI1982">
        <f t="shared" si="184"/>
        <v>3265</v>
      </c>
      <c r="AJ1982" s="4"/>
      <c r="AK1982">
        <f t="shared" si="185"/>
        <v>0</v>
      </c>
      <c r="AL1982">
        <f t="shared" si="186"/>
        <v>3265</v>
      </c>
      <c r="AM1982">
        <f t="shared" si="187"/>
        <v>0</v>
      </c>
      <c r="AN1982" s="4">
        <f t="shared" si="188"/>
        <v>0</v>
      </c>
      <c r="AO1982" t="s">
        <v>221</v>
      </c>
      <c r="AT1982" t="s">
        <v>64</v>
      </c>
    </row>
    <row r="1983" ht="15.75" customHeight="1" spans="1:46">
      <c r="A1983" t="s">
        <v>3188</v>
      </c>
      <c r="B1983" t="s">
        <v>67</v>
      </c>
      <c r="C1983" t="s">
        <v>435</v>
      </c>
      <c r="D1983" t="s">
        <v>3151</v>
      </c>
      <c r="E1983" t="s">
        <v>839</v>
      </c>
      <c r="F1983" t="s">
        <v>3179</v>
      </c>
      <c r="H1983" t="s">
        <v>124</v>
      </c>
      <c r="I1983" t="s">
        <v>1339</v>
      </c>
      <c r="J1983" t="s">
        <v>3181</v>
      </c>
      <c r="K1983" t="s">
        <v>3193</v>
      </c>
      <c r="Q1983" t="s">
        <v>57</v>
      </c>
      <c r="R1983" t="s">
        <v>3194</v>
      </c>
      <c r="Y1983" t="s">
        <v>3195</v>
      </c>
      <c r="AE1983">
        <v>3065</v>
      </c>
      <c r="AF1983" s="4"/>
      <c r="AG1983">
        <f t="shared" si="190"/>
        <v>3065</v>
      </c>
      <c r="AH1983" s="4"/>
      <c r="AI1983">
        <f t="shared" si="184"/>
        <v>3065</v>
      </c>
      <c r="AJ1983" s="4"/>
      <c r="AK1983">
        <f t="shared" si="185"/>
        <v>0</v>
      </c>
      <c r="AL1983">
        <f t="shared" si="186"/>
        <v>3065</v>
      </c>
      <c r="AM1983">
        <f t="shared" si="187"/>
        <v>0</v>
      </c>
      <c r="AN1983" s="4">
        <f t="shared" si="188"/>
        <v>0</v>
      </c>
      <c r="AO1983" t="s">
        <v>221</v>
      </c>
      <c r="AT1983" t="s">
        <v>64</v>
      </c>
    </row>
    <row r="1984" ht="15.75" customHeight="1" spans="1:46">
      <c r="A1984" t="s">
        <v>3188</v>
      </c>
      <c r="B1984" t="s">
        <v>71</v>
      </c>
      <c r="C1984" t="s">
        <v>435</v>
      </c>
      <c r="D1984" t="s">
        <v>3151</v>
      </c>
      <c r="E1984" t="s">
        <v>839</v>
      </c>
      <c r="F1984" t="s">
        <v>3179</v>
      </c>
      <c r="H1984" t="s">
        <v>124</v>
      </c>
      <c r="I1984" t="s">
        <v>1339</v>
      </c>
      <c r="J1984" t="s">
        <v>3181</v>
      </c>
      <c r="K1984" t="s">
        <v>3196</v>
      </c>
      <c r="Q1984" t="s">
        <v>57</v>
      </c>
      <c r="R1984" t="s">
        <v>3197</v>
      </c>
      <c r="Y1984" t="s">
        <v>3198</v>
      </c>
      <c r="AE1984">
        <v>3145</v>
      </c>
      <c r="AF1984" s="4"/>
      <c r="AG1984">
        <f t="shared" si="190"/>
        <v>3145</v>
      </c>
      <c r="AH1984" s="4"/>
      <c r="AI1984">
        <f t="shared" si="184"/>
        <v>3145</v>
      </c>
      <c r="AJ1984" s="4"/>
      <c r="AK1984">
        <f t="shared" si="185"/>
        <v>0</v>
      </c>
      <c r="AL1984">
        <f t="shared" si="186"/>
        <v>3145</v>
      </c>
      <c r="AM1984">
        <f t="shared" si="187"/>
        <v>0</v>
      </c>
      <c r="AN1984" s="4">
        <f t="shared" si="188"/>
        <v>0</v>
      </c>
      <c r="AO1984" t="s">
        <v>221</v>
      </c>
      <c r="AT1984" t="s">
        <v>64</v>
      </c>
    </row>
    <row r="1985" ht="15.75" customHeight="1" spans="1:46">
      <c r="A1985" t="s">
        <v>3188</v>
      </c>
      <c r="B1985" t="s">
        <v>75</v>
      </c>
      <c r="C1985" t="s">
        <v>435</v>
      </c>
      <c r="D1985" t="s">
        <v>3151</v>
      </c>
      <c r="E1985" t="s">
        <v>839</v>
      </c>
      <c r="F1985" t="s">
        <v>3179</v>
      </c>
      <c r="H1985" t="s">
        <v>124</v>
      </c>
      <c r="I1985" t="s">
        <v>3199</v>
      </c>
      <c r="J1985" t="s">
        <v>3181</v>
      </c>
      <c r="K1985" t="s">
        <v>3190</v>
      </c>
      <c r="Q1985" t="s">
        <v>57</v>
      </c>
      <c r="R1985" t="s">
        <v>3200</v>
      </c>
      <c r="Y1985" t="s">
        <v>3201</v>
      </c>
      <c r="AE1985">
        <v>3750</v>
      </c>
      <c r="AF1985" s="4"/>
      <c r="AG1985">
        <f t="shared" si="190"/>
        <v>3750</v>
      </c>
      <c r="AH1985" s="4"/>
      <c r="AI1985">
        <f t="shared" si="184"/>
        <v>3750</v>
      </c>
      <c r="AJ1985" s="4"/>
      <c r="AK1985">
        <f t="shared" si="185"/>
        <v>0</v>
      </c>
      <c r="AL1985">
        <f t="shared" si="186"/>
        <v>3750</v>
      </c>
      <c r="AM1985">
        <f t="shared" si="187"/>
        <v>0</v>
      </c>
      <c r="AN1985" s="4">
        <f t="shared" si="188"/>
        <v>0</v>
      </c>
      <c r="AO1985" t="s">
        <v>221</v>
      </c>
      <c r="AT1985" t="s">
        <v>64</v>
      </c>
    </row>
    <row r="1986" ht="15.75" customHeight="1" spans="1:46">
      <c r="A1986" t="s">
        <v>3188</v>
      </c>
      <c r="B1986" t="s">
        <v>79</v>
      </c>
      <c r="C1986" t="s">
        <v>435</v>
      </c>
      <c r="D1986" t="s">
        <v>3151</v>
      </c>
      <c r="E1986" t="s">
        <v>839</v>
      </c>
      <c r="F1986" t="s">
        <v>3179</v>
      </c>
      <c r="H1986" t="s">
        <v>124</v>
      </c>
      <c r="I1986" t="s">
        <v>2941</v>
      </c>
      <c r="J1986" t="s">
        <v>3181</v>
      </c>
      <c r="K1986" t="s">
        <v>3193</v>
      </c>
      <c r="Q1986" t="s">
        <v>57</v>
      </c>
      <c r="R1986" t="s">
        <v>3193</v>
      </c>
      <c r="AE1986">
        <v>3680</v>
      </c>
      <c r="AF1986" s="4"/>
      <c r="AG1986">
        <f t="shared" si="190"/>
        <v>3680</v>
      </c>
      <c r="AH1986" s="4"/>
      <c r="AI1986">
        <f t="shared" ref="AI1986:AI2049" si="191">ROUND(AG1986+(AG1986*AH1986),2)</f>
        <v>3680</v>
      </c>
      <c r="AJ1986" s="4"/>
      <c r="AK1986">
        <f t="shared" ref="AK1986:AK2049" si="192">ROUND(AI1986*AJ1986,2)</f>
        <v>0</v>
      </c>
      <c r="AL1986">
        <f t="shared" ref="AL1986:AL2049" si="193">AI1986+AK1986</f>
        <v>3680</v>
      </c>
      <c r="AM1986">
        <f t="shared" ref="AM1986:AM2049" si="194">AE1986-AL1986</f>
        <v>0</v>
      </c>
      <c r="AN1986" s="4">
        <f t="shared" ref="AN1986:AN2026" si="195">AM1986/AE1986</f>
        <v>0</v>
      </c>
      <c r="AO1986" t="s">
        <v>221</v>
      </c>
      <c r="AT1986" t="s">
        <v>64</v>
      </c>
    </row>
    <row r="1987" ht="15.75" customHeight="1" spans="1:46">
      <c r="A1987" t="s">
        <v>3188</v>
      </c>
      <c r="B1987" t="s">
        <v>83</v>
      </c>
      <c r="C1987" t="s">
        <v>435</v>
      </c>
      <c r="D1987" t="s">
        <v>3151</v>
      </c>
      <c r="E1987" t="s">
        <v>839</v>
      </c>
      <c r="F1987" t="s">
        <v>3179</v>
      </c>
      <c r="H1987" t="s">
        <v>124</v>
      </c>
      <c r="I1987" t="s">
        <v>2941</v>
      </c>
      <c r="J1987" t="s">
        <v>3181</v>
      </c>
      <c r="K1987" t="s">
        <v>3202</v>
      </c>
      <c r="Q1987" t="s">
        <v>57</v>
      </c>
      <c r="R1987" t="s">
        <v>3202</v>
      </c>
      <c r="AE1987">
        <v>3680</v>
      </c>
      <c r="AF1987" s="4"/>
      <c r="AG1987">
        <f t="shared" si="190"/>
        <v>3680</v>
      </c>
      <c r="AH1987" s="4"/>
      <c r="AI1987">
        <f t="shared" si="191"/>
        <v>3680</v>
      </c>
      <c r="AJ1987" s="4"/>
      <c r="AK1987">
        <f t="shared" si="192"/>
        <v>0</v>
      </c>
      <c r="AL1987">
        <f t="shared" si="193"/>
        <v>3680</v>
      </c>
      <c r="AM1987">
        <f t="shared" si="194"/>
        <v>0</v>
      </c>
      <c r="AN1987" s="4">
        <f t="shared" si="195"/>
        <v>0</v>
      </c>
      <c r="AO1987" t="s">
        <v>221</v>
      </c>
      <c r="AT1987" t="s">
        <v>64</v>
      </c>
    </row>
    <row r="1988" ht="15.75" customHeight="1" spans="1:46">
      <c r="A1988" t="s">
        <v>3188</v>
      </c>
      <c r="B1988" t="s">
        <v>131</v>
      </c>
      <c r="C1988" t="s">
        <v>435</v>
      </c>
      <c r="D1988" t="s">
        <v>3151</v>
      </c>
      <c r="E1988" t="s">
        <v>839</v>
      </c>
      <c r="F1988" t="s">
        <v>3179</v>
      </c>
      <c r="H1988" t="s">
        <v>124</v>
      </c>
      <c r="I1988" t="s">
        <v>2941</v>
      </c>
      <c r="J1988" t="s">
        <v>3181</v>
      </c>
      <c r="K1988" t="s">
        <v>3196</v>
      </c>
      <c r="Q1988" t="s">
        <v>57</v>
      </c>
      <c r="R1988" t="s">
        <v>3203</v>
      </c>
      <c r="Y1988" t="s">
        <v>3204</v>
      </c>
      <c r="AE1988">
        <v>3540</v>
      </c>
      <c r="AF1988" s="4"/>
      <c r="AG1988">
        <f t="shared" si="190"/>
        <v>3540</v>
      </c>
      <c r="AH1988" s="4"/>
      <c r="AI1988">
        <f t="shared" si="191"/>
        <v>3540</v>
      </c>
      <c r="AJ1988" s="4"/>
      <c r="AK1988">
        <f t="shared" si="192"/>
        <v>0</v>
      </c>
      <c r="AL1988">
        <f t="shared" si="193"/>
        <v>3540</v>
      </c>
      <c r="AM1988">
        <f t="shared" si="194"/>
        <v>0</v>
      </c>
      <c r="AN1988" s="4">
        <f t="shared" si="195"/>
        <v>0</v>
      </c>
      <c r="AO1988" t="s">
        <v>221</v>
      </c>
      <c r="AT1988" t="s">
        <v>64</v>
      </c>
    </row>
    <row r="1989" ht="15.75" customHeight="1" spans="1:46">
      <c r="A1989" t="s">
        <v>3188</v>
      </c>
      <c r="B1989" t="s">
        <v>133</v>
      </c>
      <c r="C1989" t="s">
        <v>435</v>
      </c>
      <c r="D1989" t="s">
        <v>3151</v>
      </c>
      <c r="E1989" t="s">
        <v>839</v>
      </c>
      <c r="F1989" t="s">
        <v>3179</v>
      </c>
      <c r="H1989" t="s">
        <v>124</v>
      </c>
      <c r="I1989" t="s">
        <v>3205</v>
      </c>
      <c r="J1989" t="s">
        <v>3181</v>
      </c>
      <c r="K1989" t="s">
        <v>3190</v>
      </c>
      <c r="Q1989" t="s">
        <v>57</v>
      </c>
      <c r="R1989" t="s">
        <v>3206</v>
      </c>
      <c r="Y1989" t="s">
        <v>3207</v>
      </c>
      <c r="AE1989">
        <v>1605</v>
      </c>
      <c r="AF1989" s="4"/>
      <c r="AG1989">
        <f t="shared" si="190"/>
        <v>1605</v>
      </c>
      <c r="AH1989" s="4"/>
      <c r="AI1989">
        <f t="shared" si="191"/>
        <v>1605</v>
      </c>
      <c r="AJ1989" s="4"/>
      <c r="AK1989">
        <f t="shared" si="192"/>
        <v>0</v>
      </c>
      <c r="AL1989">
        <f t="shared" si="193"/>
        <v>1605</v>
      </c>
      <c r="AM1989">
        <f t="shared" si="194"/>
        <v>0</v>
      </c>
      <c r="AN1989" s="4">
        <f t="shared" si="195"/>
        <v>0</v>
      </c>
      <c r="AO1989" t="s">
        <v>221</v>
      </c>
      <c r="AT1989" t="s">
        <v>64</v>
      </c>
    </row>
    <row r="1990" ht="15.75" customHeight="1" spans="1:46">
      <c r="A1990" t="s">
        <v>3208</v>
      </c>
      <c r="B1990" t="s">
        <v>46</v>
      </c>
      <c r="C1990" t="s">
        <v>435</v>
      </c>
      <c r="D1990" t="s">
        <v>3151</v>
      </c>
      <c r="E1990" t="s">
        <v>839</v>
      </c>
      <c r="F1990" t="s">
        <v>3209</v>
      </c>
      <c r="H1990" t="s">
        <v>124</v>
      </c>
      <c r="I1990" t="s">
        <v>1366</v>
      </c>
      <c r="J1990" t="s">
        <v>3181</v>
      </c>
      <c r="K1990" t="s">
        <v>3190</v>
      </c>
      <c r="Q1990" t="s">
        <v>57</v>
      </c>
      <c r="R1990" t="s">
        <v>3210</v>
      </c>
      <c r="Y1990" t="s">
        <v>3211</v>
      </c>
      <c r="AE1990">
        <v>1720</v>
      </c>
      <c r="AF1990" s="4"/>
      <c r="AG1990">
        <f t="shared" si="190"/>
        <v>1720</v>
      </c>
      <c r="AH1990" s="4"/>
      <c r="AI1990">
        <f t="shared" si="191"/>
        <v>1720</v>
      </c>
      <c r="AJ1990" s="4"/>
      <c r="AK1990">
        <f t="shared" si="192"/>
        <v>0</v>
      </c>
      <c r="AL1990">
        <f t="shared" si="193"/>
        <v>1720</v>
      </c>
      <c r="AM1990">
        <f t="shared" si="194"/>
        <v>0</v>
      </c>
      <c r="AN1990" s="4">
        <f t="shared" si="195"/>
        <v>0</v>
      </c>
      <c r="AO1990" t="s">
        <v>221</v>
      </c>
      <c r="AT1990" t="s">
        <v>64</v>
      </c>
    </row>
    <row r="1991" ht="15.75" customHeight="1" spans="1:46">
      <c r="A1991" t="s">
        <v>3212</v>
      </c>
      <c r="B1991" t="s">
        <v>46</v>
      </c>
      <c r="C1991" t="s">
        <v>435</v>
      </c>
      <c r="D1991" t="s">
        <v>3151</v>
      </c>
      <c r="E1991" t="s">
        <v>839</v>
      </c>
      <c r="F1991" t="s">
        <v>3213</v>
      </c>
      <c r="H1991" t="s">
        <v>124</v>
      </c>
      <c r="I1991" t="s">
        <v>3214</v>
      </c>
      <c r="J1991" t="s">
        <v>3181</v>
      </c>
      <c r="K1991" t="s">
        <v>3215</v>
      </c>
      <c r="Q1991" t="s">
        <v>57</v>
      </c>
      <c r="R1991" t="s">
        <v>3216</v>
      </c>
      <c r="Y1991" t="s">
        <v>3217</v>
      </c>
      <c r="AE1991">
        <v>3470</v>
      </c>
      <c r="AF1991" s="4"/>
      <c r="AG1991">
        <f t="shared" si="190"/>
        <v>3470</v>
      </c>
      <c r="AH1991" s="4"/>
      <c r="AI1991">
        <f t="shared" si="191"/>
        <v>3470</v>
      </c>
      <c r="AJ1991" s="4"/>
      <c r="AK1991">
        <f t="shared" si="192"/>
        <v>0</v>
      </c>
      <c r="AL1991">
        <f t="shared" si="193"/>
        <v>3470</v>
      </c>
      <c r="AM1991">
        <f t="shared" si="194"/>
        <v>0</v>
      </c>
      <c r="AN1991" s="4">
        <f t="shared" si="195"/>
        <v>0</v>
      </c>
      <c r="AO1991" t="s">
        <v>221</v>
      </c>
      <c r="AT1991" t="s">
        <v>64</v>
      </c>
    </row>
    <row r="1992" ht="15.75" customHeight="1" spans="1:46">
      <c r="A1992" t="s">
        <v>3212</v>
      </c>
      <c r="B1992" t="s">
        <v>67</v>
      </c>
      <c r="C1992" t="s">
        <v>435</v>
      </c>
      <c r="D1992" t="s">
        <v>3151</v>
      </c>
      <c r="E1992" t="s">
        <v>839</v>
      </c>
      <c r="F1992" t="s">
        <v>3213</v>
      </c>
      <c r="H1992" t="s">
        <v>124</v>
      </c>
      <c r="I1992" t="s">
        <v>3218</v>
      </c>
      <c r="J1992" t="s">
        <v>3181</v>
      </c>
      <c r="K1992" t="s">
        <v>3215</v>
      </c>
      <c r="Q1992" t="s">
        <v>57</v>
      </c>
      <c r="R1992" t="s">
        <v>3219</v>
      </c>
      <c r="Y1992" t="s">
        <v>3220</v>
      </c>
      <c r="AE1992">
        <v>3580</v>
      </c>
      <c r="AF1992" s="4"/>
      <c r="AG1992">
        <f t="shared" si="190"/>
        <v>3580</v>
      </c>
      <c r="AH1992" s="4"/>
      <c r="AI1992">
        <f t="shared" si="191"/>
        <v>3580</v>
      </c>
      <c r="AJ1992" s="4"/>
      <c r="AK1992">
        <f t="shared" si="192"/>
        <v>0</v>
      </c>
      <c r="AL1992">
        <f t="shared" si="193"/>
        <v>3580</v>
      </c>
      <c r="AM1992">
        <f t="shared" si="194"/>
        <v>0</v>
      </c>
      <c r="AN1992" s="4">
        <f t="shared" si="195"/>
        <v>0</v>
      </c>
      <c r="AO1992" t="s">
        <v>221</v>
      </c>
      <c r="AT1992" t="s">
        <v>64</v>
      </c>
    </row>
    <row r="1993" ht="15.75" customHeight="1" spans="1:46">
      <c r="A1993" t="s">
        <v>3221</v>
      </c>
      <c r="B1993" t="s">
        <v>46</v>
      </c>
      <c r="C1993" t="s">
        <v>2210</v>
      </c>
      <c r="D1993" t="s">
        <v>3222</v>
      </c>
      <c r="E1993" t="s">
        <v>3223</v>
      </c>
      <c r="F1993" t="s">
        <v>3224</v>
      </c>
      <c r="H1993" t="s">
        <v>124</v>
      </c>
      <c r="I1993" t="s">
        <v>143</v>
      </c>
      <c r="Q1993" t="s">
        <v>57</v>
      </c>
      <c r="Y1993" t="s">
        <v>3225</v>
      </c>
      <c r="AE1993">
        <v>589</v>
      </c>
      <c r="AF1993" s="4"/>
      <c r="AG1993">
        <f t="shared" si="190"/>
        <v>589</v>
      </c>
      <c r="AH1993" s="4"/>
      <c r="AI1993">
        <f t="shared" si="191"/>
        <v>589</v>
      </c>
      <c r="AJ1993" s="4"/>
      <c r="AK1993">
        <f t="shared" si="192"/>
        <v>0</v>
      </c>
      <c r="AL1993">
        <f t="shared" si="193"/>
        <v>589</v>
      </c>
      <c r="AM1993">
        <f t="shared" si="194"/>
        <v>0</v>
      </c>
      <c r="AN1993" s="4">
        <f t="shared" si="195"/>
        <v>0</v>
      </c>
    </row>
    <row r="1994" ht="15.75" customHeight="1" spans="1:46">
      <c r="A1994" t="s">
        <v>3221</v>
      </c>
      <c r="B1994" t="s">
        <v>67</v>
      </c>
      <c r="C1994" t="s">
        <v>2210</v>
      </c>
      <c r="D1994" t="s">
        <v>3222</v>
      </c>
      <c r="E1994" t="s">
        <v>3223</v>
      </c>
      <c r="F1994" t="s">
        <v>3224</v>
      </c>
      <c r="H1994" t="s">
        <v>124</v>
      </c>
      <c r="I1994" t="s">
        <v>3226</v>
      </c>
      <c r="Q1994" t="s">
        <v>57</v>
      </c>
      <c r="Y1994" t="s">
        <v>3227</v>
      </c>
      <c r="AE1994">
        <v>589</v>
      </c>
      <c r="AF1994" s="4"/>
      <c r="AG1994">
        <f t="shared" si="190"/>
        <v>589</v>
      </c>
      <c r="AH1994" s="4"/>
      <c r="AI1994">
        <f t="shared" si="191"/>
        <v>589</v>
      </c>
      <c r="AJ1994" s="4"/>
      <c r="AK1994">
        <f t="shared" si="192"/>
        <v>0</v>
      </c>
      <c r="AL1994">
        <f t="shared" si="193"/>
        <v>589</v>
      </c>
      <c r="AM1994">
        <f t="shared" si="194"/>
        <v>0</v>
      </c>
      <c r="AN1994" s="4">
        <f t="shared" si="195"/>
        <v>0</v>
      </c>
    </row>
    <row r="1995" ht="15.75" customHeight="1" spans="1:46">
      <c r="A1995" t="s">
        <v>3221</v>
      </c>
      <c r="B1995" t="s">
        <v>71</v>
      </c>
      <c r="C1995" t="s">
        <v>2210</v>
      </c>
      <c r="D1995" t="s">
        <v>3222</v>
      </c>
      <c r="E1995" t="s">
        <v>3223</v>
      </c>
      <c r="F1995" t="s">
        <v>3224</v>
      </c>
      <c r="H1995" t="s">
        <v>124</v>
      </c>
      <c r="I1995" t="s">
        <v>3228</v>
      </c>
      <c r="Q1995" t="s">
        <v>57</v>
      </c>
      <c r="Y1995" t="s">
        <v>3227</v>
      </c>
      <c r="AE1995">
        <v>589</v>
      </c>
      <c r="AF1995" s="4"/>
      <c r="AG1995">
        <f t="shared" si="190"/>
        <v>589</v>
      </c>
      <c r="AH1995" s="4"/>
      <c r="AI1995">
        <f t="shared" si="191"/>
        <v>589</v>
      </c>
      <c r="AJ1995" s="4"/>
      <c r="AK1995">
        <f t="shared" si="192"/>
        <v>0</v>
      </c>
      <c r="AL1995">
        <f t="shared" si="193"/>
        <v>589</v>
      </c>
      <c r="AM1995">
        <f t="shared" si="194"/>
        <v>0</v>
      </c>
      <c r="AN1995" s="4">
        <f t="shared" si="195"/>
        <v>0</v>
      </c>
    </row>
    <row r="1996" ht="15.75" customHeight="1" spans="1:46">
      <c r="A1996" t="s">
        <v>3221</v>
      </c>
      <c r="B1996" t="s">
        <v>75</v>
      </c>
      <c r="C1996" t="s">
        <v>2210</v>
      </c>
      <c r="D1996" t="s">
        <v>3222</v>
      </c>
      <c r="E1996" t="s">
        <v>3223</v>
      </c>
      <c r="F1996" t="s">
        <v>3224</v>
      </c>
      <c r="H1996" t="s">
        <v>124</v>
      </c>
      <c r="I1996" t="s">
        <v>197</v>
      </c>
      <c r="Q1996" t="s">
        <v>57</v>
      </c>
      <c r="Y1996" t="s">
        <v>3227</v>
      </c>
      <c r="AE1996">
        <v>589</v>
      </c>
      <c r="AF1996" s="4"/>
      <c r="AG1996">
        <f t="shared" si="190"/>
        <v>589</v>
      </c>
      <c r="AH1996" s="4"/>
      <c r="AI1996">
        <f t="shared" si="191"/>
        <v>589</v>
      </c>
      <c r="AJ1996" s="4"/>
      <c r="AK1996">
        <f t="shared" si="192"/>
        <v>0</v>
      </c>
      <c r="AL1996">
        <f t="shared" si="193"/>
        <v>589</v>
      </c>
      <c r="AM1996">
        <f t="shared" si="194"/>
        <v>0</v>
      </c>
      <c r="AN1996" s="4">
        <f t="shared" si="195"/>
        <v>0</v>
      </c>
    </row>
    <row r="1997" ht="15.75" customHeight="1" spans="1:46">
      <c r="A1997" t="s">
        <v>3229</v>
      </c>
      <c r="B1997" t="s">
        <v>46</v>
      </c>
      <c r="C1997" t="s">
        <v>2210</v>
      </c>
      <c r="D1997" t="s">
        <v>3222</v>
      </c>
      <c r="E1997" t="s">
        <v>1022</v>
      </c>
      <c r="F1997" t="s">
        <v>3224</v>
      </c>
      <c r="H1997" t="s">
        <v>124</v>
      </c>
      <c r="I1997" t="s">
        <v>909</v>
      </c>
      <c r="Q1997" t="s">
        <v>57</v>
      </c>
      <c r="Y1997" t="s">
        <v>3230</v>
      </c>
      <c r="AE1997">
        <v>519</v>
      </c>
      <c r="AF1997" s="4"/>
      <c r="AG1997">
        <f t="shared" si="190"/>
        <v>519</v>
      </c>
      <c r="AH1997" s="4"/>
      <c r="AI1997">
        <f t="shared" si="191"/>
        <v>519</v>
      </c>
      <c r="AJ1997" s="4"/>
      <c r="AK1997">
        <f t="shared" si="192"/>
        <v>0</v>
      </c>
      <c r="AL1997">
        <f t="shared" si="193"/>
        <v>519</v>
      </c>
      <c r="AM1997">
        <f t="shared" si="194"/>
        <v>0</v>
      </c>
      <c r="AN1997" s="4">
        <f t="shared" si="195"/>
        <v>0</v>
      </c>
    </row>
    <row r="1998" ht="15.75" customHeight="1" spans="1:46">
      <c r="A1998" t="s">
        <v>3229</v>
      </c>
      <c r="B1998" t="s">
        <v>67</v>
      </c>
      <c r="C1998" t="s">
        <v>2210</v>
      </c>
      <c r="D1998" t="s">
        <v>3222</v>
      </c>
      <c r="E1998" t="s">
        <v>1022</v>
      </c>
      <c r="F1998" t="s">
        <v>3224</v>
      </c>
      <c r="H1998" t="s">
        <v>124</v>
      </c>
      <c r="I1998" t="s">
        <v>197</v>
      </c>
      <c r="Q1998" t="s">
        <v>57</v>
      </c>
      <c r="Y1998" t="s">
        <v>3231</v>
      </c>
      <c r="AE1998">
        <v>519</v>
      </c>
      <c r="AF1998" s="4"/>
      <c r="AG1998">
        <f t="shared" si="190"/>
        <v>519</v>
      </c>
      <c r="AH1998" s="4"/>
      <c r="AI1998">
        <f t="shared" si="191"/>
        <v>519</v>
      </c>
      <c r="AJ1998" s="4"/>
      <c r="AK1998">
        <f t="shared" si="192"/>
        <v>0</v>
      </c>
      <c r="AL1998">
        <f t="shared" si="193"/>
        <v>519</v>
      </c>
      <c r="AM1998">
        <f t="shared" si="194"/>
        <v>0</v>
      </c>
      <c r="AN1998" s="4">
        <f t="shared" si="195"/>
        <v>0</v>
      </c>
    </row>
    <row r="1999" ht="15.75" customHeight="1" spans="1:46">
      <c r="A1999" t="s">
        <v>3232</v>
      </c>
      <c r="B1999" t="s">
        <v>46</v>
      </c>
      <c r="C1999" t="s">
        <v>2210</v>
      </c>
      <c r="D1999" t="s">
        <v>3222</v>
      </c>
      <c r="E1999" t="s">
        <v>1453</v>
      </c>
      <c r="F1999" t="s">
        <v>3224</v>
      </c>
      <c r="H1999" t="s">
        <v>124</v>
      </c>
      <c r="I1999" t="s">
        <v>3233</v>
      </c>
      <c r="Q1999" t="s">
        <v>57</v>
      </c>
      <c r="Y1999" t="s">
        <v>3234</v>
      </c>
      <c r="AE1999">
        <v>180</v>
      </c>
      <c r="AF1999" s="4"/>
      <c r="AG1999">
        <f t="shared" si="190"/>
        <v>180</v>
      </c>
      <c r="AH1999" s="4"/>
      <c r="AI1999">
        <f t="shared" si="191"/>
        <v>180</v>
      </c>
      <c r="AJ1999" s="4"/>
      <c r="AK1999">
        <f t="shared" si="192"/>
        <v>0</v>
      </c>
      <c r="AL1999">
        <f t="shared" si="193"/>
        <v>180</v>
      </c>
      <c r="AM1999">
        <f t="shared" si="194"/>
        <v>0</v>
      </c>
      <c r="AN1999" s="4">
        <f t="shared" si="195"/>
        <v>0</v>
      </c>
    </row>
    <row r="2000" ht="15.75" customHeight="1" spans="1:46">
      <c r="A2000" t="s">
        <v>3232</v>
      </c>
      <c r="B2000" t="s">
        <v>67</v>
      </c>
      <c r="C2000" t="s">
        <v>2210</v>
      </c>
      <c r="D2000" t="s">
        <v>3222</v>
      </c>
      <c r="E2000" t="s">
        <v>1453</v>
      </c>
      <c r="F2000" t="s">
        <v>3224</v>
      </c>
      <c r="H2000" t="s">
        <v>124</v>
      </c>
      <c r="I2000" t="s">
        <v>3235</v>
      </c>
      <c r="Q2000" t="s">
        <v>57</v>
      </c>
      <c r="Y2000" t="s">
        <v>3234</v>
      </c>
      <c r="AE2000">
        <v>180</v>
      </c>
      <c r="AF2000" s="4"/>
      <c r="AG2000">
        <f t="shared" si="190"/>
        <v>180</v>
      </c>
      <c r="AH2000" s="4"/>
      <c r="AI2000">
        <f t="shared" si="191"/>
        <v>180</v>
      </c>
      <c r="AJ2000" s="4"/>
      <c r="AK2000">
        <f t="shared" si="192"/>
        <v>0</v>
      </c>
      <c r="AL2000">
        <f t="shared" si="193"/>
        <v>180</v>
      </c>
      <c r="AM2000">
        <f t="shared" si="194"/>
        <v>0</v>
      </c>
      <c r="AN2000" s="4">
        <f t="shared" si="195"/>
        <v>0</v>
      </c>
    </row>
    <row r="2001" ht="15.75" customHeight="1" spans="1:40">
      <c r="A2001" t="s">
        <v>3232</v>
      </c>
      <c r="B2001" t="s">
        <v>71</v>
      </c>
      <c r="C2001" t="s">
        <v>2210</v>
      </c>
      <c r="D2001" t="s">
        <v>3222</v>
      </c>
      <c r="E2001" t="s">
        <v>1453</v>
      </c>
      <c r="F2001" t="s">
        <v>3224</v>
      </c>
      <c r="H2001" t="s">
        <v>124</v>
      </c>
      <c r="I2001" t="s">
        <v>3226</v>
      </c>
      <c r="Q2001" t="s">
        <v>57</v>
      </c>
      <c r="Y2001" t="s">
        <v>3234</v>
      </c>
      <c r="AE2001">
        <v>180</v>
      </c>
      <c r="AF2001" s="4"/>
      <c r="AG2001">
        <f t="shared" si="190"/>
        <v>180</v>
      </c>
      <c r="AH2001" s="4"/>
      <c r="AI2001">
        <f t="shared" si="191"/>
        <v>180</v>
      </c>
      <c r="AJ2001" s="4"/>
      <c r="AK2001">
        <f t="shared" si="192"/>
        <v>0</v>
      </c>
      <c r="AL2001">
        <f t="shared" si="193"/>
        <v>180</v>
      </c>
      <c r="AM2001">
        <f t="shared" si="194"/>
        <v>0</v>
      </c>
      <c r="AN2001" s="4">
        <f t="shared" si="195"/>
        <v>0</v>
      </c>
    </row>
    <row r="2002" ht="15.75" customHeight="1" spans="1:40">
      <c r="A2002" t="s">
        <v>3236</v>
      </c>
      <c r="B2002" t="s">
        <v>46</v>
      </c>
      <c r="C2002" t="s">
        <v>2210</v>
      </c>
      <c r="D2002" t="s">
        <v>3222</v>
      </c>
      <c r="E2002" t="s">
        <v>3237</v>
      </c>
      <c r="F2002" t="s">
        <v>3238</v>
      </c>
      <c r="H2002" t="s">
        <v>124</v>
      </c>
      <c r="I2002" t="s">
        <v>3239</v>
      </c>
      <c r="Q2002" t="s">
        <v>57</v>
      </c>
      <c r="Y2002" t="s">
        <v>3240</v>
      </c>
      <c r="AE2002">
        <v>1375</v>
      </c>
      <c r="AF2002" s="4"/>
      <c r="AG2002">
        <f t="shared" si="190"/>
        <v>1375</v>
      </c>
      <c r="AH2002" s="4"/>
      <c r="AI2002">
        <f t="shared" si="191"/>
        <v>1375</v>
      </c>
      <c r="AJ2002" s="4"/>
      <c r="AK2002">
        <f t="shared" si="192"/>
        <v>0</v>
      </c>
      <c r="AL2002">
        <f t="shared" si="193"/>
        <v>1375</v>
      </c>
      <c r="AM2002">
        <f t="shared" si="194"/>
        <v>0</v>
      </c>
      <c r="AN2002" s="4">
        <f t="shared" si="195"/>
        <v>0</v>
      </c>
    </row>
    <row r="2003" ht="15.75" customHeight="1" spans="1:40">
      <c r="A2003" t="s">
        <v>3241</v>
      </c>
      <c r="B2003" t="s">
        <v>46</v>
      </c>
      <c r="C2003" t="s">
        <v>2210</v>
      </c>
      <c r="D2003" t="s">
        <v>3222</v>
      </c>
      <c r="E2003" t="s">
        <v>3237</v>
      </c>
      <c r="F2003" t="s">
        <v>3242</v>
      </c>
      <c r="H2003" t="s">
        <v>124</v>
      </c>
      <c r="I2003" t="s">
        <v>197</v>
      </c>
      <c r="Q2003" t="s">
        <v>57</v>
      </c>
      <c r="Y2003" t="s">
        <v>3243</v>
      </c>
      <c r="AE2003">
        <v>1375</v>
      </c>
      <c r="AF2003" s="4"/>
      <c r="AG2003">
        <f t="shared" si="190"/>
        <v>1375</v>
      </c>
      <c r="AH2003" s="4"/>
      <c r="AI2003">
        <f t="shared" si="191"/>
        <v>1375</v>
      </c>
      <c r="AJ2003" s="4"/>
      <c r="AK2003">
        <f t="shared" si="192"/>
        <v>0</v>
      </c>
      <c r="AL2003">
        <f t="shared" si="193"/>
        <v>1375</v>
      </c>
      <c r="AM2003">
        <f t="shared" si="194"/>
        <v>0</v>
      </c>
      <c r="AN2003" s="4">
        <f t="shared" si="195"/>
        <v>0</v>
      </c>
    </row>
    <row r="2004" ht="15.75" customHeight="1" spans="1:40">
      <c r="A2004" t="s">
        <v>3236</v>
      </c>
      <c r="B2004" t="s">
        <v>67</v>
      </c>
      <c r="C2004" t="s">
        <v>2210</v>
      </c>
      <c r="D2004" t="s">
        <v>3222</v>
      </c>
      <c r="E2004" t="s">
        <v>3237</v>
      </c>
      <c r="F2004" t="s">
        <v>3238</v>
      </c>
      <c r="H2004" t="s">
        <v>124</v>
      </c>
      <c r="I2004" t="s">
        <v>3016</v>
      </c>
      <c r="Q2004" t="s">
        <v>57</v>
      </c>
      <c r="Y2004" t="s">
        <v>3244</v>
      </c>
      <c r="AE2004">
        <v>1375</v>
      </c>
      <c r="AF2004" s="4"/>
      <c r="AG2004">
        <f t="shared" si="190"/>
        <v>1375</v>
      </c>
      <c r="AH2004" s="4"/>
      <c r="AI2004">
        <f t="shared" si="191"/>
        <v>1375</v>
      </c>
      <c r="AJ2004" s="4"/>
      <c r="AK2004">
        <f t="shared" si="192"/>
        <v>0</v>
      </c>
      <c r="AL2004">
        <f t="shared" si="193"/>
        <v>1375</v>
      </c>
      <c r="AM2004">
        <f t="shared" si="194"/>
        <v>0</v>
      </c>
      <c r="AN2004" s="4">
        <f t="shared" si="195"/>
        <v>0</v>
      </c>
    </row>
    <row r="2005" ht="15.75" customHeight="1" spans="1:40">
      <c r="A2005" t="s">
        <v>3245</v>
      </c>
      <c r="B2005" t="s">
        <v>46</v>
      </c>
      <c r="C2005" t="s">
        <v>2210</v>
      </c>
      <c r="D2005" t="s">
        <v>3222</v>
      </c>
      <c r="E2005" t="s">
        <v>3237</v>
      </c>
      <c r="F2005" t="s">
        <v>3224</v>
      </c>
      <c r="H2005" t="s">
        <v>124</v>
      </c>
      <c r="I2005" t="s">
        <v>3246</v>
      </c>
      <c r="Q2005" t="s">
        <v>57</v>
      </c>
      <c r="Y2005" t="s">
        <v>3247</v>
      </c>
      <c r="AE2005">
        <v>250</v>
      </c>
      <c r="AF2005" s="4"/>
      <c r="AG2005">
        <f t="shared" si="190"/>
        <v>250</v>
      </c>
      <c r="AH2005" s="4"/>
      <c r="AI2005">
        <f t="shared" si="191"/>
        <v>250</v>
      </c>
      <c r="AJ2005" s="4"/>
      <c r="AK2005">
        <f t="shared" si="192"/>
        <v>0</v>
      </c>
      <c r="AL2005">
        <f t="shared" si="193"/>
        <v>250</v>
      </c>
      <c r="AM2005">
        <f t="shared" si="194"/>
        <v>0</v>
      </c>
      <c r="AN2005" s="4">
        <f t="shared" si="195"/>
        <v>0</v>
      </c>
    </row>
    <row r="2006" ht="15.75" customHeight="1" spans="1:40">
      <c r="A2006" t="s">
        <v>3245</v>
      </c>
      <c r="B2006" t="s">
        <v>67</v>
      </c>
      <c r="C2006" t="s">
        <v>2210</v>
      </c>
      <c r="D2006" t="s">
        <v>3222</v>
      </c>
      <c r="E2006" t="s">
        <v>3237</v>
      </c>
      <c r="F2006" t="s">
        <v>3224</v>
      </c>
      <c r="H2006" t="s">
        <v>124</v>
      </c>
      <c r="I2006" t="s">
        <v>3016</v>
      </c>
      <c r="Q2006" t="s">
        <v>57</v>
      </c>
      <c r="Y2006" t="s">
        <v>3248</v>
      </c>
      <c r="AE2006">
        <v>250</v>
      </c>
      <c r="AF2006" s="4"/>
      <c r="AG2006">
        <f t="shared" si="190"/>
        <v>250</v>
      </c>
      <c r="AH2006" s="4"/>
      <c r="AI2006">
        <f t="shared" si="191"/>
        <v>250</v>
      </c>
      <c r="AJ2006" s="4"/>
      <c r="AK2006">
        <f t="shared" si="192"/>
        <v>0</v>
      </c>
      <c r="AL2006">
        <f t="shared" si="193"/>
        <v>250</v>
      </c>
      <c r="AM2006">
        <f t="shared" si="194"/>
        <v>0</v>
      </c>
      <c r="AN2006" s="4">
        <f t="shared" si="195"/>
        <v>0</v>
      </c>
    </row>
    <row r="2007" ht="15.75" customHeight="1" spans="1:40">
      <c r="A2007" t="s">
        <v>3249</v>
      </c>
      <c r="B2007" t="s">
        <v>46</v>
      </c>
      <c r="C2007" t="s">
        <v>2210</v>
      </c>
      <c r="D2007" t="s">
        <v>2313</v>
      </c>
      <c r="E2007" t="s">
        <v>1022</v>
      </c>
      <c r="F2007" t="s">
        <v>3250</v>
      </c>
      <c r="H2007" t="s">
        <v>969</v>
      </c>
      <c r="I2007" t="s">
        <v>2319</v>
      </c>
      <c r="Q2007" t="s">
        <v>57</v>
      </c>
      <c r="Y2007" t="s">
        <v>3251</v>
      </c>
      <c r="AF2007" s="4"/>
      <c r="AG2007">
        <f t="shared" si="190"/>
        <v>0</v>
      </c>
      <c r="AH2007" s="4"/>
      <c r="AI2007">
        <f t="shared" si="191"/>
        <v>0</v>
      </c>
      <c r="AJ2007" s="4"/>
      <c r="AK2007">
        <f t="shared" si="192"/>
        <v>0</v>
      </c>
      <c r="AL2007">
        <f t="shared" si="193"/>
        <v>0</v>
      </c>
      <c r="AM2007">
        <f t="shared" si="194"/>
        <v>0</v>
      </c>
      <c r="AN2007" s="4" t="e">
        <f t="shared" si="195"/>
        <v>#DIV/0!</v>
      </c>
    </row>
    <row r="2008" ht="15.75" customHeight="1" spans="1:40">
      <c r="A2008" t="s">
        <v>3249</v>
      </c>
      <c r="B2008" t="s">
        <v>67</v>
      </c>
      <c r="C2008" t="s">
        <v>2210</v>
      </c>
      <c r="D2008" t="s">
        <v>2313</v>
      </c>
      <c r="E2008" t="s">
        <v>1022</v>
      </c>
      <c r="F2008" t="s">
        <v>3250</v>
      </c>
      <c r="H2008" t="s">
        <v>969</v>
      </c>
      <c r="I2008" t="s">
        <v>2321</v>
      </c>
      <c r="Q2008" t="s">
        <v>57</v>
      </c>
      <c r="Y2008" t="s">
        <v>3251</v>
      </c>
      <c r="AF2008" s="4"/>
      <c r="AG2008">
        <f t="shared" si="190"/>
        <v>0</v>
      </c>
      <c r="AH2008" s="4"/>
      <c r="AI2008">
        <f t="shared" si="191"/>
        <v>0</v>
      </c>
      <c r="AJ2008" s="4"/>
      <c r="AK2008">
        <f t="shared" si="192"/>
        <v>0</v>
      </c>
      <c r="AL2008">
        <f t="shared" si="193"/>
        <v>0</v>
      </c>
      <c r="AM2008">
        <f t="shared" si="194"/>
        <v>0</v>
      </c>
      <c r="AN2008" s="4" t="e">
        <f t="shared" si="195"/>
        <v>#DIV/0!</v>
      </c>
    </row>
    <row r="2009" ht="15.75" customHeight="1" spans="1:40">
      <c r="A2009" t="s">
        <v>3249</v>
      </c>
      <c r="B2009" t="s">
        <v>71</v>
      </c>
      <c r="C2009" t="s">
        <v>2210</v>
      </c>
      <c r="D2009" t="s">
        <v>2313</v>
      </c>
      <c r="E2009" t="s">
        <v>1022</v>
      </c>
      <c r="F2009" t="s">
        <v>3250</v>
      </c>
      <c r="H2009" t="s">
        <v>969</v>
      </c>
      <c r="I2009" t="s">
        <v>2323</v>
      </c>
      <c r="Q2009" t="s">
        <v>57</v>
      </c>
      <c r="Y2009" t="s">
        <v>3251</v>
      </c>
      <c r="AF2009" s="4"/>
      <c r="AG2009">
        <f t="shared" si="190"/>
        <v>0</v>
      </c>
      <c r="AH2009" s="4"/>
      <c r="AI2009">
        <f t="shared" si="191"/>
        <v>0</v>
      </c>
      <c r="AJ2009" s="4"/>
      <c r="AK2009">
        <f t="shared" si="192"/>
        <v>0</v>
      </c>
      <c r="AL2009">
        <f t="shared" si="193"/>
        <v>0</v>
      </c>
      <c r="AM2009">
        <f t="shared" si="194"/>
        <v>0</v>
      </c>
      <c r="AN2009" s="4" t="e">
        <f t="shared" si="195"/>
        <v>#DIV/0!</v>
      </c>
    </row>
    <row r="2010" ht="15.75" customHeight="1" spans="1:40">
      <c r="A2010" t="s">
        <v>3249</v>
      </c>
      <c r="B2010" t="s">
        <v>75</v>
      </c>
      <c r="C2010" t="s">
        <v>2210</v>
      </c>
      <c r="D2010" t="s">
        <v>2313</v>
      </c>
      <c r="E2010" t="s">
        <v>1022</v>
      </c>
      <c r="F2010" t="s">
        <v>3250</v>
      </c>
      <c r="H2010" t="s">
        <v>969</v>
      </c>
      <c r="I2010" t="s">
        <v>2325</v>
      </c>
      <c r="Q2010" t="s">
        <v>57</v>
      </c>
      <c r="Y2010" t="s">
        <v>3251</v>
      </c>
      <c r="AF2010" s="4"/>
      <c r="AG2010">
        <f t="shared" si="190"/>
        <v>0</v>
      </c>
      <c r="AH2010" s="4"/>
      <c r="AI2010">
        <f t="shared" si="191"/>
        <v>0</v>
      </c>
      <c r="AJ2010" s="4"/>
      <c r="AK2010">
        <f t="shared" si="192"/>
        <v>0</v>
      </c>
      <c r="AL2010">
        <f t="shared" si="193"/>
        <v>0</v>
      </c>
      <c r="AM2010">
        <f t="shared" si="194"/>
        <v>0</v>
      </c>
      <c r="AN2010" s="4" t="e">
        <f t="shared" si="195"/>
        <v>#DIV/0!</v>
      </c>
    </row>
    <row r="2011" ht="15.75" customHeight="1" spans="1:40">
      <c r="A2011" t="s">
        <v>3249</v>
      </c>
      <c r="B2011" t="s">
        <v>79</v>
      </c>
      <c r="C2011" t="s">
        <v>2210</v>
      </c>
      <c r="D2011" t="s">
        <v>2313</v>
      </c>
      <c r="E2011" t="s">
        <v>1022</v>
      </c>
      <c r="F2011" t="s">
        <v>3250</v>
      </c>
      <c r="H2011" t="s">
        <v>969</v>
      </c>
      <c r="I2011" t="s">
        <v>2330</v>
      </c>
      <c r="Q2011" t="s">
        <v>57</v>
      </c>
      <c r="Y2011" t="s">
        <v>3251</v>
      </c>
      <c r="AF2011" s="4"/>
      <c r="AG2011">
        <f t="shared" si="190"/>
        <v>0</v>
      </c>
      <c r="AH2011" s="4"/>
      <c r="AI2011">
        <f t="shared" si="191"/>
        <v>0</v>
      </c>
      <c r="AJ2011" s="4"/>
      <c r="AK2011">
        <f t="shared" si="192"/>
        <v>0</v>
      </c>
      <c r="AL2011">
        <f t="shared" si="193"/>
        <v>0</v>
      </c>
      <c r="AM2011">
        <f t="shared" si="194"/>
        <v>0</v>
      </c>
      <c r="AN2011" s="4" t="e">
        <f t="shared" si="195"/>
        <v>#DIV/0!</v>
      </c>
    </row>
    <row r="2012" ht="15.75" customHeight="1" spans="1:40">
      <c r="A2012" t="s">
        <v>3249</v>
      </c>
      <c r="B2012" t="s">
        <v>83</v>
      </c>
      <c r="C2012" t="s">
        <v>2210</v>
      </c>
      <c r="D2012" t="s">
        <v>2313</v>
      </c>
      <c r="E2012" t="s">
        <v>1022</v>
      </c>
      <c r="F2012" t="s">
        <v>3250</v>
      </c>
      <c r="H2012" t="s">
        <v>969</v>
      </c>
      <c r="I2012" t="s">
        <v>3252</v>
      </c>
      <c r="Q2012" t="s">
        <v>57</v>
      </c>
      <c r="Y2012" t="s">
        <v>3251</v>
      </c>
      <c r="AF2012" s="4"/>
      <c r="AG2012">
        <f t="shared" si="190"/>
        <v>0</v>
      </c>
      <c r="AH2012" s="4"/>
      <c r="AI2012">
        <f t="shared" si="191"/>
        <v>0</v>
      </c>
      <c r="AJ2012" s="4"/>
      <c r="AK2012">
        <f t="shared" si="192"/>
        <v>0</v>
      </c>
      <c r="AL2012">
        <f t="shared" si="193"/>
        <v>0</v>
      </c>
      <c r="AM2012">
        <f t="shared" si="194"/>
        <v>0</v>
      </c>
      <c r="AN2012" s="4" t="e">
        <f t="shared" si="195"/>
        <v>#DIV/0!</v>
      </c>
    </row>
    <row r="2013" ht="15.75" customHeight="1" spans="1:40">
      <c r="A2013" t="s">
        <v>3253</v>
      </c>
      <c r="B2013" t="s">
        <v>46</v>
      </c>
      <c r="C2013" t="s">
        <v>2210</v>
      </c>
      <c r="D2013" t="s">
        <v>2313</v>
      </c>
      <c r="E2013" t="s">
        <v>1022</v>
      </c>
      <c r="F2013" t="s">
        <v>3254</v>
      </c>
      <c r="H2013" t="s">
        <v>969</v>
      </c>
      <c r="I2013" t="s">
        <v>2317</v>
      </c>
      <c r="Q2013" t="s">
        <v>57</v>
      </c>
      <c r="Y2013" t="s">
        <v>3255</v>
      </c>
      <c r="AF2013" s="4"/>
      <c r="AG2013">
        <f t="shared" si="190"/>
        <v>0</v>
      </c>
      <c r="AH2013" s="4"/>
      <c r="AI2013">
        <f t="shared" si="191"/>
        <v>0</v>
      </c>
      <c r="AJ2013" s="4"/>
      <c r="AK2013">
        <f t="shared" si="192"/>
        <v>0</v>
      </c>
      <c r="AL2013">
        <f t="shared" si="193"/>
        <v>0</v>
      </c>
      <c r="AM2013">
        <f t="shared" si="194"/>
        <v>0</v>
      </c>
      <c r="AN2013" s="4" t="e">
        <f t="shared" si="195"/>
        <v>#DIV/0!</v>
      </c>
    </row>
    <row r="2014" ht="15.75" customHeight="1" spans="1:40">
      <c r="A2014" t="s">
        <v>3253</v>
      </c>
      <c r="B2014" t="s">
        <v>67</v>
      </c>
      <c r="C2014" t="s">
        <v>2210</v>
      </c>
      <c r="D2014" t="s">
        <v>2313</v>
      </c>
      <c r="E2014" t="s">
        <v>1022</v>
      </c>
      <c r="F2014" t="s">
        <v>3254</v>
      </c>
      <c r="H2014" t="s">
        <v>969</v>
      </c>
      <c r="I2014" t="s">
        <v>2319</v>
      </c>
      <c r="Q2014" t="s">
        <v>57</v>
      </c>
      <c r="Y2014" t="s">
        <v>3256</v>
      </c>
      <c r="AF2014" s="4"/>
      <c r="AG2014">
        <f t="shared" si="190"/>
        <v>0</v>
      </c>
      <c r="AH2014" s="4"/>
      <c r="AI2014">
        <f t="shared" si="191"/>
        <v>0</v>
      </c>
      <c r="AJ2014" s="4"/>
      <c r="AK2014">
        <f t="shared" si="192"/>
        <v>0</v>
      </c>
      <c r="AL2014">
        <f t="shared" si="193"/>
        <v>0</v>
      </c>
      <c r="AM2014">
        <f t="shared" si="194"/>
        <v>0</v>
      </c>
      <c r="AN2014" s="4" t="e">
        <f t="shared" si="195"/>
        <v>#DIV/0!</v>
      </c>
    </row>
    <row r="2015" ht="15.75" customHeight="1" spans="1:40">
      <c r="A2015" t="s">
        <v>3257</v>
      </c>
      <c r="B2015" t="s">
        <v>46</v>
      </c>
      <c r="C2015" t="s">
        <v>2210</v>
      </c>
      <c r="D2015" t="s">
        <v>2313</v>
      </c>
      <c r="E2015" t="s">
        <v>3258</v>
      </c>
      <c r="F2015" t="s">
        <v>3259</v>
      </c>
      <c r="H2015" t="s">
        <v>319</v>
      </c>
      <c r="I2015" t="s">
        <v>3260</v>
      </c>
      <c r="Q2015" t="s">
        <v>57</v>
      </c>
      <c r="Y2015" t="s">
        <v>3261</v>
      </c>
      <c r="AF2015" s="4"/>
      <c r="AG2015">
        <f t="shared" si="190"/>
        <v>0</v>
      </c>
      <c r="AH2015" s="4"/>
      <c r="AI2015">
        <f t="shared" si="191"/>
        <v>0</v>
      </c>
      <c r="AJ2015" s="4"/>
      <c r="AK2015">
        <f t="shared" si="192"/>
        <v>0</v>
      </c>
      <c r="AL2015">
        <f t="shared" si="193"/>
        <v>0</v>
      </c>
      <c r="AM2015">
        <f t="shared" si="194"/>
        <v>0</v>
      </c>
      <c r="AN2015" s="4" t="e">
        <f t="shared" si="195"/>
        <v>#DIV/0!</v>
      </c>
    </row>
    <row r="2016" ht="15.75" customHeight="1" spans="1:40">
      <c r="A2016" t="s">
        <v>3257</v>
      </c>
      <c r="B2016" t="s">
        <v>67</v>
      </c>
      <c r="C2016" t="s">
        <v>2210</v>
      </c>
      <c r="D2016" t="s">
        <v>2313</v>
      </c>
      <c r="E2016" t="s">
        <v>3258</v>
      </c>
      <c r="F2016" t="s">
        <v>3259</v>
      </c>
      <c r="H2016" t="s">
        <v>319</v>
      </c>
      <c r="I2016" t="s">
        <v>3262</v>
      </c>
      <c r="Q2016" t="s">
        <v>57</v>
      </c>
      <c r="Y2016" t="s">
        <v>3261</v>
      </c>
      <c r="AF2016" s="4"/>
      <c r="AG2016">
        <f t="shared" si="190"/>
        <v>0</v>
      </c>
      <c r="AH2016" s="4"/>
      <c r="AI2016">
        <f t="shared" si="191"/>
        <v>0</v>
      </c>
      <c r="AJ2016" s="4"/>
      <c r="AK2016">
        <f t="shared" si="192"/>
        <v>0</v>
      </c>
      <c r="AL2016">
        <f t="shared" si="193"/>
        <v>0</v>
      </c>
      <c r="AM2016">
        <f t="shared" si="194"/>
        <v>0</v>
      </c>
      <c r="AN2016" s="4" t="e">
        <f t="shared" si="195"/>
        <v>#DIV/0!</v>
      </c>
    </row>
    <row r="2017" ht="15.75" customHeight="1" spans="1:46">
      <c r="A2017" t="s">
        <v>3263</v>
      </c>
      <c r="B2017" t="s">
        <v>46</v>
      </c>
      <c r="C2017" t="s">
        <v>2210</v>
      </c>
      <c r="D2017" t="s">
        <v>2313</v>
      </c>
      <c r="E2017" t="s">
        <v>1022</v>
      </c>
      <c r="F2017" t="s">
        <v>3259</v>
      </c>
      <c r="H2017" t="s">
        <v>319</v>
      </c>
      <c r="I2017" t="s">
        <v>3260</v>
      </c>
      <c r="Q2017" t="s">
        <v>57</v>
      </c>
      <c r="Y2017" t="s">
        <v>3264</v>
      </c>
      <c r="AF2017" s="4"/>
      <c r="AG2017">
        <f t="shared" si="190"/>
        <v>0</v>
      </c>
      <c r="AH2017" s="4"/>
      <c r="AI2017">
        <f t="shared" si="191"/>
        <v>0</v>
      </c>
      <c r="AJ2017" s="4"/>
      <c r="AK2017">
        <f t="shared" si="192"/>
        <v>0</v>
      </c>
      <c r="AL2017">
        <f t="shared" si="193"/>
        <v>0</v>
      </c>
      <c r="AM2017">
        <f t="shared" si="194"/>
        <v>0</v>
      </c>
      <c r="AN2017" s="4" t="e">
        <f t="shared" si="195"/>
        <v>#DIV/0!</v>
      </c>
    </row>
    <row r="2018" ht="15.75" customHeight="1" spans="1:46">
      <c r="A2018" t="s">
        <v>3263</v>
      </c>
      <c r="B2018" t="s">
        <v>67</v>
      </c>
      <c r="C2018" t="s">
        <v>2210</v>
      </c>
      <c r="D2018" t="s">
        <v>2313</v>
      </c>
      <c r="E2018" t="s">
        <v>1022</v>
      </c>
      <c r="F2018" t="s">
        <v>3259</v>
      </c>
      <c r="H2018" t="s">
        <v>319</v>
      </c>
      <c r="I2018" t="s">
        <v>3262</v>
      </c>
      <c r="Q2018" t="s">
        <v>57</v>
      </c>
      <c r="Y2018" t="s">
        <v>3264</v>
      </c>
      <c r="AF2018" s="4"/>
      <c r="AG2018">
        <f t="shared" si="190"/>
        <v>0</v>
      </c>
      <c r="AH2018" s="4"/>
      <c r="AI2018">
        <f t="shared" si="191"/>
        <v>0</v>
      </c>
      <c r="AJ2018" s="4"/>
      <c r="AK2018">
        <f t="shared" si="192"/>
        <v>0</v>
      </c>
      <c r="AL2018">
        <f t="shared" si="193"/>
        <v>0</v>
      </c>
      <c r="AM2018">
        <f t="shared" si="194"/>
        <v>0</v>
      </c>
      <c r="AN2018" s="4" t="e">
        <f t="shared" si="195"/>
        <v>#DIV/0!</v>
      </c>
    </row>
    <row r="2019" ht="15.75" customHeight="1" spans="1:46">
      <c r="A2019" t="s">
        <v>3265</v>
      </c>
      <c r="B2019" t="s">
        <v>46</v>
      </c>
      <c r="C2019" t="s">
        <v>2210</v>
      </c>
      <c r="D2019" t="s">
        <v>3266</v>
      </c>
      <c r="E2019" t="s">
        <v>1022</v>
      </c>
      <c r="F2019" t="s">
        <v>3266</v>
      </c>
      <c r="H2019" t="s">
        <v>53</v>
      </c>
      <c r="I2019" t="s">
        <v>3267</v>
      </c>
      <c r="Q2019" t="s">
        <v>57</v>
      </c>
      <c r="Y2019" t="s">
        <v>3268</v>
      </c>
      <c r="AF2019" s="4"/>
      <c r="AG2019">
        <f t="shared" si="190"/>
        <v>0</v>
      </c>
      <c r="AH2019" s="4"/>
      <c r="AI2019">
        <f t="shared" si="191"/>
        <v>0</v>
      </c>
      <c r="AJ2019" s="4"/>
      <c r="AK2019">
        <f t="shared" si="192"/>
        <v>0</v>
      </c>
      <c r="AL2019">
        <f t="shared" si="193"/>
        <v>0</v>
      </c>
      <c r="AM2019">
        <f t="shared" si="194"/>
        <v>0</v>
      </c>
      <c r="AN2019" s="4" t="e">
        <f t="shared" si="195"/>
        <v>#DIV/0!</v>
      </c>
    </row>
    <row r="2020" ht="15.75" customHeight="1" spans="1:46">
      <c r="A2020" t="s">
        <v>3269</v>
      </c>
      <c r="B2020" t="s">
        <v>46</v>
      </c>
      <c r="C2020" t="s">
        <v>2351</v>
      </c>
      <c r="D2020" t="s">
        <v>3270</v>
      </c>
      <c r="E2020" t="s">
        <v>3271</v>
      </c>
      <c r="F2020" t="s">
        <v>3270</v>
      </c>
      <c r="Q2020" t="s">
        <v>57</v>
      </c>
      <c r="Y2020" t="s">
        <v>3272</v>
      </c>
      <c r="AE2020">
        <v>100</v>
      </c>
      <c r="AF2020" s="4">
        <v>0.65</v>
      </c>
      <c r="AG2020">
        <f t="shared" si="190"/>
        <v>35</v>
      </c>
      <c r="AH2020" s="4">
        <v>0.18</v>
      </c>
      <c r="AI2020">
        <f t="shared" si="191"/>
        <v>41.3</v>
      </c>
      <c r="AJ2020" s="4">
        <v>0.2</v>
      </c>
      <c r="AK2020">
        <f t="shared" si="192"/>
        <v>8.26</v>
      </c>
      <c r="AL2020">
        <f t="shared" si="193"/>
        <v>49.56</v>
      </c>
      <c r="AM2020">
        <f t="shared" si="194"/>
        <v>50.44</v>
      </c>
      <c r="AN2020" s="4">
        <f t="shared" si="195"/>
        <v>0.5044</v>
      </c>
      <c r="AO2020" t="s">
        <v>221</v>
      </c>
      <c r="AQ2020" t="s">
        <v>217</v>
      </c>
      <c r="AT2020" t="s">
        <v>558</v>
      </c>
    </row>
    <row r="2021" ht="15.75" customHeight="1" spans="1:46">
      <c r="A2021" t="s">
        <v>3273</v>
      </c>
      <c r="B2021" t="s">
        <v>46</v>
      </c>
      <c r="C2021" t="s">
        <v>2351</v>
      </c>
      <c r="D2021" t="s">
        <v>3270</v>
      </c>
      <c r="E2021" t="s">
        <v>1022</v>
      </c>
      <c r="F2021" t="s">
        <v>3270</v>
      </c>
      <c r="Q2021" t="s">
        <v>57</v>
      </c>
      <c r="Y2021" t="s">
        <v>3272</v>
      </c>
      <c r="AE2021">
        <v>150</v>
      </c>
      <c r="AF2021" s="4">
        <v>0.7</v>
      </c>
      <c r="AG2021">
        <f t="shared" si="190"/>
        <v>45</v>
      </c>
      <c r="AH2021" s="4">
        <v>0.18</v>
      </c>
      <c r="AI2021">
        <f t="shared" si="191"/>
        <v>53.1</v>
      </c>
      <c r="AJ2021" s="4">
        <v>0.2</v>
      </c>
      <c r="AK2021">
        <f t="shared" si="192"/>
        <v>10.62</v>
      </c>
      <c r="AL2021">
        <f t="shared" si="193"/>
        <v>63.72</v>
      </c>
      <c r="AM2021">
        <f t="shared" si="194"/>
        <v>86.28</v>
      </c>
      <c r="AN2021" s="4">
        <f t="shared" si="195"/>
        <v>0.5752</v>
      </c>
      <c r="AO2021" t="s">
        <v>221</v>
      </c>
      <c r="AQ2021" t="s">
        <v>217</v>
      </c>
      <c r="AT2021" t="s">
        <v>1662</v>
      </c>
    </row>
    <row r="2022" ht="15.75" customHeight="1" spans="1:46">
      <c r="A2022" t="s">
        <v>3274</v>
      </c>
      <c r="B2022" t="s">
        <v>46</v>
      </c>
      <c r="C2022" t="s">
        <v>2351</v>
      </c>
      <c r="D2022" t="s">
        <v>3275</v>
      </c>
      <c r="E2022" t="s">
        <v>1022</v>
      </c>
      <c r="F2022" t="s">
        <v>3276</v>
      </c>
      <c r="H2022" t="s">
        <v>1340</v>
      </c>
      <c r="I2022" t="s">
        <v>3277</v>
      </c>
      <c r="Q2022" t="s">
        <v>57</v>
      </c>
      <c r="Y2022" t="s">
        <v>3278</v>
      </c>
      <c r="AE2022">
        <v>300</v>
      </c>
      <c r="AF2022" s="4">
        <v>0.8</v>
      </c>
      <c r="AG2022">
        <f t="shared" si="190"/>
        <v>60</v>
      </c>
      <c r="AH2022" s="4">
        <v>0.18</v>
      </c>
      <c r="AI2022">
        <f t="shared" si="191"/>
        <v>70.8</v>
      </c>
      <c r="AJ2022" s="4">
        <v>0.2</v>
      </c>
      <c r="AK2022">
        <f t="shared" si="192"/>
        <v>14.16</v>
      </c>
      <c r="AL2022">
        <f t="shared" si="193"/>
        <v>84.96</v>
      </c>
      <c r="AM2022">
        <f t="shared" si="194"/>
        <v>215.04</v>
      </c>
      <c r="AN2022" s="4">
        <f t="shared" si="195"/>
        <v>0.7168</v>
      </c>
      <c r="AO2022" t="s">
        <v>221</v>
      </c>
      <c r="AQ2022" t="s">
        <v>217</v>
      </c>
      <c r="AT2022" t="s">
        <v>1662</v>
      </c>
    </row>
    <row r="2023" ht="15.75" customHeight="1" spans="1:46">
      <c r="A2023" t="s">
        <v>3274</v>
      </c>
      <c r="B2023" t="s">
        <v>67</v>
      </c>
      <c r="C2023" t="s">
        <v>2351</v>
      </c>
      <c r="D2023" t="s">
        <v>3275</v>
      </c>
      <c r="E2023" t="s">
        <v>1022</v>
      </c>
      <c r="F2023" t="s">
        <v>3276</v>
      </c>
      <c r="H2023" t="s">
        <v>1340</v>
      </c>
      <c r="I2023" t="s">
        <v>2335</v>
      </c>
      <c r="Q2023" t="s">
        <v>57</v>
      </c>
      <c r="Y2023" t="s">
        <v>3278</v>
      </c>
      <c r="AE2023">
        <v>350</v>
      </c>
      <c r="AF2023" s="4">
        <v>0.8</v>
      </c>
      <c r="AG2023">
        <f t="shared" si="190"/>
        <v>70</v>
      </c>
      <c r="AH2023" s="4">
        <v>0.18</v>
      </c>
      <c r="AI2023">
        <f t="shared" si="191"/>
        <v>82.6</v>
      </c>
      <c r="AJ2023" s="4">
        <v>0.2</v>
      </c>
      <c r="AK2023">
        <f t="shared" si="192"/>
        <v>16.52</v>
      </c>
      <c r="AL2023">
        <f t="shared" si="193"/>
        <v>99.12</v>
      </c>
      <c r="AM2023">
        <f t="shared" si="194"/>
        <v>250.88</v>
      </c>
      <c r="AN2023" s="4">
        <f t="shared" si="195"/>
        <v>0.7168</v>
      </c>
      <c r="AO2023" t="s">
        <v>221</v>
      </c>
      <c r="AQ2023" t="s">
        <v>217</v>
      </c>
      <c r="AT2023" t="s">
        <v>1662</v>
      </c>
    </row>
    <row r="2024" ht="15.75" customHeight="1" spans="1:46">
      <c r="A2024" t="s">
        <v>3274</v>
      </c>
      <c r="B2024" t="s">
        <v>71</v>
      </c>
      <c r="C2024" t="s">
        <v>2351</v>
      </c>
      <c r="D2024" t="s">
        <v>3275</v>
      </c>
      <c r="E2024" t="s">
        <v>1022</v>
      </c>
      <c r="F2024" t="s">
        <v>3276</v>
      </c>
      <c r="H2024" t="s">
        <v>1340</v>
      </c>
      <c r="I2024" t="s">
        <v>3279</v>
      </c>
      <c r="Q2024" t="s">
        <v>57</v>
      </c>
      <c r="Y2024" t="s">
        <v>3278</v>
      </c>
      <c r="AE2024">
        <v>400</v>
      </c>
      <c r="AF2024" s="4">
        <v>0.8</v>
      </c>
      <c r="AG2024">
        <f t="shared" si="190"/>
        <v>80</v>
      </c>
      <c r="AH2024" s="4">
        <v>0.18</v>
      </c>
      <c r="AI2024">
        <f t="shared" si="191"/>
        <v>94.4</v>
      </c>
      <c r="AJ2024" s="4">
        <v>0.2</v>
      </c>
      <c r="AK2024">
        <f t="shared" si="192"/>
        <v>18.88</v>
      </c>
      <c r="AL2024">
        <f t="shared" si="193"/>
        <v>113.28</v>
      </c>
      <c r="AM2024">
        <f t="shared" si="194"/>
        <v>286.72</v>
      </c>
      <c r="AN2024" s="4">
        <f t="shared" si="195"/>
        <v>0.7168</v>
      </c>
      <c r="AO2024" t="s">
        <v>221</v>
      </c>
      <c r="AQ2024" t="s">
        <v>217</v>
      </c>
      <c r="AT2024" t="s">
        <v>1662</v>
      </c>
    </row>
    <row r="2025" ht="15.75" customHeight="1" spans="1:46">
      <c r="A2025" t="s">
        <v>3274</v>
      </c>
      <c r="B2025" t="s">
        <v>75</v>
      </c>
      <c r="C2025" t="s">
        <v>2351</v>
      </c>
      <c r="D2025" t="s">
        <v>3275</v>
      </c>
      <c r="E2025" t="s">
        <v>1022</v>
      </c>
      <c r="F2025" t="s">
        <v>3276</v>
      </c>
      <c r="H2025" t="s">
        <v>1340</v>
      </c>
      <c r="I2025" t="s">
        <v>3280</v>
      </c>
      <c r="Q2025" t="s">
        <v>57</v>
      </c>
      <c r="Y2025" t="s">
        <v>3278</v>
      </c>
      <c r="AE2025">
        <v>450</v>
      </c>
      <c r="AF2025" s="4">
        <v>0.8</v>
      </c>
      <c r="AG2025">
        <f t="shared" si="190"/>
        <v>90</v>
      </c>
      <c r="AH2025" s="4">
        <v>0.18</v>
      </c>
      <c r="AI2025">
        <f t="shared" si="191"/>
        <v>106.2</v>
      </c>
      <c r="AJ2025" s="4">
        <v>0.2</v>
      </c>
      <c r="AK2025">
        <f t="shared" si="192"/>
        <v>21.24</v>
      </c>
      <c r="AL2025">
        <f t="shared" si="193"/>
        <v>127.44</v>
      </c>
      <c r="AM2025">
        <f t="shared" si="194"/>
        <v>322.56</v>
      </c>
      <c r="AN2025" s="4">
        <f t="shared" si="195"/>
        <v>0.7168</v>
      </c>
      <c r="AO2025" t="s">
        <v>221</v>
      </c>
      <c r="AQ2025" t="s">
        <v>217</v>
      </c>
      <c r="AT2025" t="s">
        <v>1662</v>
      </c>
    </row>
    <row r="2026" ht="15.75" customHeight="1" spans="1:46">
      <c r="A2026" t="s">
        <v>3274</v>
      </c>
      <c r="B2026" t="s">
        <v>79</v>
      </c>
      <c r="C2026" t="s">
        <v>2351</v>
      </c>
      <c r="D2026" t="s">
        <v>3275</v>
      </c>
      <c r="E2026" t="s">
        <v>1022</v>
      </c>
      <c r="F2026" t="s">
        <v>3276</v>
      </c>
      <c r="H2026" t="s">
        <v>1340</v>
      </c>
      <c r="I2026" t="s">
        <v>3281</v>
      </c>
      <c r="Q2026" t="s">
        <v>57</v>
      </c>
      <c r="Y2026" t="s">
        <v>3278</v>
      </c>
      <c r="AE2026">
        <v>500</v>
      </c>
      <c r="AF2026" s="4">
        <v>0.8</v>
      </c>
      <c r="AG2026">
        <f t="shared" si="190"/>
        <v>100</v>
      </c>
      <c r="AH2026" s="4">
        <v>0.18</v>
      </c>
      <c r="AI2026">
        <f t="shared" si="191"/>
        <v>118</v>
      </c>
      <c r="AJ2026" s="4">
        <v>0.2</v>
      </c>
      <c r="AK2026">
        <f t="shared" si="192"/>
        <v>23.6</v>
      </c>
      <c r="AL2026">
        <f t="shared" si="193"/>
        <v>141.6</v>
      </c>
      <c r="AM2026">
        <f t="shared" si="194"/>
        <v>358.4</v>
      </c>
      <c r="AN2026" s="4">
        <f t="shared" si="195"/>
        <v>0.7168</v>
      </c>
      <c r="AO2026" t="s">
        <v>221</v>
      </c>
      <c r="AQ2026" t="s">
        <v>217</v>
      </c>
      <c r="AT2026" t="s">
        <v>1662</v>
      </c>
    </row>
    <row r="2027" ht="15.75" customHeight="1" spans="1:46">
      <c r="A2027" t="s">
        <v>3282</v>
      </c>
      <c r="B2027" t="s">
        <v>46</v>
      </c>
      <c r="C2027" t="s">
        <v>2351</v>
      </c>
      <c r="D2027" t="s">
        <v>3283</v>
      </c>
      <c r="E2027" t="s">
        <v>3284</v>
      </c>
      <c r="F2027" t="s">
        <v>3285</v>
      </c>
      <c r="H2027" t="s">
        <v>217</v>
      </c>
      <c r="I2027" t="s">
        <v>3286</v>
      </c>
      <c r="J2027" t="s">
        <v>124</v>
      </c>
      <c r="K2027" t="s">
        <v>143</v>
      </c>
      <c r="Q2027" t="s">
        <v>57</v>
      </c>
      <c r="Y2027" t="s">
        <v>3287</v>
      </c>
      <c r="AE2027">
        <v>275</v>
      </c>
      <c r="AF2027" s="4">
        <v>0.3</v>
      </c>
      <c r="AG2027">
        <f>ROUND(AE2027-(AE2027*AF2027),2)</f>
        <v>192.5</v>
      </c>
      <c r="AH2027" s="4">
        <v>0.18</v>
      </c>
      <c r="AI2027">
        <f t="shared" si="191"/>
        <v>227.15</v>
      </c>
      <c r="AJ2027" s="4">
        <v>0.2</v>
      </c>
      <c r="AK2027">
        <f t="shared" si="192"/>
        <v>45.43</v>
      </c>
      <c r="AL2027">
        <f t="shared" si="193"/>
        <v>272.58</v>
      </c>
      <c r="AM2027">
        <f t="shared" si="194"/>
        <v>2.42000000000002</v>
      </c>
      <c r="AN2027" s="4">
        <v>0.5</v>
      </c>
      <c r="AO2027" t="s">
        <v>221</v>
      </c>
      <c r="AQ2027" t="s">
        <v>217</v>
      </c>
      <c r="AT2027" t="s">
        <v>558</v>
      </c>
    </row>
    <row r="2028" ht="15.75" customHeight="1" spans="1:46">
      <c r="A2028" t="s">
        <v>3288</v>
      </c>
      <c r="B2028" t="s">
        <v>46</v>
      </c>
      <c r="C2028" t="s">
        <v>2351</v>
      </c>
      <c r="D2028" t="s">
        <v>3283</v>
      </c>
      <c r="E2028" t="s">
        <v>3289</v>
      </c>
      <c r="F2028" t="s">
        <v>3285</v>
      </c>
      <c r="H2028" t="s">
        <v>217</v>
      </c>
      <c r="I2028" t="s">
        <v>3286</v>
      </c>
      <c r="J2028" t="s">
        <v>124</v>
      </c>
      <c r="K2028" t="s">
        <v>143</v>
      </c>
      <c r="Q2028" t="s">
        <v>57</v>
      </c>
      <c r="Y2028" t="s">
        <v>3290</v>
      </c>
      <c r="AE2028">
        <v>450</v>
      </c>
      <c r="AF2028" s="4">
        <v>0.8</v>
      </c>
      <c r="AG2028">
        <f>ROUND(AE2028-(AE2028*AF2028),2)</f>
        <v>90</v>
      </c>
      <c r="AH2028" s="4">
        <v>0.18</v>
      </c>
      <c r="AI2028">
        <f t="shared" si="191"/>
        <v>106.2</v>
      </c>
      <c r="AJ2028" s="4">
        <v>0.2</v>
      </c>
      <c r="AK2028">
        <f t="shared" si="192"/>
        <v>21.24</v>
      </c>
      <c r="AL2028">
        <f t="shared" si="193"/>
        <v>127.44</v>
      </c>
      <c r="AM2028">
        <f t="shared" si="194"/>
        <v>322.56</v>
      </c>
      <c r="AN2028" s="4">
        <v>0.5</v>
      </c>
      <c r="AO2028" t="s">
        <v>221</v>
      </c>
      <c r="AQ2028" t="s">
        <v>217</v>
      </c>
      <c r="AT2028" t="s">
        <v>558</v>
      </c>
    </row>
    <row r="2029" ht="15.75" customHeight="1" spans="1:46">
      <c r="A2029" t="s">
        <v>3288</v>
      </c>
      <c r="B2029" t="s">
        <v>67</v>
      </c>
      <c r="C2029" t="s">
        <v>2351</v>
      </c>
      <c r="D2029" t="s">
        <v>3283</v>
      </c>
      <c r="E2029" t="s">
        <v>3289</v>
      </c>
      <c r="F2029" t="s">
        <v>3285</v>
      </c>
      <c r="H2029" t="s">
        <v>217</v>
      </c>
      <c r="I2029" t="s">
        <v>3286</v>
      </c>
      <c r="J2029" t="s">
        <v>124</v>
      </c>
      <c r="K2029" t="s">
        <v>3291</v>
      </c>
      <c r="Q2029" t="s">
        <v>57</v>
      </c>
      <c r="Y2029" t="s">
        <v>3292</v>
      </c>
      <c r="AF2029" s="4"/>
      <c r="AG2029">
        <f>ROUND(AE2029-(AE2029*AF2029),2)</f>
        <v>0</v>
      </c>
      <c r="AH2029" s="4">
        <v>0.18</v>
      </c>
      <c r="AI2029">
        <f t="shared" si="191"/>
        <v>0</v>
      </c>
      <c r="AJ2029" s="4">
        <v>0.2</v>
      </c>
      <c r="AK2029">
        <f t="shared" si="192"/>
        <v>0</v>
      </c>
      <c r="AL2029">
        <f t="shared" si="193"/>
        <v>0</v>
      </c>
      <c r="AM2029">
        <f t="shared" si="194"/>
        <v>0</v>
      </c>
      <c r="AN2029" s="4">
        <v>0.5</v>
      </c>
      <c r="AO2029" t="s">
        <v>221</v>
      </c>
      <c r="AQ2029" t="s">
        <v>217</v>
      </c>
      <c r="AT2029" t="s">
        <v>558</v>
      </c>
    </row>
    <row r="2030" ht="15.75" customHeight="1" spans="1:46">
      <c r="A2030" t="s">
        <v>3288</v>
      </c>
      <c r="B2030" t="s">
        <v>71</v>
      </c>
      <c r="C2030" t="s">
        <v>2351</v>
      </c>
      <c r="D2030" t="s">
        <v>3283</v>
      </c>
      <c r="E2030" t="s">
        <v>3289</v>
      </c>
      <c r="F2030" t="s">
        <v>3285</v>
      </c>
      <c r="H2030" t="s">
        <v>217</v>
      </c>
      <c r="I2030" t="s">
        <v>3293</v>
      </c>
      <c r="J2030" t="s">
        <v>124</v>
      </c>
      <c r="K2030" t="s">
        <v>909</v>
      </c>
      <c r="Q2030" t="s">
        <v>57</v>
      </c>
      <c r="Y2030" t="s">
        <v>3294</v>
      </c>
      <c r="AF2030" s="4"/>
      <c r="AG2030">
        <f>ROUND(AE2030-(AE2030*AF2030),2)</f>
        <v>0</v>
      </c>
      <c r="AH2030" s="4">
        <v>0.18</v>
      </c>
      <c r="AI2030">
        <f t="shared" si="191"/>
        <v>0</v>
      </c>
      <c r="AJ2030" s="4">
        <v>0.2</v>
      </c>
      <c r="AK2030">
        <f t="shared" si="192"/>
        <v>0</v>
      </c>
      <c r="AL2030">
        <f t="shared" si="193"/>
        <v>0</v>
      </c>
      <c r="AM2030">
        <f t="shared" si="194"/>
        <v>0</v>
      </c>
      <c r="AN2030" s="4">
        <v>0.5</v>
      </c>
      <c r="AO2030" t="s">
        <v>221</v>
      </c>
      <c r="AQ2030" t="s">
        <v>217</v>
      </c>
      <c r="AT2030" t="s">
        <v>558</v>
      </c>
    </row>
    <row r="2031" ht="15.75" customHeight="1" spans="1:46">
      <c r="A2031" t="s">
        <v>3295</v>
      </c>
      <c r="B2031" t="s">
        <v>46</v>
      </c>
      <c r="C2031" t="s">
        <v>2351</v>
      </c>
      <c r="D2031" t="s">
        <v>3283</v>
      </c>
      <c r="E2031" t="s">
        <v>3296</v>
      </c>
      <c r="F2031" t="s">
        <v>3285</v>
      </c>
      <c r="H2031" t="s">
        <v>217</v>
      </c>
      <c r="I2031" t="s">
        <v>3293</v>
      </c>
      <c r="J2031" t="s">
        <v>124</v>
      </c>
      <c r="K2031" t="s">
        <v>143</v>
      </c>
      <c r="Q2031" t="s">
        <v>57</v>
      </c>
      <c r="Y2031" t="s">
        <v>3297</v>
      </c>
      <c r="AF2031" s="4"/>
      <c r="AG2031">
        <f>ROUND(AE2031-(AE2031*AF2031),2)</f>
        <v>0</v>
      </c>
      <c r="AH2031" s="4">
        <v>0.18</v>
      </c>
      <c r="AI2031">
        <f t="shared" si="191"/>
        <v>0</v>
      </c>
      <c r="AJ2031" s="4">
        <v>0.2</v>
      </c>
      <c r="AK2031">
        <f t="shared" si="192"/>
        <v>0</v>
      </c>
      <c r="AL2031">
        <f t="shared" si="193"/>
        <v>0</v>
      </c>
      <c r="AM2031">
        <f t="shared" si="194"/>
        <v>0</v>
      </c>
      <c r="AN2031" s="4">
        <v>0.5</v>
      </c>
      <c r="AO2031" t="s">
        <v>221</v>
      </c>
      <c r="AQ2031" t="s">
        <v>217</v>
      </c>
      <c r="AT2031" t="s">
        <v>558</v>
      </c>
    </row>
    <row r="2032" ht="15.75" customHeight="1" spans="1:46">
      <c r="A2032" t="s">
        <v>3295</v>
      </c>
      <c r="B2032" t="s">
        <v>67</v>
      </c>
      <c r="C2032" t="s">
        <v>2351</v>
      </c>
      <c r="D2032" t="s">
        <v>3283</v>
      </c>
      <c r="E2032" t="s">
        <v>3296</v>
      </c>
      <c r="F2032" t="s">
        <v>3285</v>
      </c>
      <c r="H2032" t="s">
        <v>217</v>
      </c>
      <c r="I2032" t="s">
        <v>3293</v>
      </c>
      <c r="J2032" t="s">
        <v>124</v>
      </c>
      <c r="K2032" t="s">
        <v>3291</v>
      </c>
      <c r="Q2032" t="s">
        <v>57</v>
      </c>
      <c r="Y2032" t="s">
        <v>3298</v>
      </c>
      <c r="AF2032" s="4"/>
      <c r="AG2032">
        <f>ROUND(AE2032-(AE2032*AF2032),2)</f>
        <v>0</v>
      </c>
      <c r="AH2032" s="4">
        <v>0.18</v>
      </c>
      <c r="AI2032">
        <f t="shared" si="191"/>
        <v>0</v>
      </c>
      <c r="AJ2032" s="4">
        <v>0.2</v>
      </c>
      <c r="AK2032">
        <f t="shared" si="192"/>
        <v>0</v>
      </c>
      <c r="AL2032">
        <f t="shared" si="193"/>
        <v>0</v>
      </c>
      <c r="AM2032">
        <f t="shared" si="194"/>
        <v>0</v>
      </c>
      <c r="AN2032" s="4">
        <v>0.5</v>
      </c>
      <c r="AO2032" t="s">
        <v>221</v>
      </c>
      <c r="AQ2032" t="s">
        <v>217</v>
      </c>
      <c r="AT2032" t="s">
        <v>558</v>
      </c>
    </row>
    <row r="2033" ht="15.75" customHeight="1" spans="1:46">
      <c r="A2033" t="s">
        <v>3295</v>
      </c>
      <c r="B2033" t="s">
        <v>71</v>
      </c>
      <c r="C2033" t="s">
        <v>2351</v>
      </c>
      <c r="D2033" t="s">
        <v>3283</v>
      </c>
      <c r="E2033" t="s">
        <v>3296</v>
      </c>
      <c r="F2033" t="s">
        <v>3285</v>
      </c>
      <c r="H2033" t="s">
        <v>217</v>
      </c>
      <c r="I2033" t="s">
        <v>3293</v>
      </c>
      <c r="J2033" t="s">
        <v>124</v>
      </c>
      <c r="K2033" t="s">
        <v>909</v>
      </c>
      <c r="Q2033" t="s">
        <v>57</v>
      </c>
      <c r="Y2033" t="s">
        <v>3299</v>
      </c>
      <c r="AF2033" s="4"/>
      <c r="AG2033">
        <f>ROUND(AE2033-(AE2033*AF2033),2)</f>
        <v>0</v>
      </c>
      <c r="AH2033" s="4">
        <v>0.18</v>
      </c>
      <c r="AI2033">
        <f t="shared" si="191"/>
        <v>0</v>
      </c>
      <c r="AJ2033" s="4">
        <v>0.2</v>
      </c>
      <c r="AK2033">
        <f t="shared" si="192"/>
        <v>0</v>
      </c>
      <c r="AL2033">
        <f t="shared" si="193"/>
        <v>0</v>
      </c>
      <c r="AM2033">
        <f t="shared" si="194"/>
        <v>0</v>
      </c>
      <c r="AN2033" s="4">
        <v>0.5</v>
      </c>
      <c r="AO2033" t="s">
        <v>221</v>
      </c>
      <c r="AQ2033" t="s">
        <v>217</v>
      </c>
      <c r="AT2033" t="s">
        <v>558</v>
      </c>
    </row>
    <row r="2034" ht="15.75" customHeight="1" spans="1:46">
      <c r="A2034" t="s">
        <v>3300</v>
      </c>
      <c r="B2034" t="s">
        <v>46</v>
      </c>
      <c r="C2034" t="s">
        <v>2351</v>
      </c>
      <c r="D2034" t="s">
        <v>3283</v>
      </c>
      <c r="E2034" t="s">
        <v>1022</v>
      </c>
      <c r="F2034" t="s">
        <v>3285</v>
      </c>
      <c r="H2034" t="s">
        <v>217</v>
      </c>
      <c r="I2034" t="s">
        <v>3293</v>
      </c>
      <c r="J2034" t="s">
        <v>124</v>
      </c>
      <c r="K2034" t="s">
        <v>909</v>
      </c>
      <c r="Q2034" t="s">
        <v>57</v>
      </c>
      <c r="AF2034" s="4"/>
      <c r="AG2034">
        <v>150</v>
      </c>
      <c r="AH2034" s="4">
        <v>0.18</v>
      </c>
      <c r="AI2034">
        <f t="shared" si="191"/>
        <v>177</v>
      </c>
      <c r="AJ2034" s="4">
        <v>0.2</v>
      </c>
      <c r="AK2034">
        <f t="shared" si="192"/>
        <v>35.4</v>
      </c>
      <c r="AL2034">
        <f t="shared" si="193"/>
        <v>212.4</v>
      </c>
      <c r="AM2034">
        <f t="shared" si="194"/>
        <v>-212.4</v>
      </c>
      <c r="AN2034" s="4">
        <v>0.5</v>
      </c>
      <c r="AO2034" t="s">
        <v>221</v>
      </c>
      <c r="AQ2034" t="s">
        <v>217</v>
      </c>
      <c r="AT2034" t="s">
        <v>1662</v>
      </c>
    </row>
    <row r="2035" ht="15.75" customHeight="1" spans="1:46">
      <c r="A2035" t="s">
        <v>3300</v>
      </c>
      <c r="B2035" t="s">
        <v>67</v>
      </c>
      <c r="C2035" t="s">
        <v>2351</v>
      </c>
      <c r="D2035" t="s">
        <v>3283</v>
      </c>
      <c r="E2035" t="s">
        <v>1022</v>
      </c>
      <c r="F2035" t="s">
        <v>3285</v>
      </c>
      <c r="H2035" t="s">
        <v>217</v>
      </c>
      <c r="I2035" t="s">
        <v>3293</v>
      </c>
      <c r="J2035" t="s">
        <v>124</v>
      </c>
      <c r="K2035" t="s">
        <v>143</v>
      </c>
      <c r="Q2035" t="s">
        <v>57</v>
      </c>
      <c r="AF2035" s="4"/>
      <c r="AG2035">
        <v>150</v>
      </c>
      <c r="AH2035" s="4">
        <v>0.18</v>
      </c>
      <c r="AI2035">
        <f t="shared" si="191"/>
        <v>177</v>
      </c>
      <c r="AJ2035" s="4">
        <v>0.2</v>
      </c>
      <c r="AK2035">
        <f t="shared" si="192"/>
        <v>35.4</v>
      </c>
      <c r="AL2035">
        <f t="shared" si="193"/>
        <v>212.4</v>
      </c>
      <c r="AM2035">
        <f t="shared" si="194"/>
        <v>-212.4</v>
      </c>
      <c r="AN2035" s="4">
        <v>0.5</v>
      </c>
      <c r="AO2035" t="s">
        <v>221</v>
      </c>
      <c r="AQ2035" t="s">
        <v>217</v>
      </c>
      <c r="AT2035" t="s">
        <v>1662</v>
      </c>
    </row>
    <row r="2036" ht="15.75" customHeight="1" spans="1:46">
      <c r="A2036" t="s">
        <v>3301</v>
      </c>
      <c r="B2036" t="s">
        <v>46</v>
      </c>
      <c r="C2036" t="s">
        <v>2351</v>
      </c>
      <c r="D2036" t="s">
        <v>3302</v>
      </c>
      <c r="E2036" t="s">
        <v>3303</v>
      </c>
      <c r="F2036" t="s">
        <v>3304</v>
      </c>
      <c r="H2036" t="s">
        <v>3305</v>
      </c>
      <c r="I2036" t="s">
        <v>1569</v>
      </c>
      <c r="J2036" t="s">
        <v>3306</v>
      </c>
      <c r="K2036" t="s">
        <v>3307</v>
      </c>
      <c r="Q2036" t="s">
        <v>57</v>
      </c>
      <c r="R2036" t="s">
        <v>3308</v>
      </c>
      <c r="Y2036" t="s">
        <v>3309</v>
      </c>
      <c r="AE2036">
        <v>4900</v>
      </c>
      <c r="AF2036" s="4">
        <v>0.25</v>
      </c>
      <c r="AG2036">
        <f t="shared" ref="AG2036:AG2098" si="196">ROUND(AE2036-(AE2036*AF2036),2)</f>
        <v>3675</v>
      </c>
      <c r="AH2036" s="4">
        <v>0.18</v>
      </c>
      <c r="AI2036">
        <f t="shared" si="191"/>
        <v>4336.5</v>
      </c>
      <c r="AJ2036" s="4">
        <v>0.1</v>
      </c>
      <c r="AK2036">
        <f t="shared" si="192"/>
        <v>433.65</v>
      </c>
      <c r="AL2036">
        <f t="shared" si="193"/>
        <v>4770.15</v>
      </c>
      <c r="AM2036">
        <f t="shared" si="194"/>
        <v>129.85</v>
      </c>
      <c r="AN2036" s="4">
        <f t="shared" ref="AN2036:AN2098" si="197">AM2036/AE2036</f>
        <v>0.0265000000000001</v>
      </c>
      <c r="AO2036" t="s">
        <v>221</v>
      </c>
      <c r="AQ2036" t="s">
        <v>217</v>
      </c>
    </row>
    <row r="2037" ht="15.75" customHeight="1" spans="1:46">
      <c r="A2037" t="s">
        <v>3301</v>
      </c>
      <c r="B2037" t="s">
        <v>67</v>
      </c>
      <c r="C2037" t="s">
        <v>2351</v>
      </c>
      <c r="D2037" t="s">
        <v>3302</v>
      </c>
      <c r="E2037" t="s">
        <v>3303</v>
      </c>
      <c r="F2037" t="s">
        <v>3304</v>
      </c>
      <c r="H2037" t="s">
        <v>3305</v>
      </c>
      <c r="I2037" t="s">
        <v>3310</v>
      </c>
      <c r="J2037" t="s">
        <v>3306</v>
      </c>
      <c r="K2037" t="s">
        <v>3307</v>
      </c>
      <c r="Q2037" t="s">
        <v>57</v>
      </c>
      <c r="R2037" t="s">
        <v>3311</v>
      </c>
      <c r="Y2037" t="s">
        <v>3312</v>
      </c>
      <c r="AE2037">
        <v>5950</v>
      </c>
      <c r="AF2037" s="4">
        <v>0.25</v>
      </c>
      <c r="AG2037">
        <f t="shared" si="196"/>
        <v>4462.5</v>
      </c>
      <c r="AH2037" s="4">
        <v>0.18</v>
      </c>
      <c r="AI2037">
        <f t="shared" si="191"/>
        <v>5265.75</v>
      </c>
      <c r="AJ2037" s="4">
        <v>0.1</v>
      </c>
      <c r="AK2037">
        <f t="shared" si="192"/>
        <v>526.58</v>
      </c>
      <c r="AL2037">
        <f t="shared" si="193"/>
        <v>5792.33</v>
      </c>
      <c r="AM2037">
        <f t="shared" si="194"/>
        <v>157.67</v>
      </c>
      <c r="AN2037" s="4">
        <f t="shared" si="197"/>
        <v>0.0264991596638656</v>
      </c>
      <c r="AO2037" t="s">
        <v>221</v>
      </c>
      <c r="AQ2037" t="s">
        <v>217</v>
      </c>
    </row>
    <row r="2038" ht="15.75" customHeight="1" spans="1:46">
      <c r="A2038" t="s">
        <v>3301</v>
      </c>
      <c r="B2038" t="s">
        <v>71</v>
      </c>
      <c r="C2038" t="s">
        <v>2351</v>
      </c>
      <c r="D2038" t="s">
        <v>3302</v>
      </c>
      <c r="E2038" t="s">
        <v>3303</v>
      </c>
      <c r="F2038" t="s">
        <v>3304</v>
      </c>
      <c r="H2038" t="s">
        <v>3305</v>
      </c>
      <c r="I2038" t="s">
        <v>3313</v>
      </c>
      <c r="J2038" t="s">
        <v>3306</v>
      </c>
      <c r="K2038" t="s">
        <v>3307</v>
      </c>
      <c r="Q2038" t="s">
        <v>57</v>
      </c>
      <c r="R2038" t="s">
        <v>3314</v>
      </c>
      <c r="Y2038" t="s">
        <v>3315</v>
      </c>
      <c r="AE2038">
        <v>4500</v>
      </c>
      <c r="AF2038" s="4">
        <v>0.25</v>
      </c>
      <c r="AG2038">
        <f t="shared" si="196"/>
        <v>3375</v>
      </c>
      <c r="AH2038" s="4">
        <v>0.18</v>
      </c>
      <c r="AI2038">
        <f t="shared" si="191"/>
        <v>3982.5</v>
      </c>
      <c r="AJ2038" s="4">
        <v>0.1</v>
      </c>
      <c r="AK2038">
        <f t="shared" si="192"/>
        <v>398.25</v>
      </c>
      <c r="AL2038">
        <f t="shared" si="193"/>
        <v>4380.75</v>
      </c>
      <c r="AM2038">
        <f t="shared" si="194"/>
        <v>119.25</v>
      </c>
      <c r="AN2038" s="4">
        <f t="shared" si="197"/>
        <v>0.0265</v>
      </c>
      <c r="AO2038" t="s">
        <v>221</v>
      </c>
      <c r="AQ2038" t="s">
        <v>217</v>
      </c>
    </row>
    <row r="2039" ht="15.75" customHeight="1" spans="1:46">
      <c r="A2039" t="s">
        <v>3316</v>
      </c>
      <c r="B2039" t="s">
        <v>46</v>
      </c>
      <c r="C2039" t="s">
        <v>2351</v>
      </c>
      <c r="D2039" t="s">
        <v>3302</v>
      </c>
      <c r="E2039" t="s">
        <v>3303</v>
      </c>
      <c r="F2039" t="s">
        <v>3317</v>
      </c>
      <c r="H2039" t="s">
        <v>3305</v>
      </c>
      <c r="I2039" t="s">
        <v>1569</v>
      </c>
      <c r="J2039" t="s">
        <v>3306</v>
      </c>
      <c r="K2039" t="s">
        <v>3307</v>
      </c>
      <c r="Q2039" t="s">
        <v>57</v>
      </c>
      <c r="R2039" t="s">
        <v>3318</v>
      </c>
      <c r="Y2039" t="s">
        <v>3319</v>
      </c>
      <c r="AE2039">
        <v>4250</v>
      </c>
      <c r="AF2039" s="4">
        <v>0.25</v>
      </c>
      <c r="AG2039">
        <f t="shared" si="196"/>
        <v>3187.5</v>
      </c>
      <c r="AH2039" s="4">
        <v>0.18</v>
      </c>
      <c r="AI2039">
        <f t="shared" si="191"/>
        <v>3761.25</v>
      </c>
      <c r="AJ2039" s="4">
        <v>0.1</v>
      </c>
      <c r="AK2039">
        <f t="shared" si="192"/>
        <v>376.13</v>
      </c>
      <c r="AL2039">
        <f t="shared" si="193"/>
        <v>4137.38</v>
      </c>
      <c r="AM2039">
        <f t="shared" si="194"/>
        <v>112.62</v>
      </c>
      <c r="AN2039" s="4">
        <f t="shared" si="197"/>
        <v>0.0264988235294117</v>
      </c>
      <c r="AO2039" t="s">
        <v>221</v>
      </c>
      <c r="AQ2039" t="s">
        <v>217</v>
      </c>
    </row>
    <row r="2040" ht="15.75" customHeight="1" spans="1:46">
      <c r="A2040" t="s">
        <v>3316</v>
      </c>
      <c r="B2040" t="s">
        <v>67</v>
      </c>
      <c r="C2040" t="s">
        <v>2351</v>
      </c>
      <c r="D2040" t="s">
        <v>3302</v>
      </c>
      <c r="E2040" t="s">
        <v>3303</v>
      </c>
      <c r="F2040" t="s">
        <v>3317</v>
      </c>
      <c r="H2040" t="s">
        <v>3305</v>
      </c>
      <c r="I2040" t="s">
        <v>3310</v>
      </c>
      <c r="J2040" t="s">
        <v>3306</v>
      </c>
      <c r="K2040" t="s">
        <v>3307</v>
      </c>
      <c r="Q2040" t="s">
        <v>57</v>
      </c>
      <c r="R2040" t="s">
        <v>3320</v>
      </c>
      <c r="Y2040" t="s">
        <v>3321</v>
      </c>
      <c r="AE2040">
        <v>4650</v>
      </c>
      <c r="AF2040" s="4">
        <v>0.25</v>
      </c>
      <c r="AG2040">
        <f t="shared" si="196"/>
        <v>3487.5</v>
      </c>
      <c r="AH2040" s="4">
        <v>0.18</v>
      </c>
      <c r="AI2040">
        <f t="shared" si="191"/>
        <v>4115.25</v>
      </c>
      <c r="AJ2040" s="4">
        <v>0.1</v>
      </c>
      <c r="AK2040">
        <f t="shared" si="192"/>
        <v>411.53</v>
      </c>
      <c r="AL2040">
        <f t="shared" si="193"/>
        <v>4526.78</v>
      </c>
      <c r="AM2040">
        <f t="shared" si="194"/>
        <v>123.22</v>
      </c>
      <c r="AN2040" s="4">
        <f t="shared" si="197"/>
        <v>0.0264989247311829</v>
      </c>
      <c r="AO2040" t="s">
        <v>221</v>
      </c>
      <c r="AQ2040" t="s">
        <v>217</v>
      </c>
    </row>
    <row r="2041" ht="15.75" customHeight="1" spans="1:46">
      <c r="A2041" t="s">
        <v>3301</v>
      </c>
      <c r="B2041" t="s">
        <v>75</v>
      </c>
      <c r="C2041" t="s">
        <v>2351</v>
      </c>
      <c r="D2041" t="s">
        <v>3302</v>
      </c>
      <c r="E2041" t="s">
        <v>3303</v>
      </c>
      <c r="F2041" t="s">
        <v>3304</v>
      </c>
      <c r="H2041" t="s">
        <v>3305</v>
      </c>
      <c r="I2041" t="s">
        <v>1569</v>
      </c>
      <c r="J2041" t="s">
        <v>3306</v>
      </c>
      <c r="K2041" t="s">
        <v>3322</v>
      </c>
      <c r="Q2041" t="s">
        <v>57</v>
      </c>
      <c r="R2041" t="s">
        <v>3323</v>
      </c>
      <c r="Y2041" t="s">
        <v>3324</v>
      </c>
      <c r="AE2041">
        <v>2250</v>
      </c>
      <c r="AF2041" s="4">
        <v>0.25</v>
      </c>
      <c r="AG2041">
        <f t="shared" si="196"/>
        <v>1687.5</v>
      </c>
      <c r="AH2041" s="4">
        <v>0.18</v>
      </c>
      <c r="AI2041">
        <f t="shared" si="191"/>
        <v>1991.25</v>
      </c>
      <c r="AJ2041" s="4">
        <v>0.1</v>
      </c>
      <c r="AK2041">
        <f t="shared" si="192"/>
        <v>199.13</v>
      </c>
      <c r="AL2041">
        <f t="shared" si="193"/>
        <v>2190.38</v>
      </c>
      <c r="AM2041">
        <f t="shared" si="194"/>
        <v>59.6199999999999</v>
      </c>
      <c r="AN2041" s="4">
        <f t="shared" si="197"/>
        <v>0.0264977777777777</v>
      </c>
      <c r="AO2041" t="s">
        <v>221</v>
      </c>
      <c r="AQ2041" t="s">
        <v>217</v>
      </c>
    </row>
    <row r="2042" ht="15.75" customHeight="1" spans="1:46">
      <c r="A2042" t="s">
        <v>3301</v>
      </c>
      <c r="B2042" t="s">
        <v>79</v>
      </c>
      <c r="C2042" t="s">
        <v>2351</v>
      </c>
      <c r="D2042" t="s">
        <v>3302</v>
      </c>
      <c r="E2042" t="s">
        <v>3303</v>
      </c>
      <c r="F2042" t="s">
        <v>3304</v>
      </c>
      <c r="H2042" t="s">
        <v>3305</v>
      </c>
      <c r="I2042" t="s">
        <v>1569</v>
      </c>
      <c r="J2042" t="s">
        <v>3306</v>
      </c>
      <c r="K2042" t="s">
        <v>3322</v>
      </c>
      <c r="Q2042" t="s">
        <v>57</v>
      </c>
      <c r="R2042" t="s">
        <v>3325</v>
      </c>
      <c r="Y2042" t="s">
        <v>3326</v>
      </c>
      <c r="AE2042">
        <v>2250</v>
      </c>
      <c r="AF2042" s="4">
        <v>0.25</v>
      </c>
      <c r="AG2042">
        <f t="shared" si="196"/>
        <v>1687.5</v>
      </c>
      <c r="AH2042" s="4">
        <v>0.18</v>
      </c>
      <c r="AI2042">
        <f t="shared" si="191"/>
        <v>1991.25</v>
      </c>
      <c r="AJ2042" s="4">
        <v>0.1</v>
      </c>
      <c r="AK2042">
        <f t="shared" si="192"/>
        <v>199.13</v>
      </c>
      <c r="AL2042">
        <f t="shared" si="193"/>
        <v>2190.38</v>
      </c>
      <c r="AM2042">
        <f t="shared" si="194"/>
        <v>59.6199999999999</v>
      </c>
      <c r="AN2042" s="4">
        <f t="shared" si="197"/>
        <v>0.0264977777777777</v>
      </c>
      <c r="AO2042" t="s">
        <v>221</v>
      </c>
      <c r="AQ2042" t="s">
        <v>217</v>
      </c>
    </row>
    <row r="2043" ht="15.75" customHeight="1" spans="1:46">
      <c r="A2043" t="s">
        <v>3301</v>
      </c>
      <c r="B2043" t="s">
        <v>83</v>
      </c>
      <c r="C2043" t="s">
        <v>2351</v>
      </c>
      <c r="D2043" t="s">
        <v>3302</v>
      </c>
      <c r="E2043" t="s">
        <v>3303</v>
      </c>
      <c r="F2043" t="s">
        <v>3304</v>
      </c>
      <c r="H2043" t="s">
        <v>3305</v>
      </c>
      <c r="I2043" t="s">
        <v>3310</v>
      </c>
      <c r="J2043" t="s">
        <v>3306</v>
      </c>
      <c r="K2043" t="s">
        <v>3322</v>
      </c>
      <c r="Q2043" t="s">
        <v>57</v>
      </c>
      <c r="R2043" t="s">
        <v>3327</v>
      </c>
      <c r="Y2043" t="s">
        <v>3328</v>
      </c>
      <c r="AE2043">
        <v>3600</v>
      </c>
      <c r="AF2043" s="4">
        <v>0.25</v>
      </c>
      <c r="AG2043">
        <f t="shared" si="196"/>
        <v>2700</v>
      </c>
      <c r="AH2043" s="4">
        <v>0.18</v>
      </c>
      <c r="AI2043">
        <f t="shared" si="191"/>
        <v>3186</v>
      </c>
      <c r="AJ2043" s="4">
        <v>0.1</v>
      </c>
      <c r="AK2043">
        <f t="shared" si="192"/>
        <v>318.6</v>
      </c>
      <c r="AL2043">
        <f t="shared" si="193"/>
        <v>3504.6</v>
      </c>
      <c r="AM2043">
        <f t="shared" si="194"/>
        <v>95.4000000000001</v>
      </c>
      <c r="AN2043" s="4">
        <f t="shared" si="197"/>
        <v>0.0265</v>
      </c>
      <c r="AO2043" t="s">
        <v>221</v>
      </c>
      <c r="AQ2043" t="s">
        <v>217</v>
      </c>
    </row>
    <row r="2044" ht="15.75" customHeight="1" spans="1:46">
      <c r="A2044" t="s">
        <v>3329</v>
      </c>
      <c r="B2044" t="s">
        <v>46</v>
      </c>
      <c r="C2044" t="s">
        <v>2351</v>
      </c>
      <c r="D2044" t="s">
        <v>3302</v>
      </c>
      <c r="E2044" t="s">
        <v>3303</v>
      </c>
      <c r="F2044" t="s">
        <v>3330</v>
      </c>
      <c r="H2044" t="s">
        <v>3305</v>
      </c>
      <c r="I2044" t="s">
        <v>1569</v>
      </c>
      <c r="J2044" t="s">
        <v>3306</v>
      </c>
      <c r="K2044" t="s">
        <v>3322</v>
      </c>
      <c r="Q2044" t="s">
        <v>57</v>
      </c>
      <c r="R2044" t="s">
        <v>3331</v>
      </c>
      <c r="Y2044" t="s">
        <v>3332</v>
      </c>
      <c r="AE2044">
        <v>3100</v>
      </c>
      <c r="AF2044" s="4">
        <v>0.25</v>
      </c>
      <c r="AG2044">
        <f t="shared" si="196"/>
        <v>2325</v>
      </c>
      <c r="AH2044" s="4">
        <v>0.18</v>
      </c>
      <c r="AI2044">
        <f t="shared" si="191"/>
        <v>2743.5</v>
      </c>
      <c r="AJ2044" s="4">
        <v>0.1</v>
      </c>
      <c r="AK2044">
        <f t="shared" si="192"/>
        <v>274.35</v>
      </c>
      <c r="AL2044">
        <f t="shared" si="193"/>
        <v>3017.85</v>
      </c>
      <c r="AM2044">
        <f t="shared" si="194"/>
        <v>82.1500000000001</v>
      </c>
      <c r="AN2044" s="4">
        <f t="shared" si="197"/>
        <v>0.0265</v>
      </c>
      <c r="AO2044" t="s">
        <v>221</v>
      </c>
      <c r="AQ2044" t="s">
        <v>217</v>
      </c>
    </row>
    <row r="2045" ht="15.75" customHeight="1" spans="1:46">
      <c r="A2045" t="s">
        <v>3333</v>
      </c>
      <c r="B2045" t="s">
        <v>46</v>
      </c>
      <c r="C2045" t="s">
        <v>2351</v>
      </c>
      <c r="D2045" t="s">
        <v>3302</v>
      </c>
      <c r="E2045" t="s">
        <v>3303</v>
      </c>
      <c r="F2045" t="s">
        <v>3334</v>
      </c>
      <c r="H2045" t="s">
        <v>3305</v>
      </c>
      <c r="I2045" t="s">
        <v>1569</v>
      </c>
      <c r="J2045" t="s">
        <v>3306</v>
      </c>
      <c r="K2045" t="s">
        <v>3322</v>
      </c>
      <c r="Q2045" t="s">
        <v>57</v>
      </c>
      <c r="R2045" t="s">
        <v>3335</v>
      </c>
      <c r="Y2045" t="s">
        <v>3336</v>
      </c>
      <c r="AE2045">
        <v>2575</v>
      </c>
      <c r="AF2045" s="4">
        <v>0.25</v>
      </c>
      <c r="AG2045">
        <f t="shared" si="196"/>
        <v>1931.25</v>
      </c>
      <c r="AH2045" s="4">
        <v>0.18</v>
      </c>
      <c r="AI2045">
        <f t="shared" si="191"/>
        <v>2278.88</v>
      </c>
      <c r="AJ2045" s="4">
        <v>0.1</v>
      </c>
      <c r="AK2045">
        <f t="shared" si="192"/>
        <v>227.89</v>
      </c>
      <c r="AL2045">
        <f t="shared" si="193"/>
        <v>2506.77</v>
      </c>
      <c r="AM2045">
        <f t="shared" si="194"/>
        <v>68.23</v>
      </c>
      <c r="AN2045" s="4">
        <f t="shared" si="197"/>
        <v>0.0264970873786408</v>
      </c>
      <c r="AO2045" t="s">
        <v>221</v>
      </c>
      <c r="AQ2045" t="s">
        <v>217</v>
      </c>
    </row>
    <row r="2046" ht="15.75" customHeight="1" spans="1:46">
      <c r="A2046" t="s">
        <v>3337</v>
      </c>
      <c r="B2046" t="s">
        <v>46</v>
      </c>
      <c r="C2046" t="s">
        <v>2351</v>
      </c>
      <c r="D2046" t="s">
        <v>3302</v>
      </c>
      <c r="E2046" t="s">
        <v>3303</v>
      </c>
      <c r="F2046" t="s">
        <v>3338</v>
      </c>
      <c r="H2046" t="s">
        <v>3305</v>
      </c>
      <c r="I2046" t="s">
        <v>1569</v>
      </c>
      <c r="J2046" t="s">
        <v>3306</v>
      </c>
      <c r="K2046" t="s">
        <v>3322</v>
      </c>
      <c r="Q2046" t="s">
        <v>57</v>
      </c>
      <c r="R2046" t="s">
        <v>3339</v>
      </c>
      <c r="Y2046" t="s">
        <v>3340</v>
      </c>
      <c r="AE2046">
        <v>2650</v>
      </c>
      <c r="AF2046" s="4">
        <v>0.25</v>
      </c>
      <c r="AG2046">
        <f t="shared" si="196"/>
        <v>1987.5</v>
      </c>
      <c r="AH2046" s="4">
        <v>0.18</v>
      </c>
      <c r="AI2046">
        <f t="shared" si="191"/>
        <v>2345.25</v>
      </c>
      <c r="AJ2046" s="4">
        <v>0.1</v>
      </c>
      <c r="AK2046">
        <f t="shared" si="192"/>
        <v>234.53</v>
      </c>
      <c r="AL2046">
        <f t="shared" si="193"/>
        <v>2579.78</v>
      </c>
      <c r="AM2046">
        <f t="shared" si="194"/>
        <v>70.2199999999998</v>
      </c>
      <c r="AN2046" s="4">
        <f t="shared" si="197"/>
        <v>0.0264981132075471</v>
      </c>
      <c r="AO2046" t="s">
        <v>221</v>
      </c>
      <c r="AQ2046" t="s">
        <v>217</v>
      </c>
    </row>
    <row r="2047" ht="15.75" customHeight="1" spans="1:46">
      <c r="A2047" t="s">
        <v>3341</v>
      </c>
      <c r="B2047" t="s">
        <v>46</v>
      </c>
      <c r="C2047" t="s">
        <v>2351</v>
      </c>
      <c r="D2047" t="s">
        <v>3302</v>
      </c>
      <c r="E2047" t="s">
        <v>3342</v>
      </c>
      <c r="F2047" t="s">
        <v>3343</v>
      </c>
      <c r="H2047" t="s">
        <v>3305</v>
      </c>
      <c r="I2047" t="s">
        <v>1569</v>
      </c>
      <c r="J2047" t="s">
        <v>3306</v>
      </c>
      <c r="K2047" t="s">
        <v>3307</v>
      </c>
      <c r="Q2047" t="s">
        <v>57</v>
      </c>
      <c r="R2047" t="s">
        <v>3344</v>
      </c>
      <c r="Y2047" t="s">
        <v>3345</v>
      </c>
      <c r="AE2047">
        <v>5700</v>
      </c>
      <c r="AF2047" s="4">
        <v>0.25</v>
      </c>
      <c r="AG2047">
        <f t="shared" si="196"/>
        <v>4275</v>
      </c>
      <c r="AH2047" s="4">
        <v>0.18</v>
      </c>
      <c r="AI2047">
        <f t="shared" si="191"/>
        <v>5044.5</v>
      </c>
      <c r="AJ2047" s="4">
        <v>0.1</v>
      </c>
      <c r="AK2047">
        <f t="shared" si="192"/>
        <v>504.45</v>
      </c>
      <c r="AL2047">
        <f t="shared" si="193"/>
        <v>5548.95</v>
      </c>
      <c r="AM2047">
        <f t="shared" si="194"/>
        <v>151.05</v>
      </c>
      <c r="AN2047" s="4">
        <f t="shared" si="197"/>
        <v>0.0265</v>
      </c>
      <c r="AO2047" t="s">
        <v>221</v>
      </c>
      <c r="AQ2047" t="s">
        <v>217</v>
      </c>
    </row>
    <row r="2048" ht="15.75" customHeight="1" spans="1:46">
      <c r="A2048" t="s">
        <v>3346</v>
      </c>
      <c r="B2048" t="s">
        <v>46</v>
      </c>
      <c r="C2048" t="s">
        <v>2351</v>
      </c>
      <c r="D2048" t="s">
        <v>3302</v>
      </c>
      <c r="E2048" t="s">
        <v>3342</v>
      </c>
      <c r="F2048" t="s">
        <v>3347</v>
      </c>
      <c r="H2048" t="s">
        <v>3305</v>
      </c>
      <c r="I2048" t="s">
        <v>1569</v>
      </c>
      <c r="J2048" t="s">
        <v>3306</v>
      </c>
      <c r="K2048" t="s">
        <v>3307</v>
      </c>
      <c r="Q2048" t="s">
        <v>57</v>
      </c>
      <c r="R2048" t="s">
        <v>3348</v>
      </c>
      <c r="Y2048" t="s">
        <v>3349</v>
      </c>
      <c r="AE2048">
        <v>9990</v>
      </c>
      <c r="AF2048" s="4">
        <v>0.25</v>
      </c>
      <c r="AG2048">
        <f t="shared" si="196"/>
        <v>7492.5</v>
      </c>
      <c r="AH2048" s="4">
        <v>0.18</v>
      </c>
      <c r="AI2048">
        <f t="shared" si="191"/>
        <v>8841.15</v>
      </c>
      <c r="AJ2048" s="4">
        <v>0.1</v>
      </c>
      <c r="AK2048">
        <f t="shared" si="192"/>
        <v>884.12</v>
      </c>
      <c r="AL2048">
        <f t="shared" si="193"/>
        <v>9725.27</v>
      </c>
      <c r="AM2048">
        <f t="shared" si="194"/>
        <v>264.73</v>
      </c>
      <c r="AN2048" s="4">
        <f t="shared" si="197"/>
        <v>0.0264994994994995</v>
      </c>
      <c r="AO2048" t="s">
        <v>221</v>
      </c>
      <c r="AQ2048" t="s">
        <v>217</v>
      </c>
    </row>
    <row r="2049" ht="15.75" customHeight="1" spans="1:43">
      <c r="A2049" t="s">
        <v>3341</v>
      </c>
      <c r="B2049" t="s">
        <v>67</v>
      </c>
      <c r="C2049" t="s">
        <v>2351</v>
      </c>
      <c r="D2049" t="s">
        <v>3302</v>
      </c>
      <c r="E2049" t="s">
        <v>3342</v>
      </c>
      <c r="F2049" t="s">
        <v>3343</v>
      </c>
      <c r="H2049" t="s">
        <v>3305</v>
      </c>
      <c r="I2049" t="s">
        <v>1569</v>
      </c>
      <c r="J2049" t="s">
        <v>3306</v>
      </c>
      <c r="K2049" t="s">
        <v>3307</v>
      </c>
      <c r="Q2049" t="s">
        <v>57</v>
      </c>
      <c r="R2049" t="s">
        <v>3344</v>
      </c>
      <c r="Y2049" t="s">
        <v>3350</v>
      </c>
      <c r="AE2049">
        <v>5700</v>
      </c>
      <c r="AF2049" s="4">
        <v>0.25</v>
      </c>
      <c r="AG2049">
        <f t="shared" si="196"/>
        <v>4275</v>
      </c>
      <c r="AH2049" s="4">
        <v>0.18</v>
      </c>
      <c r="AI2049">
        <f t="shared" si="191"/>
        <v>5044.5</v>
      </c>
      <c r="AJ2049" s="4">
        <v>0.1</v>
      </c>
      <c r="AK2049">
        <f t="shared" si="192"/>
        <v>504.45</v>
      </c>
      <c r="AL2049">
        <f t="shared" si="193"/>
        <v>5548.95</v>
      </c>
      <c r="AM2049">
        <f t="shared" si="194"/>
        <v>151.05</v>
      </c>
      <c r="AN2049" s="4">
        <f t="shared" si="197"/>
        <v>0.0265</v>
      </c>
      <c r="AO2049" t="s">
        <v>221</v>
      </c>
      <c r="AQ2049" t="s">
        <v>217</v>
      </c>
    </row>
    <row r="2050" ht="15.75" customHeight="1" spans="1:43">
      <c r="A2050" t="s">
        <v>3346</v>
      </c>
      <c r="B2050" t="s">
        <v>67</v>
      </c>
      <c r="C2050" t="s">
        <v>2351</v>
      </c>
      <c r="D2050" t="s">
        <v>3302</v>
      </c>
      <c r="E2050" t="s">
        <v>3342</v>
      </c>
      <c r="F2050" t="s">
        <v>3347</v>
      </c>
      <c r="H2050" t="s">
        <v>3305</v>
      </c>
      <c r="I2050" t="s">
        <v>1569</v>
      </c>
      <c r="J2050" t="s">
        <v>3306</v>
      </c>
      <c r="K2050" t="s">
        <v>3307</v>
      </c>
      <c r="Q2050" t="s">
        <v>57</v>
      </c>
      <c r="R2050" t="s">
        <v>3351</v>
      </c>
      <c r="Y2050" t="s">
        <v>3352</v>
      </c>
      <c r="AE2050">
        <v>2500</v>
      </c>
      <c r="AF2050" s="4">
        <v>0.25</v>
      </c>
      <c r="AG2050">
        <f t="shared" si="196"/>
        <v>1875</v>
      </c>
      <c r="AH2050" s="4">
        <v>0.18</v>
      </c>
      <c r="AI2050">
        <f t="shared" ref="AI2050:AI2098" si="198">ROUND(AG2050+(AG2050*AH2050),2)</f>
        <v>2212.5</v>
      </c>
      <c r="AJ2050" s="4">
        <v>0.1</v>
      </c>
      <c r="AK2050">
        <f t="shared" ref="AK2050:AK2098" si="199">ROUND(AI2050*AJ2050,2)</f>
        <v>221.25</v>
      </c>
      <c r="AL2050">
        <f t="shared" ref="AL2050:AL2098" si="200">AI2050+AK2050</f>
        <v>2433.75</v>
      </c>
      <c r="AM2050">
        <f t="shared" ref="AM2050:AM2098" si="201">AE2050-AL2050</f>
        <v>66.25</v>
      </c>
      <c r="AN2050" s="4">
        <f t="shared" si="197"/>
        <v>0.0265</v>
      </c>
      <c r="AO2050" t="s">
        <v>221</v>
      </c>
      <c r="AQ2050" t="s">
        <v>217</v>
      </c>
    </row>
    <row r="2051" ht="15.75" customHeight="1" spans="1:43">
      <c r="A2051" t="s">
        <v>3353</v>
      </c>
      <c r="B2051" t="s">
        <v>46</v>
      </c>
      <c r="C2051" t="s">
        <v>47</v>
      </c>
      <c r="D2051" t="s">
        <v>3354</v>
      </c>
      <c r="E2051" t="s">
        <v>839</v>
      </c>
      <c r="F2051" t="s">
        <v>3355</v>
      </c>
      <c r="H2051" t="s">
        <v>217</v>
      </c>
      <c r="I2051" t="s">
        <v>719</v>
      </c>
      <c r="J2051" t="s">
        <v>3356</v>
      </c>
      <c r="K2051" t="s">
        <v>3357</v>
      </c>
      <c r="Q2051" t="s">
        <v>57</v>
      </c>
      <c r="Y2051" t="s">
        <v>3358</v>
      </c>
      <c r="AE2051">
        <v>1605</v>
      </c>
      <c r="AF2051" s="4">
        <v>0.25</v>
      </c>
      <c r="AG2051">
        <f t="shared" si="196"/>
        <v>1203.75</v>
      </c>
      <c r="AH2051" s="4">
        <v>0.18</v>
      </c>
      <c r="AI2051">
        <f t="shared" si="198"/>
        <v>1420.43</v>
      </c>
      <c r="AJ2051" s="4">
        <v>0.1</v>
      </c>
      <c r="AK2051">
        <f t="shared" si="199"/>
        <v>142.04</v>
      </c>
      <c r="AL2051">
        <f t="shared" si="200"/>
        <v>1562.47</v>
      </c>
      <c r="AM2051">
        <f t="shared" si="201"/>
        <v>42.53</v>
      </c>
      <c r="AN2051" s="4">
        <f t="shared" si="197"/>
        <v>0.0264984423676012</v>
      </c>
      <c r="AO2051" t="s">
        <v>3359</v>
      </c>
    </row>
    <row r="2052" ht="15.75" customHeight="1" spans="1:43">
      <c r="A2052" t="s">
        <v>3360</v>
      </c>
      <c r="B2052" t="s">
        <v>46</v>
      </c>
      <c r="C2052" t="s">
        <v>47</v>
      </c>
      <c r="D2052" t="s">
        <v>3354</v>
      </c>
      <c r="E2052" t="s">
        <v>554</v>
      </c>
      <c r="F2052" t="s">
        <v>3355</v>
      </c>
      <c r="H2052" t="s">
        <v>217</v>
      </c>
      <c r="I2052" t="s">
        <v>3361</v>
      </c>
      <c r="J2052" t="s">
        <v>3356</v>
      </c>
      <c r="K2052" t="s">
        <v>1213</v>
      </c>
      <c r="Q2052" t="s">
        <v>57</v>
      </c>
      <c r="R2052">
        <v>5285</v>
      </c>
      <c r="Y2052" t="s">
        <v>3362</v>
      </c>
      <c r="AE2052">
        <v>2120</v>
      </c>
      <c r="AF2052" s="4">
        <v>0.25</v>
      </c>
      <c r="AG2052">
        <f t="shared" si="196"/>
        <v>1590</v>
      </c>
      <c r="AH2052" s="4">
        <v>0.18</v>
      </c>
      <c r="AI2052">
        <f t="shared" si="198"/>
        <v>1876.2</v>
      </c>
      <c r="AJ2052" s="4">
        <v>0.1</v>
      </c>
      <c r="AK2052">
        <f t="shared" si="199"/>
        <v>187.62</v>
      </c>
      <c r="AL2052">
        <f t="shared" si="200"/>
        <v>2063.82</v>
      </c>
      <c r="AM2052">
        <f t="shared" si="201"/>
        <v>56.1799999999998</v>
      </c>
      <c r="AN2052" s="4">
        <f t="shared" si="197"/>
        <v>0.0264999999999999</v>
      </c>
      <c r="AO2052" t="s">
        <v>3359</v>
      </c>
    </row>
    <row r="2053" ht="15.75" customHeight="1" spans="1:43">
      <c r="A2053" t="s">
        <v>3363</v>
      </c>
      <c r="B2053" t="s">
        <v>46</v>
      </c>
      <c r="C2053" t="s">
        <v>47</v>
      </c>
      <c r="D2053" t="s">
        <v>3364</v>
      </c>
      <c r="E2053" t="s">
        <v>554</v>
      </c>
      <c r="F2053" t="s">
        <v>3365</v>
      </c>
      <c r="H2053" t="s">
        <v>53</v>
      </c>
      <c r="I2053" t="s">
        <v>2323</v>
      </c>
      <c r="J2053" t="s">
        <v>186</v>
      </c>
      <c r="K2053" t="s">
        <v>1344</v>
      </c>
      <c r="Q2053" t="s">
        <v>57</v>
      </c>
      <c r="R2053">
        <v>2730</v>
      </c>
      <c r="Y2053" t="s">
        <v>3366</v>
      </c>
      <c r="AE2053">
        <v>168</v>
      </c>
      <c r="AF2053" s="4">
        <v>0.25</v>
      </c>
      <c r="AG2053">
        <f t="shared" si="196"/>
        <v>126</v>
      </c>
      <c r="AH2053" s="4">
        <v>0.18</v>
      </c>
      <c r="AI2053">
        <f t="shared" si="198"/>
        <v>148.68</v>
      </c>
      <c r="AJ2053" s="4">
        <v>0.1</v>
      </c>
      <c r="AK2053">
        <f t="shared" si="199"/>
        <v>14.87</v>
      </c>
      <c r="AL2053">
        <f t="shared" si="200"/>
        <v>163.55</v>
      </c>
      <c r="AM2053">
        <f t="shared" si="201"/>
        <v>4.44999999999999</v>
      </c>
      <c r="AN2053" s="4">
        <f t="shared" si="197"/>
        <v>0.0264880952380952</v>
      </c>
      <c r="AO2053" t="s">
        <v>3359</v>
      </c>
    </row>
    <row r="2054" ht="15.75" customHeight="1" spans="1:43">
      <c r="A2054" t="s">
        <v>3363</v>
      </c>
      <c r="B2054" t="s">
        <v>67</v>
      </c>
      <c r="C2054" t="s">
        <v>47</v>
      </c>
      <c r="D2054" t="s">
        <v>3364</v>
      </c>
      <c r="E2054" t="s">
        <v>554</v>
      </c>
      <c r="F2054" t="s">
        <v>3365</v>
      </c>
      <c r="H2054" t="s">
        <v>53</v>
      </c>
      <c r="I2054" t="s">
        <v>2330</v>
      </c>
      <c r="J2054" t="s">
        <v>186</v>
      </c>
      <c r="K2054" t="s">
        <v>1344</v>
      </c>
      <c r="Q2054" t="s">
        <v>57</v>
      </c>
      <c r="R2054">
        <v>2731</v>
      </c>
      <c r="Y2054" t="s">
        <v>3366</v>
      </c>
      <c r="AE2054">
        <v>231</v>
      </c>
      <c r="AF2054" s="4">
        <v>0.25</v>
      </c>
      <c r="AG2054">
        <f t="shared" si="196"/>
        <v>173.25</v>
      </c>
      <c r="AH2054" s="4">
        <v>0.18</v>
      </c>
      <c r="AI2054">
        <f t="shared" si="198"/>
        <v>204.44</v>
      </c>
      <c r="AJ2054" s="4">
        <v>0.1</v>
      </c>
      <c r="AK2054">
        <f t="shared" si="199"/>
        <v>20.44</v>
      </c>
      <c r="AL2054">
        <f t="shared" si="200"/>
        <v>224.88</v>
      </c>
      <c r="AM2054">
        <f t="shared" si="201"/>
        <v>6.12</v>
      </c>
      <c r="AN2054" s="4">
        <f t="shared" si="197"/>
        <v>0.0264935064935065</v>
      </c>
      <c r="AO2054" t="s">
        <v>3359</v>
      </c>
    </row>
    <row r="2055" ht="15.75" customHeight="1" spans="1:43">
      <c r="A2055" t="s">
        <v>3363</v>
      </c>
      <c r="B2055" t="s">
        <v>71</v>
      </c>
      <c r="C2055" t="s">
        <v>47</v>
      </c>
      <c r="D2055" t="s">
        <v>3364</v>
      </c>
      <c r="E2055" t="s">
        <v>554</v>
      </c>
      <c r="F2055" t="s">
        <v>3365</v>
      </c>
      <c r="H2055" t="s">
        <v>53</v>
      </c>
      <c r="I2055" t="s">
        <v>3252</v>
      </c>
      <c r="J2055" t="s">
        <v>186</v>
      </c>
      <c r="K2055" t="s">
        <v>1344</v>
      </c>
      <c r="Q2055" t="s">
        <v>57</v>
      </c>
      <c r="R2055">
        <v>2732</v>
      </c>
      <c r="Y2055" t="s">
        <v>3366</v>
      </c>
      <c r="AE2055">
        <v>299</v>
      </c>
      <c r="AF2055" s="4">
        <v>0.25</v>
      </c>
      <c r="AG2055">
        <f t="shared" si="196"/>
        <v>224.25</v>
      </c>
      <c r="AH2055" s="4">
        <v>0.18</v>
      </c>
      <c r="AI2055">
        <f t="shared" si="198"/>
        <v>264.62</v>
      </c>
      <c r="AJ2055" s="4">
        <v>0.1</v>
      </c>
      <c r="AK2055">
        <f t="shared" si="199"/>
        <v>26.46</v>
      </c>
      <c r="AL2055">
        <f t="shared" si="200"/>
        <v>291.08</v>
      </c>
      <c r="AM2055">
        <f t="shared" si="201"/>
        <v>7.92000000000002</v>
      </c>
      <c r="AN2055" s="4">
        <f t="shared" si="197"/>
        <v>0.0264882943143813</v>
      </c>
      <c r="AO2055" t="s">
        <v>3359</v>
      </c>
    </row>
    <row r="2056" ht="15.75" customHeight="1" spans="1:43">
      <c r="A2056" t="s">
        <v>3363</v>
      </c>
      <c r="B2056" t="s">
        <v>75</v>
      </c>
      <c r="C2056" t="s">
        <v>47</v>
      </c>
      <c r="D2056" t="s">
        <v>3364</v>
      </c>
      <c r="E2056" t="s">
        <v>554</v>
      </c>
      <c r="F2056" t="s">
        <v>3365</v>
      </c>
      <c r="H2056" t="s">
        <v>53</v>
      </c>
      <c r="I2056" t="s">
        <v>3367</v>
      </c>
      <c r="J2056" t="s">
        <v>186</v>
      </c>
      <c r="K2056" t="s">
        <v>1344</v>
      </c>
      <c r="Q2056" t="s">
        <v>57</v>
      </c>
      <c r="R2056">
        <v>2733</v>
      </c>
      <c r="Y2056" t="s">
        <v>3366</v>
      </c>
      <c r="AE2056">
        <v>368</v>
      </c>
      <c r="AF2056" s="4">
        <v>0.25</v>
      </c>
      <c r="AG2056">
        <f t="shared" si="196"/>
        <v>276</v>
      </c>
      <c r="AH2056" s="4">
        <v>0.18</v>
      </c>
      <c r="AI2056">
        <f t="shared" si="198"/>
        <v>325.68</v>
      </c>
      <c r="AJ2056" s="4">
        <v>0.1</v>
      </c>
      <c r="AK2056">
        <f t="shared" si="199"/>
        <v>32.57</v>
      </c>
      <c r="AL2056">
        <f t="shared" si="200"/>
        <v>358.25</v>
      </c>
      <c r="AM2056">
        <f t="shared" si="201"/>
        <v>9.75</v>
      </c>
      <c r="AN2056" s="4">
        <f t="shared" si="197"/>
        <v>0.0264945652173913</v>
      </c>
      <c r="AO2056" t="s">
        <v>3359</v>
      </c>
    </row>
    <row r="2057" ht="15.75" customHeight="1" spans="1:43">
      <c r="A2057" t="s">
        <v>3363</v>
      </c>
      <c r="B2057" t="s">
        <v>79</v>
      </c>
      <c r="C2057" t="s">
        <v>47</v>
      </c>
      <c r="D2057" t="s">
        <v>3364</v>
      </c>
      <c r="E2057" t="s">
        <v>554</v>
      </c>
      <c r="F2057" t="s">
        <v>3365</v>
      </c>
      <c r="H2057" t="s">
        <v>53</v>
      </c>
      <c r="I2057" t="s">
        <v>3277</v>
      </c>
      <c r="J2057" t="s">
        <v>186</v>
      </c>
      <c r="K2057" t="s">
        <v>1344</v>
      </c>
      <c r="Q2057" t="s">
        <v>57</v>
      </c>
      <c r="R2057">
        <v>2734</v>
      </c>
      <c r="Y2057" t="s">
        <v>3366</v>
      </c>
      <c r="AE2057">
        <v>436</v>
      </c>
      <c r="AF2057" s="4">
        <v>0.25</v>
      </c>
      <c r="AG2057">
        <f t="shared" si="196"/>
        <v>327</v>
      </c>
      <c r="AH2057" s="4">
        <v>0.18</v>
      </c>
      <c r="AI2057">
        <f t="shared" si="198"/>
        <v>385.86</v>
      </c>
      <c r="AJ2057" s="4">
        <v>0.1</v>
      </c>
      <c r="AK2057">
        <f t="shared" si="199"/>
        <v>38.59</v>
      </c>
      <c r="AL2057">
        <f t="shared" si="200"/>
        <v>424.45</v>
      </c>
      <c r="AM2057">
        <f t="shared" si="201"/>
        <v>11.55</v>
      </c>
      <c r="AN2057" s="4">
        <f t="shared" si="197"/>
        <v>0.0264908256880733</v>
      </c>
      <c r="AO2057" t="s">
        <v>3359</v>
      </c>
    </row>
    <row r="2058" ht="15.75" customHeight="1" spans="1:43">
      <c r="A2058" t="s">
        <v>3363</v>
      </c>
      <c r="B2058" t="s">
        <v>83</v>
      </c>
      <c r="C2058" t="s">
        <v>47</v>
      </c>
      <c r="D2058" t="s">
        <v>3364</v>
      </c>
      <c r="E2058" t="s">
        <v>554</v>
      </c>
      <c r="F2058" t="s">
        <v>3365</v>
      </c>
      <c r="H2058" t="s">
        <v>53</v>
      </c>
      <c r="I2058" t="s">
        <v>2335</v>
      </c>
      <c r="J2058" t="s">
        <v>186</v>
      </c>
      <c r="K2058" t="s">
        <v>1344</v>
      </c>
      <c r="Q2058" t="s">
        <v>57</v>
      </c>
      <c r="R2058">
        <v>2735</v>
      </c>
      <c r="Y2058" t="s">
        <v>3366</v>
      </c>
      <c r="AE2058">
        <v>662</v>
      </c>
      <c r="AF2058" s="4">
        <v>0.25</v>
      </c>
      <c r="AG2058">
        <f t="shared" si="196"/>
        <v>496.5</v>
      </c>
      <c r="AH2058" s="4">
        <v>0.18</v>
      </c>
      <c r="AI2058">
        <f t="shared" si="198"/>
        <v>585.87</v>
      </c>
      <c r="AJ2058" s="4">
        <v>0.1</v>
      </c>
      <c r="AK2058">
        <f t="shared" si="199"/>
        <v>58.59</v>
      </c>
      <c r="AL2058">
        <f t="shared" si="200"/>
        <v>644.46</v>
      </c>
      <c r="AM2058">
        <f t="shared" si="201"/>
        <v>17.54</v>
      </c>
      <c r="AN2058" s="4">
        <f t="shared" si="197"/>
        <v>0.0264954682779456</v>
      </c>
      <c r="AO2058" t="s">
        <v>3359</v>
      </c>
    </row>
    <row r="2059" ht="15.75" customHeight="1" spans="1:43">
      <c r="A2059" t="s">
        <v>3363</v>
      </c>
      <c r="B2059" t="s">
        <v>131</v>
      </c>
      <c r="C2059" t="s">
        <v>47</v>
      </c>
      <c r="D2059" t="s">
        <v>3364</v>
      </c>
      <c r="E2059" t="s">
        <v>554</v>
      </c>
      <c r="F2059" t="s">
        <v>3365</v>
      </c>
      <c r="H2059" t="s">
        <v>53</v>
      </c>
      <c r="I2059" t="s">
        <v>3279</v>
      </c>
      <c r="J2059" t="s">
        <v>186</v>
      </c>
      <c r="K2059" t="s">
        <v>1344</v>
      </c>
      <c r="Q2059" t="s">
        <v>57</v>
      </c>
      <c r="R2059">
        <v>2736</v>
      </c>
      <c r="Y2059" t="s">
        <v>3366</v>
      </c>
      <c r="AE2059">
        <v>882</v>
      </c>
      <c r="AF2059" s="4">
        <v>0.25</v>
      </c>
      <c r="AG2059">
        <f t="shared" si="196"/>
        <v>661.5</v>
      </c>
      <c r="AH2059" s="4">
        <v>0.18</v>
      </c>
      <c r="AI2059">
        <f t="shared" si="198"/>
        <v>780.57</v>
      </c>
      <c r="AJ2059" s="4">
        <v>0.1</v>
      </c>
      <c r="AK2059">
        <f t="shared" si="199"/>
        <v>78.06</v>
      </c>
      <c r="AL2059">
        <f t="shared" si="200"/>
        <v>858.63</v>
      </c>
      <c r="AM2059">
        <f t="shared" si="201"/>
        <v>23.3699999999999</v>
      </c>
      <c r="AN2059" s="4">
        <f t="shared" si="197"/>
        <v>0.0264965986394557</v>
      </c>
      <c r="AO2059" t="s">
        <v>3359</v>
      </c>
    </row>
    <row r="2060" ht="15.75" customHeight="1" spans="1:43">
      <c r="A2060" t="s">
        <v>3368</v>
      </c>
      <c r="B2060" t="s">
        <v>46</v>
      </c>
      <c r="C2060" t="s">
        <v>47</v>
      </c>
      <c r="D2060" t="s">
        <v>3369</v>
      </c>
      <c r="E2060" t="s">
        <v>554</v>
      </c>
      <c r="F2060" t="s">
        <v>3369</v>
      </c>
      <c r="H2060" t="s">
        <v>3370</v>
      </c>
      <c r="I2060" t="s">
        <v>3371</v>
      </c>
      <c r="J2060" t="s">
        <v>124</v>
      </c>
      <c r="K2060" t="s">
        <v>3180</v>
      </c>
      <c r="Q2060" t="s">
        <v>57</v>
      </c>
      <c r="R2060">
        <v>9467</v>
      </c>
      <c r="Y2060" t="s">
        <v>3372</v>
      </c>
      <c r="AE2060">
        <v>141</v>
      </c>
      <c r="AF2060" s="4">
        <v>0.25</v>
      </c>
      <c r="AG2060">
        <f t="shared" si="196"/>
        <v>105.75</v>
      </c>
      <c r="AH2060" s="4">
        <v>0.18</v>
      </c>
      <c r="AI2060">
        <f t="shared" si="198"/>
        <v>124.79</v>
      </c>
      <c r="AJ2060" s="4">
        <v>0.1</v>
      </c>
      <c r="AK2060">
        <f t="shared" si="199"/>
        <v>12.48</v>
      </c>
      <c r="AL2060">
        <f t="shared" si="200"/>
        <v>137.27</v>
      </c>
      <c r="AM2060">
        <f t="shared" si="201"/>
        <v>3.72999999999999</v>
      </c>
      <c r="AN2060" s="4">
        <f t="shared" si="197"/>
        <v>0.0264539007092198</v>
      </c>
      <c r="AO2060" t="s">
        <v>3359</v>
      </c>
    </row>
    <row r="2061" ht="15.75" customHeight="1" spans="1:43">
      <c r="A2061" t="s">
        <v>3368</v>
      </c>
      <c r="B2061" t="s">
        <v>67</v>
      </c>
      <c r="C2061" t="s">
        <v>47</v>
      </c>
      <c r="D2061" t="s">
        <v>3369</v>
      </c>
      <c r="E2061" t="s">
        <v>554</v>
      </c>
      <c r="F2061" t="s">
        <v>3369</v>
      </c>
      <c r="H2061" t="s">
        <v>3370</v>
      </c>
      <c r="I2061" t="s">
        <v>3371</v>
      </c>
      <c r="J2061" t="s">
        <v>124</v>
      </c>
      <c r="K2061" t="s">
        <v>448</v>
      </c>
      <c r="Q2061" t="s">
        <v>57</v>
      </c>
      <c r="R2061">
        <v>9469</v>
      </c>
      <c r="Y2061" t="s">
        <v>3373</v>
      </c>
      <c r="AE2061">
        <v>170</v>
      </c>
      <c r="AF2061" s="4">
        <v>0.25</v>
      </c>
      <c r="AG2061">
        <f t="shared" si="196"/>
        <v>127.5</v>
      </c>
      <c r="AH2061" s="4">
        <v>0.18</v>
      </c>
      <c r="AI2061">
        <f t="shared" si="198"/>
        <v>150.45</v>
      </c>
      <c r="AJ2061" s="4">
        <v>0.1</v>
      </c>
      <c r="AK2061">
        <f t="shared" si="199"/>
        <v>15.05</v>
      </c>
      <c r="AL2061">
        <f t="shared" si="200"/>
        <v>165.5</v>
      </c>
      <c r="AM2061">
        <f t="shared" si="201"/>
        <v>4.5</v>
      </c>
      <c r="AN2061" s="4">
        <f t="shared" si="197"/>
        <v>0.0264705882352941</v>
      </c>
      <c r="AO2061" t="s">
        <v>3359</v>
      </c>
    </row>
    <row r="2062" ht="15.75" customHeight="1" spans="1:43">
      <c r="A2062" t="s">
        <v>3368</v>
      </c>
      <c r="B2062" t="s">
        <v>71</v>
      </c>
      <c r="C2062" t="s">
        <v>47</v>
      </c>
      <c r="D2062" t="s">
        <v>3369</v>
      </c>
      <c r="E2062" t="s">
        <v>554</v>
      </c>
      <c r="F2062" t="s">
        <v>3369</v>
      </c>
      <c r="H2062" t="s">
        <v>3370</v>
      </c>
      <c r="I2062" t="s">
        <v>3371</v>
      </c>
      <c r="J2062" t="s">
        <v>124</v>
      </c>
      <c r="K2062" t="s">
        <v>2989</v>
      </c>
      <c r="Q2062" t="s">
        <v>57</v>
      </c>
      <c r="R2062">
        <v>9470</v>
      </c>
      <c r="Y2062" t="s">
        <v>3374</v>
      </c>
      <c r="AE2062">
        <v>170</v>
      </c>
      <c r="AF2062" s="4">
        <v>0.25</v>
      </c>
      <c r="AG2062">
        <f t="shared" si="196"/>
        <v>127.5</v>
      </c>
      <c r="AH2062" s="4">
        <v>0.18</v>
      </c>
      <c r="AI2062">
        <f t="shared" si="198"/>
        <v>150.45</v>
      </c>
      <c r="AJ2062" s="4">
        <v>0.1</v>
      </c>
      <c r="AK2062">
        <f t="shared" si="199"/>
        <v>15.05</v>
      </c>
      <c r="AL2062">
        <f t="shared" si="200"/>
        <v>165.5</v>
      </c>
      <c r="AM2062">
        <f t="shared" si="201"/>
        <v>4.5</v>
      </c>
      <c r="AN2062" s="4">
        <f t="shared" si="197"/>
        <v>0.0264705882352941</v>
      </c>
      <c r="AO2062" t="s">
        <v>3359</v>
      </c>
    </row>
    <row r="2063" ht="15.75" customHeight="1" spans="1:43">
      <c r="A2063" t="s">
        <v>3375</v>
      </c>
      <c r="B2063" t="s">
        <v>46</v>
      </c>
      <c r="C2063" t="s">
        <v>47</v>
      </c>
      <c r="D2063" t="s">
        <v>3369</v>
      </c>
      <c r="E2063" t="s">
        <v>1022</v>
      </c>
      <c r="F2063" t="s">
        <v>3376</v>
      </c>
      <c r="H2063" t="s">
        <v>53</v>
      </c>
      <c r="I2063" t="s">
        <v>2319</v>
      </c>
      <c r="J2063" t="s">
        <v>186</v>
      </c>
      <c r="K2063" t="s">
        <v>3377</v>
      </c>
      <c r="Q2063" t="s">
        <v>57</v>
      </c>
      <c r="Y2063" t="s">
        <v>3378</v>
      </c>
      <c r="AE2063">
        <v>100</v>
      </c>
      <c r="AF2063" s="4">
        <v>0.25</v>
      </c>
      <c r="AG2063">
        <f t="shared" si="196"/>
        <v>75</v>
      </c>
      <c r="AH2063" s="4">
        <v>0.18</v>
      </c>
      <c r="AI2063">
        <f t="shared" si="198"/>
        <v>88.5</v>
      </c>
      <c r="AJ2063" s="4">
        <v>0.1</v>
      </c>
      <c r="AK2063">
        <f t="shared" si="199"/>
        <v>8.85</v>
      </c>
      <c r="AL2063">
        <f t="shared" si="200"/>
        <v>97.35</v>
      </c>
      <c r="AM2063">
        <f t="shared" si="201"/>
        <v>2.65000000000001</v>
      </c>
      <c r="AN2063" s="4">
        <f t="shared" si="197"/>
        <v>0.0265000000000001</v>
      </c>
      <c r="AO2063" t="s">
        <v>3359</v>
      </c>
    </row>
    <row r="2064" ht="15.75" customHeight="1" spans="1:43">
      <c r="A2064" t="s">
        <v>3375</v>
      </c>
      <c r="B2064" t="s">
        <v>67</v>
      </c>
      <c r="C2064" t="s">
        <v>47</v>
      </c>
      <c r="D2064" t="s">
        <v>3369</v>
      </c>
      <c r="E2064" t="s">
        <v>1022</v>
      </c>
      <c r="F2064" t="s">
        <v>3376</v>
      </c>
      <c r="H2064" t="s">
        <v>53</v>
      </c>
      <c r="I2064" t="s">
        <v>2323</v>
      </c>
      <c r="J2064" t="s">
        <v>186</v>
      </c>
      <c r="K2064" t="s">
        <v>3377</v>
      </c>
      <c r="Q2064" t="s">
        <v>57</v>
      </c>
      <c r="Y2064" t="s">
        <v>3378</v>
      </c>
      <c r="AE2064">
        <v>150</v>
      </c>
      <c r="AF2064" s="4">
        <v>0.25</v>
      </c>
      <c r="AG2064">
        <f t="shared" si="196"/>
        <v>112.5</v>
      </c>
      <c r="AH2064" s="4">
        <v>0.18</v>
      </c>
      <c r="AI2064">
        <f t="shared" si="198"/>
        <v>132.75</v>
      </c>
      <c r="AJ2064" s="4">
        <v>0.1</v>
      </c>
      <c r="AK2064">
        <f t="shared" si="199"/>
        <v>13.28</v>
      </c>
      <c r="AL2064">
        <f t="shared" si="200"/>
        <v>146.03</v>
      </c>
      <c r="AM2064">
        <f t="shared" si="201"/>
        <v>3.97</v>
      </c>
      <c r="AN2064" s="4">
        <f t="shared" si="197"/>
        <v>0.0264666666666667</v>
      </c>
      <c r="AO2064" t="s">
        <v>3359</v>
      </c>
    </row>
    <row r="2065" ht="15.75" customHeight="1" spans="1:46">
      <c r="A2065" t="s">
        <v>3375</v>
      </c>
      <c r="B2065" t="s">
        <v>71</v>
      </c>
      <c r="C2065" t="s">
        <v>47</v>
      </c>
      <c r="D2065" t="s">
        <v>3369</v>
      </c>
      <c r="E2065" t="s">
        <v>1022</v>
      </c>
      <c r="F2065" t="s">
        <v>3376</v>
      </c>
      <c r="H2065" t="s">
        <v>53</v>
      </c>
      <c r="I2065" t="s">
        <v>2330</v>
      </c>
      <c r="J2065" t="s">
        <v>186</v>
      </c>
      <c r="K2065" t="s">
        <v>3377</v>
      </c>
      <c r="Q2065" t="s">
        <v>57</v>
      </c>
      <c r="Y2065" t="s">
        <v>3378</v>
      </c>
      <c r="AE2065">
        <v>200</v>
      </c>
      <c r="AF2065" s="4">
        <v>0.25</v>
      </c>
      <c r="AG2065">
        <f t="shared" si="196"/>
        <v>150</v>
      </c>
      <c r="AH2065" s="4">
        <v>0.18</v>
      </c>
      <c r="AI2065">
        <f t="shared" si="198"/>
        <v>177</v>
      </c>
      <c r="AJ2065" s="4">
        <v>0.1</v>
      </c>
      <c r="AK2065">
        <f t="shared" si="199"/>
        <v>17.7</v>
      </c>
      <c r="AL2065">
        <f t="shared" si="200"/>
        <v>194.7</v>
      </c>
      <c r="AM2065">
        <f t="shared" si="201"/>
        <v>5.30000000000001</v>
      </c>
      <c r="AN2065" s="4">
        <f t="shared" si="197"/>
        <v>0.0265000000000001</v>
      </c>
    </row>
    <row r="2066" ht="15.75" customHeight="1" spans="1:46">
      <c r="A2066" t="s">
        <v>3379</v>
      </c>
      <c r="B2066" t="s">
        <v>46</v>
      </c>
      <c r="C2066" t="s">
        <v>3380</v>
      </c>
      <c r="D2066" t="s">
        <v>3381</v>
      </c>
      <c r="E2066" t="s">
        <v>3303</v>
      </c>
      <c r="F2066" t="s">
        <v>3382</v>
      </c>
      <c r="H2066" t="s">
        <v>441</v>
      </c>
      <c r="I2066" t="s">
        <v>442</v>
      </c>
      <c r="J2066" t="s">
        <v>186</v>
      </c>
      <c r="K2066" t="s">
        <v>3383</v>
      </c>
      <c r="Q2066" t="s">
        <v>57</v>
      </c>
      <c r="R2066" t="s">
        <v>3384</v>
      </c>
      <c r="Y2066" t="s">
        <v>3385</v>
      </c>
      <c r="AE2066">
        <v>1275</v>
      </c>
      <c r="AF2066" s="4">
        <v>0.25</v>
      </c>
      <c r="AG2066">
        <f t="shared" si="196"/>
        <v>956.25</v>
      </c>
      <c r="AH2066" s="4">
        <v>0.18</v>
      </c>
      <c r="AI2066">
        <f t="shared" si="198"/>
        <v>1128.38</v>
      </c>
      <c r="AJ2066" s="4">
        <v>0.1</v>
      </c>
      <c r="AK2066">
        <f t="shared" si="199"/>
        <v>112.84</v>
      </c>
      <c r="AL2066">
        <f t="shared" si="200"/>
        <v>1241.22</v>
      </c>
      <c r="AM2066">
        <f t="shared" si="201"/>
        <v>33.78</v>
      </c>
      <c r="AN2066" s="4">
        <f t="shared" si="197"/>
        <v>0.0264941176470588</v>
      </c>
      <c r="AO2066" t="s">
        <v>221</v>
      </c>
      <c r="AT2066" t="s">
        <v>221</v>
      </c>
    </row>
    <row r="2067" ht="15.75" customHeight="1" spans="1:46">
      <c r="A2067" t="s">
        <v>3379</v>
      </c>
      <c r="B2067" t="s">
        <v>67</v>
      </c>
      <c r="C2067" t="s">
        <v>3380</v>
      </c>
      <c r="D2067" t="s">
        <v>3381</v>
      </c>
      <c r="E2067" t="s">
        <v>3303</v>
      </c>
      <c r="F2067" t="s">
        <v>3382</v>
      </c>
      <c r="H2067" t="s">
        <v>441</v>
      </c>
      <c r="I2067" t="s">
        <v>442</v>
      </c>
      <c r="J2067" t="s">
        <v>186</v>
      </c>
      <c r="K2067" t="s">
        <v>3386</v>
      </c>
      <c r="Q2067" t="s">
        <v>57</v>
      </c>
      <c r="R2067" t="s">
        <v>3387</v>
      </c>
      <c r="Y2067" t="s">
        <v>3388</v>
      </c>
      <c r="AE2067">
        <v>1325</v>
      </c>
      <c r="AF2067" s="4">
        <v>0.25</v>
      </c>
      <c r="AG2067">
        <f t="shared" si="196"/>
        <v>993.75</v>
      </c>
      <c r="AH2067" s="4">
        <v>0.18</v>
      </c>
      <c r="AI2067">
        <f t="shared" si="198"/>
        <v>1172.63</v>
      </c>
      <c r="AJ2067" s="4">
        <v>0.1</v>
      </c>
      <c r="AK2067">
        <f t="shared" si="199"/>
        <v>117.26</v>
      </c>
      <c r="AL2067">
        <f t="shared" si="200"/>
        <v>1289.89</v>
      </c>
      <c r="AM2067">
        <f t="shared" si="201"/>
        <v>35.1099999999999</v>
      </c>
      <c r="AN2067" s="4">
        <f t="shared" si="197"/>
        <v>0.0264981132075471</v>
      </c>
      <c r="AO2067" t="s">
        <v>221</v>
      </c>
      <c r="AT2067" t="s">
        <v>221</v>
      </c>
    </row>
    <row r="2068" ht="15.75" customHeight="1" spans="1:46">
      <c r="A2068" t="s">
        <v>3379</v>
      </c>
      <c r="B2068" t="s">
        <v>71</v>
      </c>
      <c r="C2068" t="s">
        <v>3380</v>
      </c>
      <c r="D2068" t="s">
        <v>3381</v>
      </c>
      <c r="E2068" t="s">
        <v>3303</v>
      </c>
      <c r="F2068" t="s">
        <v>3382</v>
      </c>
      <c r="H2068" t="s">
        <v>441</v>
      </c>
      <c r="I2068" t="s">
        <v>442</v>
      </c>
      <c r="J2068" t="s">
        <v>186</v>
      </c>
      <c r="K2068" t="s">
        <v>3389</v>
      </c>
      <c r="Q2068" t="s">
        <v>57</v>
      </c>
      <c r="R2068" t="s">
        <v>3390</v>
      </c>
      <c r="Y2068" t="s">
        <v>3391</v>
      </c>
      <c r="AE2068">
        <v>1850</v>
      </c>
      <c r="AF2068" s="4">
        <v>0.25</v>
      </c>
      <c r="AG2068">
        <f t="shared" si="196"/>
        <v>1387.5</v>
      </c>
      <c r="AH2068" s="4">
        <v>0.18</v>
      </c>
      <c r="AI2068">
        <f t="shared" si="198"/>
        <v>1637.25</v>
      </c>
      <c r="AJ2068" s="4">
        <v>0.1</v>
      </c>
      <c r="AK2068">
        <f t="shared" si="199"/>
        <v>163.73</v>
      </c>
      <c r="AL2068">
        <f t="shared" si="200"/>
        <v>1800.98</v>
      </c>
      <c r="AM2068">
        <f t="shared" si="201"/>
        <v>49.02</v>
      </c>
      <c r="AN2068" s="4">
        <f t="shared" si="197"/>
        <v>0.0264972972972973</v>
      </c>
      <c r="AO2068" t="s">
        <v>221</v>
      </c>
      <c r="AT2068" t="s">
        <v>221</v>
      </c>
    </row>
    <row r="2069" ht="15.75" customHeight="1" spans="1:46">
      <c r="A2069" t="s">
        <v>3379</v>
      </c>
      <c r="B2069" t="s">
        <v>75</v>
      </c>
      <c r="C2069" t="s">
        <v>3380</v>
      </c>
      <c r="D2069" t="s">
        <v>3381</v>
      </c>
      <c r="E2069" t="s">
        <v>3303</v>
      </c>
      <c r="F2069" t="s">
        <v>3382</v>
      </c>
      <c r="H2069" t="s">
        <v>441</v>
      </c>
      <c r="I2069" t="s">
        <v>442</v>
      </c>
      <c r="J2069" t="s">
        <v>186</v>
      </c>
      <c r="K2069" t="s">
        <v>3392</v>
      </c>
      <c r="Q2069" t="s">
        <v>57</v>
      </c>
      <c r="R2069" t="s">
        <v>3393</v>
      </c>
      <c r="Y2069" t="s">
        <v>3394</v>
      </c>
      <c r="AE2069">
        <v>4450</v>
      </c>
      <c r="AF2069" s="4">
        <v>0.25</v>
      </c>
      <c r="AG2069">
        <f t="shared" si="196"/>
        <v>3337.5</v>
      </c>
      <c r="AH2069" s="4">
        <v>0.18</v>
      </c>
      <c r="AI2069">
        <f t="shared" si="198"/>
        <v>3938.25</v>
      </c>
      <c r="AJ2069" s="4">
        <v>0.1</v>
      </c>
      <c r="AK2069">
        <f t="shared" si="199"/>
        <v>393.83</v>
      </c>
      <c r="AL2069">
        <f t="shared" si="200"/>
        <v>4332.08</v>
      </c>
      <c r="AM2069">
        <f t="shared" si="201"/>
        <v>117.92</v>
      </c>
      <c r="AN2069" s="4">
        <f t="shared" si="197"/>
        <v>0.0264988764044944</v>
      </c>
      <c r="AO2069" t="s">
        <v>221</v>
      </c>
      <c r="AT2069" t="s">
        <v>221</v>
      </c>
    </row>
    <row r="2070" ht="15.75" customHeight="1" spans="1:46">
      <c r="A2070" t="s">
        <v>3379</v>
      </c>
      <c r="B2070" t="s">
        <v>79</v>
      </c>
      <c r="C2070" t="s">
        <v>3380</v>
      </c>
      <c r="D2070" t="s">
        <v>3381</v>
      </c>
      <c r="E2070" t="s">
        <v>3303</v>
      </c>
      <c r="F2070" t="s">
        <v>3382</v>
      </c>
      <c r="H2070" t="s">
        <v>441</v>
      </c>
      <c r="I2070" t="s">
        <v>442</v>
      </c>
      <c r="J2070" t="s">
        <v>186</v>
      </c>
      <c r="K2070" t="s">
        <v>915</v>
      </c>
      <c r="Q2070" t="s">
        <v>57</v>
      </c>
      <c r="R2070" t="s">
        <v>3395</v>
      </c>
      <c r="Y2070" t="s">
        <v>3396</v>
      </c>
      <c r="AE2070">
        <v>4450</v>
      </c>
      <c r="AF2070" s="4">
        <v>0.25</v>
      </c>
      <c r="AG2070">
        <f t="shared" si="196"/>
        <v>3337.5</v>
      </c>
      <c r="AH2070" s="4">
        <v>0.18</v>
      </c>
      <c r="AI2070">
        <f t="shared" si="198"/>
        <v>3938.25</v>
      </c>
      <c r="AJ2070" s="4">
        <v>0.1</v>
      </c>
      <c r="AK2070">
        <f t="shared" si="199"/>
        <v>393.83</v>
      </c>
      <c r="AL2070">
        <f t="shared" si="200"/>
        <v>4332.08</v>
      </c>
      <c r="AM2070">
        <f t="shared" si="201"/>
        <v>117.92</v>
      </c>
      <c r="AN2070" s="4">
        <f t="shared" si="197"/>
        <v>0.0264988764044944</v>
      </c>
      <c r="AO2070" t="s">
        <v>221</v>
      </c>
      <c r="AT2070" t="s">
        <v>221</v>
      </c>
    </row>
    <row r="2071" ht="15.75" customHeight="1" spans="1:46">
      <c r="A2071" t="s">
        <v>3379</v>
      </c>
      <c r="B2071" t="s">
        <v>83</v>
      </c>
      <c r="C2071" t="s">
        <v>3380</v>
      </c>
      <c r="D2071" t="s">
        <v>3381</v>
      </c>
      <c r="E2071" t="s">
        <v>3303</v>
      </c>
      <c r="F2071" t="s">
        <v>3382</v>
      </c>
      <c r="H2071" t="s">
        <v>441</v>
      </c>
      <c r="I2071" t="s">
        <v>442</v>
      </c>
      <c r="J2071" t="s">
        <v>186</v>
      </c>
      <c r="K2071" t="s">
        <v>3397</v>
      </c>
      <c r="Q2071" t="s">
        <v>57</v>
      </c>
      <c r="R2071" t="s">
        <v>3398</v>
      </c>
      <c r="Y2071" t="s">
        <v>3399</v>
      </c>
      <c r="AE2071">
        <v>3900</v>
      </c>
      <c r="AF2071" s="4">
        <v>0.25</v>
      </c>
      <c r="AG2071">
        <f t="shared" si="196"/>
        <v>2925</v>
      </c>
      <c r="AH2071" s="4">
        <v>0.18</v>
      </c>
      <c r="AI2071">
        <f t="shared" si="198"/>
        <v>3451.5</v>
      </c>
      <c r="AJ2071" s="4">
        <v>0.1</v>
      </c>
      <c r="AK2071">
        <f t="shared" si="199"/>
        <v>345.15</v>
      </c>
      <c r="AL2071">
        <f t="shared" si="200"/>
        <v>3796.65</v>
      </c>
      <c r="AM2071">
        <f t="shared" si="201"/>
        <v>103.35</v>
      </c>
      <c r="AN2071" s="4">
        <f t="shared" si="197"/>
        <v>0.0265</v>
      </c>
      <c r="AO2071" t="s">
        <v>221</v>
      </c>
      <c r="AT2071" t="s">
        <v>221</v>
      </c>
    </row>
    <row r="2072" ht="15.75" customHeight="1" spans="1:46">
      <c r="A2072" t="s">
        <v>3379</v>
      </c>
      <c r="B2072" t="s">
        <v>131</v>
      </c>
      <c r="C2072" t="s">
        <v>3380</v>
      </c>
      <c r="D2072" t="s">
        <v>3381</v>
      </c>
      <c r="E2072" t="s">
        <v>3303</v>
      </c>
      <c r="F2072" t="s">
        <v>3382</v>
      </c>
      <c r="H2072" t="s">
        <v>441</v>
      </c>
      <c r="I2072" t="s">
        <v>442</v>
      </c>
      <c r="J2072" t="s">
        <v>186</v>
      </c>
      <c r="K2072" t="s">
        <v>442</v>
      </c>
      <c r="Q2072" t="s">
        <v>57</v>
      </c>
      <c r="R2072" t="s">
        <v>3400</v>
      </c>
      <c r="Y2072" t="s">
        <v>3401</v>
      </c>
      <c r="AE2072">
        <v>4450</v>
      </c>
      <c r="AF2072" s="4">
        <v>0.25</v>
      </c>
      <c r="AG2072">
        <f t="shared" si="196"/>
        <v>3337.5</v>
      </c>
      <c r="AH2072" s="4">
        <v>0.18</v>
      </c>
      <c r="AI2072">
        <f t="shared" si="198"/>
        <v>3938.25</v>
      </c>
      <c r="AJ2072" s="4">
        <v>0.1</v>
      </c>
      <c r="AK2072">
        <f t="shared" si="199"/>
        <v>393.83</v>
      </c>
      <c r="AL2072">
        <f t="shared" si="200"/>
        <v>4332.08</v>
      </c>
      <c r="AM2072">
        <f t="shared" si="201"/>
        <v>117.92</v>
      </c>
      <c r="AN2072" s="4">
        <f t="shared" si="197"/>
        <v>0.0264988764044944</v>
      </c>
      <c r="AO2072" t="s">
        <v>221</v>
      </c>
      <c r="AT2072" t="s">
        <v>221</v>
      </c>
    </row>
    <row r="2073" ht="15.75" customHeight="1" spans="1:46">
      <c r="A2073" t="s">
        <v>3402</v>
      </c>
      <c r="B2073" t="s">
        <v>46</v>
      </c>
      <c r="C2073" t="s">
        <v>3380</v>
      </c>
      <c r="D2073" t="s">
        <v>3381</v>
      </c>
      <c r="E2073" t="s">
        <v>3342</v>
      </c>
      <c r="F2073" t="s">
        <v>3403</v>
      </c>
      <c r="H2073" t="s">
        <v>441</v>
      </c>
      <c r="I2073" t="s">
        <v>442</v>
      </c>
      <c r="J2073" t="s">
        <v>186</v>
      </c>
      <c r="K2073" t="s">
        <v>3404</v>
      </c>
      <c r="Q2073" t="s">
        <v>57</v>
      </c>
      <c r="R2073" t="s">
        <v>3405</v>
      </c>
      <c r="Y2073" t="s">
        <v>3406</v>
      </c>
      <c r="AE2073">
        <v>1100</v>
      </c>
      <c r="AF2073" s="4">
        <v>0.25</v>
      </c>
      <c r="AG2073">
        <f t="shared" si="196"/>
        <v>825</v>
      </c>
      <c r="AH2073" s="4">
        <v>0.18</v>
      </c>
      <c r="AI2073">
        <f t="shared" si="198"/>
        <v>973.5</v>
      </c>
      <c r="AJ2073" s="4">
        <v>0.1</v>
      </c>
      <c r="AK2073">
        <f t="shared" si="199"/>
        <v>97.35</v>
      </c>
      <c r="AL2073">
        <f t="shared" si="200"/>
        <v>1070.85</v>
      </c>
      <c r="AM2073">
        <f t="shared" si="201"/>
        <v>29.1500000000001</v>
      </c>
      <c r="AN2073" s="4">
        <f t="shared" si="197"/>
        <v>0.0265000000000001</v>
      </c>
      <c r="AO2073" t="s">
        <v>221</v>
      </c>
      <c r="AT2073" t="s">
        <v>221</v>
      </c>
    </row>
    <row r="2074" ht="15.75" customHeight="1" spans="1:46">
      <c r="A2074" t="s">
        <v>3402</v>
      </c>
      <c r="B2074" t="s">
        <v>67</v>
      </c>
      <c r="C2074" t="s">
        <v>3380</v>
      </c>
      <c r="D2074" t="s">
        <v>3381</v>
      </c>
      <c r="E2074" t="s">
        <v>3342</v>
      </c>
      <c r="F2074" t="s">
        <v>3403</v>
      </c>
      <c r="H2074" t="s">
        <v>441</v>
      </c>
      <c r="I2074" t="s">
        <v>442</v>
      </c>
      <c r="J2074" t="s">
        <v>186</v>
      </c>
      <c r="K2074" t="s">
        <v>1339</v>
      </c>
      <c r="Q2074" t="s">
        <v>57</v>
      </c>
      <c r="R2074" t="s">
        <v>3407</v>
      </c>
      <c r="Y2074" t="s">
        <v>3408</v>
      </c>
      <c r="AE2074">
        <v>1075</v>
      </c>
      <c r="AF2074" s="4">
        <v>0.25</v>
      </c>
      <c r="AG2074">
        <f t="shared" si="196"/>
        <v>806.25</v>
      </c>
      <c r="AH2074" s="4">
        <v>0.18</v>
      </c>
      <c r="AI2074">
        <f t="shared" si="198"/>
        <v>951.38</v>
      </c>
      <c r="AJ2074" s="4">
        <v>0.1</v>
      </c>
      <c r="AK2074">
        <f t="shared" si="199"/>
        <v>95.14</v>
      </c>
      <c r="AL2074">
        <f t="shared" si="200"/>
        <v>1046.52</v>
      </c>
      <c r="AM2074">
        <f t="shared" si="201"/>
        <v>28.48</v>
      </c>
      <c r="AN2074" s="4">
        <f t="shared" si="197"/>
        <v>0.026493023255814</v>
      </c>
      <c r="AO2074" t="s">
        <v>221</v>
      </c>
      <c r="AT2074" t="s">
        <v>221</v>
      </c>
    </row>
    <row r="2075" ht="15.75" customHeight="1" spans="1:46">
      <c r="A2075" t="s">
        <v>3402</v>
      </c>
      <c r="B2075" t="s">
        <v>71</v>
      </c>
      <c r="C2075" t="s">
        <v>3380</v>
      </c>
      <c r="D2075" t="s">
        <v>3381</v>
      </c>
      <c r="E2075" t="s">
        <v>3342</v>
      </c>
      <c r="F2075" t="s">
        <v>3403</v>
      </c>
      <c r="H2075" t="s">
        <v>441</v>
      </c>
      <c r="I2075" t="s">
        <v>442</v>
      </c>
      <c r="J2075" t="s">
        <v>186</v>
      </c>
      <c r="K2075" t="s">
        <v>1339</v>
      </c>
      <c r="Q2075" t="s">
        <v>57</v>
      </c>
      <c r="R2075" t="s">
        <v>3409</v>
      </c>
      <c r="Y2075" t="s">
        <v>3410</v>
      </c>
      <c r="AE2075">
        <v>1990</v>
      </c>
      <c r="AF2075" s="4">
        <v>0.25</v>
      </c>
      <c r="AG2075">
        <f t="shared" si="196"/>
        <v>1492.5</v>
      </c>
      <c r="AH2075" s="4">
        <v>0.18</v>
      </c>
      <c r="AI2075">
        <f t="shared" si="198"/>
        <v>1761.15</v>
      </c>
      <c r="AJ2075" s="4">
        <v>0.1</v>
      </c>
      <c r="AK2075">
        <f t="shared" si="199"/>
        <v>176.12</v>
      </c>
      <c r="AL2075">
        <f t="shared" si="200"/>
        <v>1937.27</v>
      </c>
      <c r="AM2075">
        <f t="shared" si="201"/>
        <v>52.73</v>
      </c>
      <c r="AN2075" s="4">
        <f t="shared" si="197"/>
        <v>0.0264974874371859</v>
      </c>
      <c r="AO2075" t="s">
        <v>221</v>
      </c>
      <c r="AT2075" t="s">
        <v>221</v>
      </c>
    </row>
    <row r="2076" ht="15.75" customHeight="1" spans="1:46">
      <c r="A2076" t="s">
        <v>3402</v>
      </c>
      <c r="B2076" t="s">
        <v>75</v>
      </c>
      <c r="C2076" t="s">
        <v>3380</v>
      </c>
      <c r="D2076" t="s">
        <v>3381</v>
      </c>
      <c r="E2076" t="s">
        <v>3342</v>
      </c>
      <c r="F2076" t="s">
        <v>3403</v>
      </c>
      <c r="H2076" t="s">
        <v>441</v>
      </c>
      <c r="I2076" t="s">
        <v>442</v>
      </c>
      <c r="J2076" t="s">
        <v>186</v>
      </c>
      <c r="K2076" t="s">
        <v>3404</v>
      </c>
      <c r="Q2076" t="s">
        <v>57</v>
      </c>
      <c r="R2076" t="s">
        <v>3411</v>
      </c>
      <c r="Y2076" t="s">
        <v>3412</v>
      </c>
      <c r="AE2076">
        <v>1325</v>
      </c>
      <c r="AF2076" s="4">
        <v>0.25</v>
      </c>
      <c r="AG2076">
        <f t="shared" si="196"/>
        <v>993.75</v>
      </c>
      <c r="AH2076" s="4">
        <v>0.18</v>
      </c>
      <c r="AI2076">
        <f t="shared" si="198"/>
        <v>1172.63</v>
      </c>
      <c r="AJ2076" s="4">
        <v>0.1</v>
      </c>
      <c r="AK2076">
        <f t="shared" si="199"/>
        <v>117.26</v>
      </c>
      <c r="AL2076">
        <f t="shared" si="200"/>
        <v>1289.89</v>
      </c>
      <c r="AM2076">
        <f t="shared" si="201"/>
        <v>35.1099999999999</v>
      </c>
      <c r="AN2076" s="4">
        <f t="shared" si="197"/>
        <v>0.0264981132075471</v>
      </c>
      <c r="AO2076" t="s">
        <v>221</v>
      </c>
      <c r="AT2076" t="s">
        <v>221</v>
      </c>
    </row>
    <row r="2077" ht="15.75" customHeight="1" spans="1:46">
      <c r="A2077" t="s">
        <v>3402</v>
      </c>
      <c r="B2077" t="s">
        <v>79</v>
      </c>
      <c r="C2077" t="s">
        <v>3380</v>
      </c>
      <c r="D2077" t="s">
        <v>3381</v>
      </c>
      <c r="E2077" t="s">
        <v>3342</v>
      </c>
      <c r="F2077" t="s">
        <v>3403</v>
      </c>
      <c r="H2077" t="s">
        <v>441</v>
      </c>
      <c r="I2077" t="s">
        <v>442</v>
      </c>
      <c r="J2077" t="s">
        <v>186</v>
      </c>
      <c r="K2077" t="s">
        <v>3404</v>
      </c>
      <c r="Q2077" t="s">
        <v>57</v>
      </c>
      <c r="R2077" t="s">
        <v>3405</v>
      </c>
      <c r="Y2077" t="s">
        <v>3413</v>
      </c>
      <c r="AE2077">
        <v>1100</v>
      </c>
      <c r="AF2077" s="4">
        <v>0.25</v>
      </c>
      <c r="AG2077">
        <f t="shared" si="196"/>
        <v>825</v>
      </c>
      <c r="AH2077" s="4">
        <v>0.18</v>
      </c>
      <c r="AI2077">
        <f t="shared" si="198"/>
        <v>973.5</v>
      </c>
      <c r="AJ2077" s="4">
        <v>0.1</v>
      </c>
      <c r="AK2077">
        <f t="shared" si="199"/>
        <v>97.35</v>
      </c>
      <c r="AL2077">
        <f t="shared" si="200"/>
        <v>1070.85</v>
      </c>
      <c r="AM2077">
        <f t="shared" si="201"/>
        <v>29.1500000000001</v>
      </c>
      <c r="AN2077" s="4">
        <f t="shared" si="197"/>
        <v>0.0265000000000001</v>
      </c>
      <c r="AO2077" t="s">
        <v>221</v>
      </c>
      <c r="AT2077" t="s">
        <v>221</v>
      </c>
    </row>
    <row r="2078" ht="15.75" customHeight="1" spans="1:46">
      <c r="A2078" t="s">
        <v>3414</v>
      </c>
      <c r="B2078" t="s">
        <v>46</v>
      </c>
      <c r="C2078" t="s">
        <v>3380</v>
      </c>
      <c r="D2078" t="s">
        <v>3381</v>
      </c>
      <c r="E2078" t="s">
        <v>3415</v>
      </c>
      <c r="F2078" t="s">
        <v>3403</v>
      </c>
      <c r="H2078" t="s">
        <v>441</v>
      </c>
      <c r="I2078" t="s">
        <v>3416</v>
      </c>
      <c r="J2078" t="s">
        <v>186</v>
      </c>
      <c r="K2078" t="s">
        <v>1339</v>
      </c>
      <c r="Q2078" t="s">
        <v>57</v>
      </c>
      <c r="R2078" t="s">
        <v>3417</v>
      </c>
      <c r="Y2078" t="s">
        <v>3418</v>
      </c>
      <c r="AE2078">
        <v>675</v>
      </c>
      <c r="AF2078" s="4">
        <v>0.25</v>
      </c>
      <c r="AG2078">
        <f t="shared" si="196"/>
        <v>506.25</v>
      </c>
      <c r="AH2078" s="4">
        <v>0.18</v>
      </c>
      <c r="AI2078">
        <f t="shared" si="198"/>
        <v>597.38</v>
      </c>
      <c r="AJ2078" s="4">
        <v>0.1</v>
      </c>
      <c r="AK2078">
        <f t="shared" si="199"/>
        <v>59.74</v>
      </c>
      <c r="AL2078">
        <f t="shared" si="200"/>
        <v>657.12</v>
      </c>
      <c r="AM2078">
        <f t="shared" si="201"/>
        <v>17.88</v>
      </c>
      <c r="AN2078" s="4">
        <f t="shared" si="197"/>
        <v>0.0264888888888889</v>
      </c>
      <c r="AO2078" t="s">
        <v>221</v>
      </c>
      <c r="AT2078" t="s">
        <v>221</v>
      </c>
    </row>
    <row r="2079" ht="15.75" customHeight="1" spans="1:46">
      <c r="A2079" t="s">
        <v>3414</v>
      </c>
      <c r="B2079" t="s">
        <v>67</v>
      </c>
      <c r="C2079" t="s">
        <v>3380</v>
      </c>
      <c r="D2079" t="s">
        <v>3381</v>
      </c>
      <c r="E2079" t="s">
        <v>3415</v>
      </c>
      <c r="F2079" t="s">
        <v>3403</v>
      </c>
      <c r="H2079" t="s">
        <v>441</v>
      </c>
      <c r="I2079" t="s">
        <v>1048</v>
      </c>
      <c r="J2079" t="s">
        <v>186</v>
      </c>
      <c r="K2079" t="s">
        <v>1339</v>
      </c>
      <c r="Q2079" t="s">
        <v>57</v>
      </c>
      <c r="R2079" t="s">
        <v>3419</v>
      </c>
      <c r="Y2079" t="s">
        <v>3420</v>
      </c>
      <c r="AE2079">
        <v>840</v>
      </c>
      <c r="AF2079" s="4">
        <v>0.25</v>
      </c>
      <c r="AG2079">
        <f t="shared" si="196"/>
        <v>630</v>
      </c>
      <c r="AH2079" s="4">
        <v>0.18</v>
      </c>
      <c r="AI2079">
        <f t="shared" si="198"/>
        <v>743.4</v>
      </c>
      <c r="AJ2079" s="4">
        <v>0.1</v>
      </c>
      <c r="AK2079">
        <f t="shared" si="199"/>
        <v>74.34</v>
      </c>
      <c r="AL2079">
        <f t="shared" si="200"/>
        <v>817.74</v>
      </c>
      <c r="AM2079">
        <f t="shared" si="201"/>
        <v>22.26</v>
      </c>
      <c r="AN2079" s="4">
        <f t="shared" si="197"/>
        <v>0.0265</v>
      </c>
      <c r="AO2079" t="s">
        <v>221</v>
      </c>
      <c r="AT2079" t="s">
        <v>221</v>
      </c>
    </row>
    <row r="2080" ht="15.75" customHeight="1" spans="1:46">
      <c r="A2080" t="s">
        <v>3414</v>
      </c>
      <c r="B2080" t="s">
        <v>71</v>
      </c>
      <c r="C2080" t="s">
        <v>3380</v>
      </c>
      <c r="D2080" t="s">
        <v>3381</v>
      </c>
      <c r="E2080" t="s">
        <v>3415</v>
      </c>
      <c r="F2080" t="s">
        <v>3403</v>
      </c>
      <c r="H2080" t="s">
        <v>441</v>
      </c>
      <c r="I2080" t="s">
        <v>3421</v>
      </c>
      <c r="J2080" t="s">
        <v>186</v>
      </c>
      <c r="K2080" t="s">
        <v>1339</v>
      </c>
      <c r="Q2080" t="s">
        <v>57</v>
      </c>
      <c r="R2080" t="s">
        <v>3422</v>
      </c>
      <c r="Y2080" t="s">
        <v>3423</v>
      </c>
      <c r="AE2080">
        <v>1106</v>
      </c>
      <c r="AF2080" s="4">
        <v>0.25</v>
      </c>
      <c r="AG2080">
        <f t="shared" si="196"/>
        <v>829.5</v>
      </c>
      <c r="AH2080" s="4">
        <v>0.18</v>
      </c>
      <c r="AI2080">
        <f t="shared" si="198"/>
        <v>978.81</v>
      </c>
      <c r="AJ2080" s="4">
        <v>0.1</v>
      </c>
      <c r="AK2080">
        <f t="shared" si="199"/>
        <v>97.88</v>
      </c>
      <c r="AL2080">
        <f t="shared" si="200"/>
        <v>1076.69</v>
      </c>
      <c r="AM2080">
        <f t="shared" si="201"/>
        <v>29.3099999999999</v>
      </c>
      <c r="AN2080" s="4">
        <f t="shared" si="197"/>
        <v>0.026500904159132</v>
      </c>
      <c r="AO2080" t="s">
        <v>221</v>
      </c>
      <c r="AT2080" t="s">
        <v>221</v>
      </c>
    </row>
    <row r="2081" ht="15.75" customHeight="1" spans="1:46">
      <c r="A2081" t="s">
        <v>3414</v>
      </c>
      <c r="B2081" t="s">
        <v>75</v>
      </c>
      <c r="C2081" t="s">
        <v>3380</v>
      </c>
      <c r="D2081" t="s">
        <v>3381</v>
      </c>
      <c r="E2081" t="s">
        <v>3415</v>
      </c>
      <c r="F2081" t="s">
        <v>3403</v>
      </c>
      <c r="H2081" t="s">
        <v>441</v>
      </c>
      <c r="I2081" t="s">
        <v>442</v>
      </c>
      <c r="J2081" t="s">
        <v>186</v>
      </c>
      <c r="K2081" t="s">
        <v>1339</v>
      </c>
      <c r="Q2081" t="s">
        <v>57</v>
      </c>
      <c r="R2081" t="s">
        <v>3424</v>
      </c>
      <c r="Y2081" t="s">
        <v>3425</v>
      </c>
      <c r="AE2081">
        <v>1460</v>
      </c>
      <c r="AF2081" s="4">
        <v>0.25</v>
      </c>
      <c r="AG2081">
        <f t="shared" si="196"/>
        <v>1095</v>
      </c>
      <c r="AH2081" s="4">
        <v>0.18</v>
      </c>
      <c r="AI2081">
        <f t="shared" si="198"/>
        <v>1292.1</v>
      </c>
      <c r="AJ2081" s="4">
        <v>0.1</v>
      </c>
      <c r="AK2081">
        <f t="shared" si="199"/>
        <v>129.21</v>
      </c>
      <c r="AL2081">
        <f t="shared" si="200"/>
        <v>1421.31</v>
      </c>
      <c r="AM2081">
        <f t="shared" si="201"/>
        <v>38.6900000000001</v>
      </c>
      <c r="AN2081" s="4">
        <f t="shared" si="197"/>
        <v>0.0265</v>
      </c>
      <c r="AO2081" t="s">
        <v>221</v>
      </c>
      <c r="AT2081" t="s">
        <v>221</v>
      </c>
    </row>
    <row r="2082" ht="15.75" customHeight="1" spans="1:46">
      <c r="A2082" t="s">
        <v>3414</v>
      </c>
      <c r="B2082" t="s">
        <v>79</v>
      </c>
      <c r="C2082" t="s">
        <v>3380</v>
      </c>
      <c r="D2082" t="s">
        <v>3381</v>
      </c>
      <c r="E2082" t="s">
        <v>3415</v>
      </c>
      <c r="F2082" t="s">
        <v>3403</v>
      </c>
      <c r="H2082" t="s">
        <v>441</v>
      </c>
      <c r="I2082" t="s">
        <v>3426</v>
      </c>
      <c r="J2082" t="s">
        <v>186</v>
      </c>
      <c r="K2082" t="s">
        <v>1339</v>
      </c>
      <c r="Q2082" t="s">
        <v>57</v>
      </c>
      <c r="R2082" t="s">
        <v>3427</v>
      </c>
      <c r="Y2082" t="s">
        <v>3428</v>
      </c>
      <c r="AE2082">
        <v>720</v>
      </c>
      <c r="AF2082" s="4">
        <v>0.25</v>
      </c>
      <c r="AG2082">
        <f t="shared" si="196"/>
        <v>540</v>
      </c>
      <c r="AH2082" s="4">
        <v>0.18</v>
      </c>
      <c r="AI2082">
        <f t="shared" si="198"/>
        <v>637.2</v>
      </c>
      <c r="AJ2082" s="4">
        <v>0.1</v>
      </c>
      <c r="AK2082">
        <f t="shared" si="199"/>
        <v>63.72</v>
      </c>
      <c r="AL2082">
        <f t="shared" si="200"/>
        <v>700.92</v>
      </c>
      <c r="AM2082">
        <f t="shared" si="201"/>
        <v>19.0799999999999</v>
      </c>
      <c r="AN2082" s="4">
        <f t="shared" si="197"/>
        <v>0.0264999999999999</v>
      </c>
      <c r="AO2082" t="s">
        <v>221</v>
      </c>
      <c r="AT2082" t="s">
        <v>221</v>
      </c>
    </row>
    <row r="2083" ht="15.75" customHeight="1" spans="1:46">
      <c r="A2083" t="s">
        <v>3414</v>
      </c>
      <c r="B2083" t="s">
        <v>83</v>
      </c>
      <c r="C2083" t="s">
        <v>3380</v>
      </c>
      <c r="D2083" t="s">
        <v>3381</v>
      </c>
      <c r="E2083" t="s">
        <v>3415</v>
      </c>
      <c r="F2083" t="s">
        <v>3403</v>
      </c>
      <c r="H2083" t="s">
        <v>441</v>
      </c>
      <c r="I2083" t="s">
        <v>442</v>
      </c>
      <c r="J2083" t="s">
        <v>186</v>
      </c>
      <c r="K2083" t="s">
        <v>1339</v>
      </c>
      <c r="Q2083" t="s">
        <v>57</v>
      </c>
      <c r="R2083" t="s">
        <v>3429</v>
      </c>
      <c r="Y2083" t="s">
        <v>3430</v>
      </c>
      <c r="AE2083">
        <v>1580</v>
      </c>
      <c r="AF2083" s="4">
        <v>0.25</v>
      </c>
      <c r="AG2083">
        <f t="shared" si="196"/>
        <v>1185</v>
      </c>
      <c r="AH2083" s="4">
        <v>0.18</v>
      </c>
      <c r="AI2083">
        <f t="shared" si="198"/>
        <v>1398.3</v>
      </c>
      <c r="AJ2083" s="4">
        <v>0.1</v>
      </c>
      <c r="AK2083">
        <f t="shared" si="199"/>
        <v>139.83</v>
      </c>
      <c r="AL2083">
        <f t="shared" si="200"/>
        <v>1538.13</v>
      </c>
      <c r="AM2083">
        <f t="shared" si="201"/>
        <v>41.8700000000001</v>
      </c>
      <c r="AN2083" s="4">
        <f t="shared" si="197"/>
        <v>0.0265000000000001</v>
      </c>
      <c r="AO2083" t="s">
        <v>221</v>
      </c>
      <c r="AT2083" t="s">
        <v>221</v>
      </c>
    </row>
    <row r="2084" ht="15.75" customHeight="1" spans="1:46">
      <c r="A2084" t="s">
        <v>3414</v>
      </c>
      <c r="B2084" t="s">
        <v>131</v>
      </c>
      <c r="C2084" t="s">
        <v>3380</v>
      </c>
      <c r="D2084" t="s">
        <v>3381</v>
      </c>
      <c r="E2084" t="s">
        <v>3415</v>
      </c>
      <c r="F2084" t="s">
        <v>3403</v>
      </c>
      <c r="H2084" t="s">
        <v>441</v>
      </c>
      <c r="I2084" t="s">
        <v>3421</v>
      </c>
      <c r="J2084" t="s">
        <v>186</v>
      </c>
      <c r="K2084" t="s">
        <v>1339</v>
      </c>
      <c r="Q2084" t="s">
        <v>57</v>
      </c>
      <c r="R2084" t="s">
        <v>3431</v>
      </c>
      <c r="Y2084" t="s">
        <v>3432</v>
      </c>
      <c r="AE2084">
        <v>1160</v>
      </c>
      <c r="AF2084" s="4">
        <v>0.25</v>
      </c>
      <c r="AG2084">
        <f t="shared" si="196"/>
        <v>870</v>
      </c>
      <c r="AH2084" s="4">
        <v>0.18</v>
      </c>
      <c r="AI2084">
        <f t="shared" si="198"/>
        <v>1026.6</v>
      </c>
      <c r="AJ2084" s="4">
        <v>0.1</v>
      </c>
      <c r="AK2084">
        <f t="shared" si="199"/>
        <v>102.66</v>
      </c>
      <c r="AL2084">
        <f t="shared" si="200"/>
        <v>1129.26</v>
      </c>
      <c r="AM2084">
        <f t="shared" si="201"/>
        <v>30.74</v>
      </c>
      <c r="AN2084" s="4">
        <f t="shared" si="197"/>
        <v>0.0265</v>
      </c>
      <c r="AO2084" t="s">
        <v>221</v>
      </c>
      <c r="AT2084" t="s">
        <v>221</v>
      </c>
    </row>
    <row r="2085" ht="15.75" customHeight="1" spans="1:46">
      <c r="A2085" t="s">
        <v>3433</v>
      </c>
      <c r="B2085" t="s">
        <v>46</v>
      </c>
      <c r="C2085" t="s">
        <v>3380</v>
      </c>
      <c r="D2085" t="s">
        <v>3381</v>
      </c>
      <c r="E2085" t="s">
        <v>3434</v>
      </c>
      <c r="F2085" t="s">
        <v>3403</v>
      </c>
      <c r="H2085" t="s">
        <v>441</v>
      </c>
      <c r="I2085" t="s">
        <v>1054</v>
      </c>
      <c r="J2085" t="s">
        <v>186</v>
      </c>
      <c r="K2085" t="s">
        <v>3404</v>
      </c>
      <c r="Q2085" t="s">
        <v>57</v>
      </c>
      <c r="R2085" t="s">
        <v>3435</v>
      </c>
      <c r="Y2085" t="s">
        <v>3436</v>
      </c>
      <c r="AE2085">
        <v>2100</v>
      </c>
      <c r="AF2085" s="4">
        <v>0.25</v>
      </c>
      <c r="AG2085">
        <f t="shared" si="196"/>
        <v>1575</v>
      </c>
      <c r="AH2085" s="4">
        <v>0.18</v>
      </c>
      <c r="AI2085">
        <f t="shared" si="198"/>
        <v>1858.5</v>
      </c>
      <c r="AJ2085" s="4">
        <v>0.1</v>
      </c>
      <c r="AK2085">
        <f t="shared" si="199"/>
        <v>185.85</v>
      </c>
      <c r="AL2085">
        <f t="shared" si="200"/>
        <v>2044.35</v>
      </c>
      <c r="AM2085">
        <f t="shared" si="201"/>
        <v>55.6500000000001</v>
      </c>
      <c r="AN2085" s="4">
        <f t="shared" si="197"/>
        <v>0.0265</v>
      </c>
      <c r="AO2085" t="s">
        <v>221</v>
      </c>
      <c r="AT2085" t="s">
        <v>221</v>
      </c>
    </row>
    <row r="2086" ht="15.75" customHeight="1" spans="1:46">
      <c r="A2086" t="s">
        <v>3433</v>
      </c>
      <c r="B2086" t="s">
        <v>67</v>
      </c>
      <c r="C2086" t="s">
        <v>3380</v>
      </c>
      <c r="D2086" t="s">
        <v>3381</v>
      </c>
      <c r="E2086" t="s">
        <v>3434</v>
      </c>
      <c r="F2086" t="s">
        <v>3403</v>
      </c>
      <c r="H2086" t="s">
        <v>441</v>
      </c>
      <c r="I2086" t="s">
        <v>3416</v>
      </c>
      <c r="J2086" t="s">
        <v>186</v>
      </c>
      <c r="K2086" t="s">
        <v>3404</v>
      </c>
      <c r="Q2086" t="s">
        <v>57</v>
      </c>
      <c r="R2086" t="s">
        <v>3437</v>
      </c>
      <c r="Y2086" t="s">
        <v>3438</v>
      </c>
      <c r="AE2086">
        <v>3900</v>
      </c>
      <c r="AF2086" s="4">
        <v>0.25</v>
      </c>
      <c r="AG2086">
        <f t="shared" si="196"/>
        <v>2925</v>
      </c>
      <c r="AH2086" s="4">
        <v>0.18</v>
      </c>
      <c r="AI2086">
        <f t="shared" si="198"/>
        <v>3451.5</v>
      </c>
      <c r="AJ2086" s="4">
        <v>0.1</v>
      </c>
      <c r="AK2086">
        <f t="shared" si="199"/>
        <v>345.15</v>
      </c>
      <c r="AL2086">
        <f t="shared" si="200"/>
        <v>3796.65</v>
      </c>
      <c r="AM2086">
        <f t="shared" si="201"/>
        <v>103.35</v>
      </c>
      <c r="AN2086" s="4">
        <f t="shared" si="197"/>
        <v>0.0265</v>
      </c>
      <c r="AO2086" t="s">
        <v>221</v>
      </c>
      <c r="AT2086" t="s">
        <v>221</v>
      </c>
    </row>
    <row r="2087" ht="15.75" customHeight="1" spans="1:46">
      <c r="A2087" t="s">
        <v>3433</v>
      </c>
      <c r="B2087" t="s">
        <v>71</v>
      </c>
      <c r="C2087" t="s">
        <v>3380</v>
      </c>
      <c r="D2087" t="s">
        <v>3381</v>
      </c>
      <c r="E2087" t="s">
        <v>3434</v>
      </c>
      <c r="F2087" t="s">
        <v>3403</v>
      </c>
      <c r="H2087" t="s">
        <v>441</v>
      </c>
      <c r="I2087" t="s">
        <v>1054</v>
      </c>
      <c r="J2087" t="s">
        <v>186</v>
      </c>
      <c r="K2087" t="s">
        <v>1339</v>
      </c>
      <c r="Q2087" t="s">
        <v>57</v>
      </c>
      <c r="R2087" t="s">
        <v>3439</v>
      </c>
      <c r="Y2087" t="s">
        <v>3440</v>
      </c>
      <c r="AE2087">
        <v>2330</v>
      </c>
      <c r="AF2087" s="4">
        <v>0.25</v>
      </c>
      <c r="AG2087">
        <f t="shared" si="196"/>
        <v>1747.5</v>
      </c>
      <c r="AH2087" s="4">
        <v>0.18</v>
      </c>
      <c r="AI2087">
        <f t="shared" si="198"/>
        <v>2062.05</v>
      </c>
      <c r="AJ2087" s="4">
        <v>0.1</v>
      </c>
      <c r="AK2087">
        <f t="shared" si="199"/>
        <v>206.21</v>
      </c>
      <c r="AL2087">
        <f t="shared" si="200"/>
        <v>2268.26</v>
      </c>
      <c r="AM2087">
        <f t="shared" si="201"/>
        <v>61.7399999999998</v>
      </c>
      <c r="AN2087" s="4">
        <f t="shared" si="197"/>
        <v>0.0264978540772531</v>
      </c>
      <c r="AO2087" t="s">
        <v>221</v>
      </c>
      <c r="AT2087" t="s">
        <v>221</v>
      </c>
    </row>
    <row r="2088" ht="15.75" customHeight="1" spans="1:46">
      <c r="A2088" t="s">
        <v>3433</v>
      </c>
      <c r="B2088" t="s">
        <v>75</v>
      </c>
      <c r="C2088" t="s">
        <v>3380</v>
      </c>
      <c r="D2088" t="s">
        <v>3381</v>
      </c>
      <c r="E2088" t="s">
        <v>3434</v>
      </c>
      <c r="F2088" t="s">
        <v>3403</v>
      </c>
      <c r="H2088" t="s">
        <v>441</v>
      </c>
      <c r="I2088" t="s">
        <v>3421</v>
      </c>
      <c r="J2088" t="s">
        <v>186</v>
      </c>
      <c r="K2088" t="s">
        <v>3404</v>
      </c>
      <c r="Q2088" t="s">
        <v>57</v>
      </c>
      <c r="R2088" t="s">
        <v>3441</v>
      </c>
      <c r="Y2088" t="s">
        <v>3442</v>
      </c>
      <c r="AE2088">
        <v>1500</v>
      </c>
      <c r="AF2088" s="4">
        <v>0.25</v>
      </c>
      <c r="AG2088">
        <f t="shared" si="196"/>
        <v>1125</v>
      </c>
      <c r="AH2088" s="4">
        <v>0.18</v>
      </c>
      <c r="AI2088">
        <f t="shared" si="198"/>
        <v>1327.5</v>
      </c>
      <c r="AJ2088" s="4">
        <v>0.1</v>
      </c>
      <c r="AK2088">
        <f t="shared" si="199"/>
        <v>132.75</v>
      </c>
      <c r="AL2088">
        <f t="shared" si="200"/>
        <v>1460.25</v>
      </c>
      <c r="AM2088">
        <f t="shared" si="201"/>
        <v>39.75</v>
      </c>
      <c r="AN2088" s="4">
        <f t="shared" si="197"/>
        <v>0.0265</v>
      </c>
      <c r="AO2088" t="s">
        <v>221</v>
      </c>
      <c r="AT2088" t="s">
        <v>221</v>
      </c>
    </row>
    <row r="2089" ht="15.75" customHeight="1" spans="1:46">
      <c r="A2089" t="s">
        <v>3433</v>
      </c>
      <c r="B2089" t="s">
        <v>79</v>
      </c>
      <c r="C2089" t="s">
        <v>3380</v>
      </c>
      <c r="D2089" t="s">
        <v>3381</v>
      </c>
      <c r="E2089" t="s">
        <v>3434</v>
      </c>
      <c r="F2089" t="s">
        <v>3403</v>
      </c>
      <c r="H2089" t="s">
        <v>441</v>
      </c>
      <c r="I2089" t="s">
        <v>1054</v>
      </c>
      <c r="J2089" t="s">
        <v>186</v>
      </c>
      <c r="K2089" t="s">
        <v>3404</v>
      </c>
      <c r="Q2089" t="s">
        <v>57</v>
      </c>
      <c r="R2089" t="s">
        <v>3435</v>
      </c>
      <c r="Y2089" t="s">
        <v>3443</v>
      </c>
      <c r="AE2089">
        <v>2100</v>
      </c>
      <c r="AF2089" s="4">
        <v>0.25</v>
      </c>
      <c r="AG2089">
        <f t="shared" si="196"/>
        <v>1575</v>
      </c>
      <c r="AH2089" s="4">
        <v>0.18</v>
      </c>
      <c r="AI2089">
        <f t="shared" si="198"/>
        <v>1858.5</v>
      </c>
      <c r="AJ2089" s="4">
        <v>0.1</v>
      </c>
      <c r="AK2089">
        <f t="shared" si="199"/>
        <v>185.85</v>
      </c>
      <c r="AL2089">
        <f t="shared" si="200"/>
        <v>2044.35</v>
      </c>
      <c r="AM2089">
        <f t="shared" si="201"/>
        <v>55.6500000000001</v>
      </c>
      <c r="AN2089" s="4">
        <f t="shared" si="197"/>
        <v>0.0265</v>
      </c>
      <c r="AO2089" t="s">
        <v>221</v>
      </c>
      <c r="AT2089" t="s">
        <v>221</v>
      </c>
    </row>
    <row r="2090" ht="15.75" customHeight="1" spans="1:46">
      <c r="A2090" t="s">
        <v>3444</v>
      </c>
      <c r="B2090" t="s">
        <v>46</v>
      </c>
      <c r="C2090" t="s">
        <v>3380</v>
      </c>
      <c r="D2090" t="s">
        <v>3381</v>
      </c>
      <c r="E2090" t="s">
        <v>1022</v>
      </c>
      <c r="F2090" t="s">
        <v>3403</v>
      </c>
      <c r="H2090" t="s">
        <v>441</v>
      </c>
      <c r="I2090" t="s">
        <v>3426</v>
      </c>
      <c r="J2090" t="s">
        <v>186</v>
      </c>
      <c r="K2090" t="s">
        <v>1366</v>
      </c>
      <c r="Q2090" t="s">
        <v>57</v>
      </c>
      <c r="Y2090" t="s">
        <v>3445</v>
      </c>
      <c r="AE2090">
        <v>1147</v>
      </c>
      <c r="AF2090" s="4">
        <v>0.25</v>
      </c>
      <c r="AG2090">
        <f t="shared" si="196"/>
        <v>860.25</v>
      </c>
      <c r="AH2090" s="4">
        <v>0.18</v>
      </c>
      <c r="AI2090">
        <f t="shared" si="198"/>
        <v>1015.1</v>
      </c>
      <c r="AJ2090" s="4">
        <v>0.1</v>
      </c>
      <c r="AK2090">
        <f t="shared" si="199"/>
        <v>101.51</v>
      </c>
      <c r="AL2090">
        <f t="shared" si="200"/>
        <v>1116.61</v>
      </c>
      <c r="AM2090">
        <f t="shared" si="201"/>
        <v>30.3899999999999</v>
      </c>
      <c r="AN2090" s="4">
        <f t="shared" si="197"/>
        <v>0.0264952048823015</v>
      </c>
      <c r="AO2090" t="s">
        <v>221</v>
      </c>
      <c r="AT2090" t="s">
        <v>221</v>
      </c>
    </row>
    <row r="2091" ht="15.75" customHeight="1" spans="1:46">
      <c r="A2091" t="s">
        <v>3444</v>
      </c>
      <c r="B2091" t="s">
        <v>67</v>
      </c>
      <c r="C2091" t="s">
        <v>3380</v>
      </c>
      <c r="D2091" t="s">
        <v>3381</v>
      </c>
      <c r="E2091" t="s">
        <v>1022</v>
      </c>
      <c r="F2091" t="s">
        <v>3403</v>
      </c>
      <c r="H2091" t="s">
        <v>441</v>
      </c>
      <c r="I2091" t="s">
        <v>442</v>
      </c>
      <c r="J2091" t="s">
        <v>186</v>
      </c>
      <c r="K2091" t="s">
        <v>1366</v>
      </c>
      <c r="Q2091" t="s">
        <v>57</v>
      </c>
      <c r="Y2091" t="s">
        <v>3446</v>
      </c>
      <c r="AE2091">
        <v>1000</v>
      </c>
      <c r="AF2091" s="4">
        <v>0.25</v>
      </c>
      <c r="AG2091">
        <f t="shared" si="196"/>
        <v>750</v>
      </c>
      <c r="AH2091" s="4">
        <v>0.18</v>
      </c>
      <c r="AI2091">
        <f t="shared" si="198"/>
        <v>885</v>
      </c>
      <c r="AJ2091" s="4">
        <v>0.1</v>
      </c>
      <c r="AK2091">
        <f t="shared" si="199"/>
        <v>88.5</v>
      </c>
      <c r="AL2091">
        <f t="shared" si="200"/>
        <v>973.5</v>
      </c>
      <c r="AM2091">
        <f t="shared" si="201"/>
        <v>26.5</v>
      </c>
      <c r="AN2091" s="4">
        <f t="shared" si="197"/>
        <v>0.0265</v>
      </c>
      <c r="AO2091" t="s">
        <v>221</v>
      </c>
      <c r="AT2091" t="s">
        <v>221</v>
      </c>
    </row>
    <row r="2092" ht="15.75" customHeight="1" spans="1:46">
      <c r="A2092" t="s">
        <v>3444</v>
      </c>
      <c r="B2092" t="s">
        <v>71</v>
      </c>
      <c r="C2092" t="s">
        <v>3380</v>
      </c>
      <c r="D2092" t="s">
        <v>3381</v>
      </c>
      <c r="E2092" t="s">
        <v>1022</v>
      </c>
      <c r="F2092" t="s">
        <v>3403</v>
      </c>
      <c r="H2092" t="s">
        <v>441</v>
      </c>
      <c r="I2092" t="s">
        <v>442</v>
      </c>
      <c r="J2092" t="s">
        <v>186</v>
      </c>
      <c r="K2092" t="s">
        <v>1366</v>
      </c>
      <c r="Q2092" t="s">
        <v>57</v>
      </c>
      <c r="Y2092" t="s">
        <v>3447</v>
      </c>
      <c r="AE2092">
        <v>990</v>
      </c>
      <c r="AF2092" s="4">
        <v>0.25</v>
      </c>
      <c r="AG2092">
        <f t="shared" si="196"/>
        <v>742.5</v>
      </c>
      <c r="AH2092" s="4">
        <v>0.18</v>
      </c>
      <c r="AI2092">
        <f t="shared" si="198"/>
        <v>876.15</v>
      </c>
      <c r="AJ2092" s="4">
        <v>0.1</v>
      </c>
      <c r="AK2092">
        <f t="shared" si="199"/>
        <v>87.62</v>
      </c>
      <c r="AL2092">
        <f t="shared" si="200"/>
        <v>963.77</v>
      </c>
      <c r="AM2092">
        <f t="shared" si="201"/>
        <v>26.23</v>
      </c>
      <c r="AN2092" s="4">
        <f t="shared" si="197"/>
        <v>0.0264949494949495</v>
      </c>
      <c r="AO2092" t="s">
        <v>221</v>
      </c>
      <c r="AT2092" t="s">
        <v>221</v>
      </c>
    </row>
    <row r="2093" ht="15.75" customHeight="1" spans="1:46">
      <c r="A2093" t="s">
        <v>3448</v>
      </c>
      <c r="B2093" t="s">
        <v>46</v>
      </c>
      <c r="C2093" t="s">
        <v>3380</v>
      </c>
      <c r="D2093" t="s">
        <v>3449</v>
      </c>
      <c r="E2093" t="s">
        <v>1022</v>
      </c>
      <c r="F2093" t="s">
        <v>3450</v>
      </c>
      <c r="H2093" t="s">
        <v>441</v>
      </c>
      <c r="I2093" t="s">
        <v>442</v>
      </c>
      <c r="J2093" t="s">
        <v>186</v>
      </c>
      <c r="K2093" t="s">
        <v>3404</v>
      </c>
      <c r="Q2093" t="s">
        <v>57</v>
      </c>
      <c r="Y2093" t="s">
        <v>3451</v>
      </c>
      <c r="AE2093">
        <v>900</v>
      </c>
      <c r="AF2093" s="4">
        <v>0.25</v>
      </c>
      <c r="AG2093">
        <f t="shared" si="196"/>
        <v>675</v>
      </c>
      <c r="AH2093" s="4">
        <v>0.18</v>
      </c>
      <c r="AI2093">
        <f t="shared" si="198"/>
        <v>796.5</v>
      </c>
      <c r="AJ2093" s="4">
        <v>0.1</v>
      </c>
      <c r="AK2093">
        <f t="shared" si="199"/>
        <v>79.65</v>
      </c>
      <c r="AL2093">
        <f t="shared" si="200"/>
        <v>876.15</v>
      </c>
      <c r="AM2093">
        <f t="shared" si="201"/>
        <v>23.85</v>
      </c>
      <c r="AN2093" s="4">
        <f t="shared" si="197"/>
        <v>0.0265</v>
      </c>
      <c r="AO2093" t="s">
        <v>221</v>
      </c>
      <c r="AT2093" t="s">
        <v>221</v>
      </c>
    </row>
    <row r="2094" ht="15.75" customHeight="1" spans="1:46">
      <c r="A2094" t="s">
        <v>3448</v>
      </c>
      <c r="B2094" t="s">
        <v>67</v>
      </c>
      <c r="C2094" t="s">
        <v>3380</v>
      </c>
      <c r="D2094" t="s">
        <v>3449</v>
      </c>
      <c r="E2094" t="s">
        <v>1022</v>
      </c>
      <c r="F2094" t="s">
        <v>3450</v>
      </c>
      <c r="H2094" t="s">
        <v>441</v>
      </c>
      <c r="I2094" t="s">
        <v>442</v>
      </c>
      <c r="J2094" t="s">
        <v>186</v>
      </c>
      <c r="K2094" t="s">
        <v>3404</v>
      </c>
      <c r="Q2094" t="s">
        <v>57</v>
      </c>
      <c r="Y2094" t="s">
        <v>3452</v>
      </c>
      <c r="AE2094">
        <v>350</v>
      </c>
      <c r="AF2094" s="4">
        <v>0.25</v>
      </c>
      <c r="AG2094">
        <f t="shared" si="196"/>
        <v>262.5</v>
      </c>
      <c r="AH2094" s="4">
        <v>0.18</v>
      </c>
      <c r="AI2094">
        <f t="shared" si="198"/>
        <v>309.75</v>
      </c>
      <c r="AJ2094" s="4">
        <v>0.1</v>
      </c>
      <c r="AK2094">
        <f t="shared" si="199"/>
        <v>30.98</v>
      </c>
      <c r="AL2094">
        <f t="shared" si="200"/>
        <v>340.73</v>
      </c>
      <c r="AM2094">
        <f t="shared" si="201"/>
        <v>9.26999999999998</v>
      </c>
      <c r="AN2094" s="4">
        <f t="shared" si="197"/>
        <v>0.0264857142857142</v>
      </c>
      <c r="AO2094" t="s">
        <v>221</v>
      </c>
      <c r="AT2094" t="s">
        <v>221</v>
      </c>
    </row>
    <row r="2095" ht="15.75" customHeight="1" spans="1:46">
      <c r="A2095" t="s">
        <v>3453</v>
      </c>
      <c r="B2095" t="s">
        <v>46</v>
      </c>
      <c r="C2095" t="s">
        <v>3380</v>
      </c>
      <c r="D2095" t="s">
        <v>3449</v>
      </c>
      <c r="E2095" t="s">
        <v>1022</v>
      </c>
      <c r="F2095" t="s">
        <v>3454</v>
      </c>
      <c r="H2095" t="s">
        <v>441</v>
      </c>
      <c r="I2095" t="s">
        <v>442</v>
      </c>
      <c r="J2095" t="s">
        <v>186</v>
      </c>
      <c r="K2095" t="s">
        <v>3404</v>
      </c>
      <c r="Q2095" t="s">
        <v>57</v>
      </c>
      <c r="Y2095" t="s">
        <v>3455</v>
      </c>
      <c r="AE2095">
        <v>335</v>
      </c>
      <c r="AF2095" s="4">
        <v>0.25</v>
      </c>
      <c r="AG2095">
        <f t="shared" si="196"/>
        <v>251.25</v>
      </c>
      <c r="AH2095" s="4">
        <v>0.18</v>
      </c>
      <c r="AI2095">
        <f t="shared" si="198"/>
        <v>296.48</v>
      </c>
      <c r="AJ2095" s="4">
        <v>0.1</v>
      </c>
      <c r="AK2095">
        <f t="shared" si="199"/>
        <v>29.65</v>
      </c>
      <c r="AL2095">
        <f t="shared" si="200"/>
        <v>326.13</v>
      </c>
      <c r="AM2095">
        <f t="shared" si="201"/>
        <v>8.87</v>
      </c>
      <c r="AN2095" s="4">
        <f t="shared" si="197"/>
        <v>0.0264776119402985</v>
      </c>
      <c r="AO2095" t="s">
        <v>221</v>
      </c>
      <c r="AT2095" t="s">
        <v>221</v>
      </c>
    </row>
    <row r="2096" ht="15.75" customHeight="1" spans="1:46">
      <c r="A2096" t="s">
        <v>3453</v>
      </c>
      <c r="B2096" t="s">
        <v>67</v>
      </c>
      <c r="C2096" t="s">
        <v>3380</v>
      </c>
      <c r="D2096" t="s">
        <v>3449</v>
      </c>
      <c r="E2096" t="s">
        <v>1022</v>
      </c>
      <c r="F2096" t="s">
        <v>3454</v>
      </c>
      <c r="H2096" t="s">
        <v>441</v>
      </c>
      <c r="I2096" t="s">
        <v>442</v>
      </c>
      <c r="J2096" t="s">
        <v>186</v>
      </c>
      <c r="K2096" t="s">
        <v>1339</v>
      </c>
      <c r="Q2096" t="s">
        <v>57</v>
      </c>
      <c r="Y2096" t="s">
        <v>3456</v>
      </c>
      <c r="AE2096">
        <v>700</v>
      </c>
      <c r="AF2096" s="4">
        <v>0.25</v>
      </c>
      <c r="AG2096">
        <f t="shared" si="196"/>
        <v>525</v>
      </c>
      <c r="AH2096" s="4">
        <v>0.18</v>
      </c>
      <c r="AI2096">
        <f t="shared" si="198"/>
        <v>619.5</v>
      </c>
      <c r="AJ2096" s="4">
        <v>0.1</v>
      </c>
      <c r="AK2096">
        <f t="shared" si="199"/>
        <v>61.95</v>
      </c>
      <c r="AL2096">
        <f t="shared" si="200"/>
        <v>681.45</v>
      </c>
      <c r="AM2096">
        <f t="shared" si="201"/>
        <v>18.55</v>
      </c>
      <c r="AN2096" s="4">
        <f t="shared" si="197"/>
        <v>0.0264999999999999</v>
      </c>
      <c r="AO2096" t="s">
        <v>221</v>
      </c>
      <c r="AT2096" t="s">
        <v>221</v>
      </c>
    </row>
    <row r="2097" ht="15.75" customHeight="1" spans="1:41">
      <c r="A2097" t="s">
        <v>3457</v>
      </c>
      <c r="B2097" t="s">
        <v>46</v>
      </c>
      <c r="C2097" t="s">
        <v>2313</v>
      </c>
      <c r="D2097" t="s">
        <v>3458</v>
      </c>
      <c r="E2097" t="s">
        <v>1022</v>
      </c>
      <c r="F2097" t="s">
        <v>3458</v>
      </c>
      <c r="H2097" t="s">
        <v>53</v>
      </c>
      <c r="I2097" t="s">
        <v>3459</v>
      </c>
      <c r="Q2097" t="s">
        <v>57</v>
      </c>
      <c r="Y2097" t="s">
        <v>3460</v>
      </c>
      <c r="AE2097">
        <v>150</v>
      </c>
      <c r="AF2097" s="4">
        <v>0.25</v>
      </c>
      <c r="AG2097">
        <f t="shared" si="196"/>
        <v>112.5</v>
      </c>
      <c r="AH2097" s="4">
        <v>0.18</v>
      </c>
      <c r="AI2097">
        <f t="shared" si="198"/>
        <v>132.75</v>
      </c>
      <c r="AJ2097" s="4">
        <v>0.1</v>
      </c>
      <c r="AK2097">
        <f t="shared" si="199"/>
        <v>13.28</v>
      </c>
      <c r="AL2097">
        <f t="shared" si="200"/>
        <v>146.03</v>
      </c>
      <c r="AM2097">
        <f t="shared" si="201"/>
        <v>3.97</v>
      </c>
      <c r="AN2097" s="4">
        <f t="shared" si="197"/>
        <v>0.0264666666666667</v>
      </c>
      <c r="AO2097" t="s">
        <v>3359</v>
      </c>
    </row>
    <row r="2098" ht="15.75" customHeight="1" spans="1:41">
      <c r="A2098" t="s">
        <v>3457</v>
      </c>
      <c r="B2098" t="s">
        <v>67</v>
      </c>
      <c r="C2098" t="s">
        <v>2313</v>
      </c>
      <c r="D2098" t="s">
        <v>3458</v>
      </c>
      <c r="E2098" t="s">
        <v>1022</v>
      </c>
      <c r="F2098" t="s">
        <v>3458</v>
      </c>
      <c r="H2098" t="s">
        <v>53</v>
      </c>
      <c r="I2098" t="s">
        <v>3461</v>
      </c>
      <c r="Q2098" t="s">
        <v>57</v>
      </c>
      <c r="Y2098" t="s">
        <v>3460</v>
      </c>
      <c r="AE2098">
        <v>200</v>
      </c>
      <c r="AF2098" s="4">
        <v>0.25</v>
      </c>
      <c r="AG2098">
        <f t="shared" si="196"/>
        <v>150</v>
      </c>
      <c r="AH2098" s="4">
        <v>0.18</v>
      </c>
      <c r="AI2098">
        <f t="shared" si="198"/>
        <v>177</v>
      </c>
      <c r="AJ2098" s="4">
        <v>0.1</v>
      </c>
      <c r="AK2098">
        <f t="shared" si="199"/>
        <v>17.7</v>
      </c>
      <c r="AL2098">
        <f t="shared" si="200"/>
        <v>194.7</v>
      </c>
      <c r="AM2098">
        <f t="shared" si="201"/>
        <v>5.30000000000001</v>
      </c>
      <c r="AN2098" s="4">
        <f t="shared" si="197"/>
        <v>0.0265000000000001</v>
      </c>
      <c r="AO2098" t="s">
        <v>3359</v>
      </c>
    </row>
  </sheetData>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98"/>
  <sheetViews>
    <sheetView workbookViewId="0">
      <selection activeCell="A1" sqref="A1"/>
    </sheetView>
  </sheetViews>
  <sheetFormatPr defaultColWidth="14.4380952380952" defaultRowHeight="15" customHeight="1" outlineLevelCol="2"/>
  <cols>
    <col min="1" max="1" width="22" customWidth="1"/>
    <col min="2" max="5" width="9.1047619047619" customWidth="1"/>
    <col min="6" max="6" width="12.8857142857143" customWidth="1"/>
    <col min="7" max="26" width="9.1047619047619" customWidth="1"/>
  </cols>
  <sheetData>
    <row r="1" ht="14.4" customHeight="1" spans="1:3">
      <c r="A1" s="1" t="s">
        <v>3462</v>
      </c>
      <c r="B1" s="2" t="s">
        <v>3463</v>
      </c>
      <c r="C1" s="2" t="s">
        <v>37</v>
      </c>
    </row>
    <row r="2" ht="14.4" customHeight="1" spans="1:3">
      <c r="A2" t="s">
        <v>45</v>
      </c>
    </row>
    <row r="3" ht="14.4" customHeight="1" spans="1:3">
      <c r="A3" t="s">
        <v>86</v>
      </c>
    </row>
    <row r="4" ht="14.4" customHeight="1" spans="1:3">
      <c r="A4" t="s">
        <v>93</v>
      </c>
    </row>
    <row r="5" ht="14.4" customHeight="1" spans="1:3">
      <c r="A5" t="s">
        <v>100</v>
      </c>
    </row>
    <row r="6" ht="14.4" customHeight="1" spans="1:3">
      <c r="A6" t="s">
        <v>104</v>
      </c>
    </row>
    <row r="7" ht="14.4" customHeight="1" spans="1:3">
      <c r="A7" t="s">
        <v>108</v>
      </c>
    </row>
    <row r="8" ht="14.4" customHeight="1" spans="1:3">
      <c r="A8" t="s">
        <v>111</v>
      </c>
    </row>
    <row r="9" ht="14.4" customHeight="1" spans="1:3">
      <c r="A9" t="s">
        <v>114</v>
      </c>
    </row>
    <row r="10" ht="14.4" customHeight="1" spans="1:3">
      <c r="A10" t="s">
        <v>117</v>
      </c>
    </row>
    <row r="11" ht="14.4" customHeight="1" spans="1:3">
      <c r="A11" t="s">
        <v>141</v>
      </c>
    </row>
    <row r="12" ht="14.4" customHeight="1" spans="1:3">
      <c r="A12" t="s">
        <v>145</v>
      </c>
    </row>
    <row r="13" ht="14.4" customHeight="1" spans="1:3">
      <c r="A13" t="s">
        <v>148</v>
      </c>
    </row>
    <row r="14" ht="14.4" customHeight="1" spans="1:3">
      <c r="A14" t="s">
        <v>152</v>
      </c>
    </row>
    <row r="15" ht="14.4" customHeight="1" spans="1:3">
      <c r="A15" t="s">
        <v>155</v>
      </c>
    </row>
    <row r="16" ht="14.4" customHeight="1" spans="1:3">
      <c r="A16" t="s">
        <v>162</v>
      </c>
    </row>
    <row r="17" ht="14.4" customHeight="1" spans="1:1">
      <c r="A17" t="s">
        <v>165</v>
      </c>
    </row>
    <row r="18" ht="14.4" customHeight="1" spans="1:1">
      <c r="A18" t="s">
        <v>167</v>
      </c>
    </row>
    <row r="19" ht="14.4" customHeight="1" spans="1:1">
      <c r="A19" t="s">
        <v>169</v>
      </c>
    </row>
    <row r="20" ht="14.4" customHeight="1" spans="1:1">
      <c r="A20" t="s">
        <v>171</v>
      </c>
    </row>
    <row r="21" ht="15.75" customHeight="1" spans="1:1">
      <c r="A21" t="s">
        <v>178</v>
      </c>
    </row>
    <row r="22" ht="15.75" customHeight="1" spans="1:1">
      <c r="A22" t="s">
        <v>181</v>
      </c>
    </row>
    <row r="23" ht="15.75" customHeight="1" spans="1:1">
      <c r="A23" t="s">
        <v>214</v>
      </c>
    </row>
    <row r="24" ht="15.75" customHeight="1" spans="1:1">
      <c r="A24" t="s">
        <v>223</v>
      </c>
    </row>
    <row r="25" ht="15.75" customHeight="1" spans="1:1">
      <c r="A25" t="s">
        <v>250</v>
      </c>
    </row>
    <row r="26" ht="15.75" customHeight="1" spans="1:1">
      <c r="A26" t="s">
        <v>261</v>
      </c>
    </row>
    <row r="27" ht="15.75" customHeight="1" spans="1:1">
      <c r="A27" t="s">
        <v>272</v>
      </c>
    </row>
    <row r="28" ht="15.75" customHeight="1" spans="1:1">
      <c r="A28" t="s">
        <v>276</v>
      </c>
    </row>
    <row r="29" ht="15.75" customHeight="1" spans="1:1">
      <c r="A29" t="s">
        <v>288</v>
      </c>
    </row>
    <row r="30" ht="15.75" customHeight="1" spans="1:1">
      <c r="A30" t="s">
        <v>298</v>
      </c>
    </row>
    <row r="31" ht="15.75" customHeight="1" spans="1:1">
      <c r="A31" t="s">
        <v>309</v>
      </c>
    </row>
    <row r="32" ht="15.75" customHeight="1" spans="1:1">
      <c r="A32" t="s">
        <v>317</v>
      </c>
    </row>
    <row r="33" ht="15.75" customHeight="1" spans="1:1">
      <c r="A33" t="s">
        <v>323</v>
      </c>
    </row>
    <row r="34" ht="15.75" customHeight="1" spans="1:1">
      <c r="A34" t="s">
        <v>331</v>
      </c>
    </row>
    <row r="35" ht="15.75" customHeight="1" spans="1:1">
      <c r="A35" t="s">
        <v>339</v>
      </c>
    </row>
    <row r="36" ht="15.75" customHeight="1" spans="1:1">
      <c r="A36" t="s">
        <v>355</v>
      </c>
    </row>
    <row r="37" ht="15.75" customHeight="1" spans="1:1">
      <c r="A37" t="s">
        <v>368</v>
      </c>
    </row>
    <row r="38" ht="15.75" customHeight="1" spans="1:1">
      <c r="A38" t="s">
        <v>377</v>
      </c>
    </row>
    <row r="39" ht="15.75" customHeight="1" spans="1:1">
      <c r="A39" t="s">
        <v>390</v>
      </c>
    </row>
    <row r="40" ht="15.75" customHeight="1" spans="1:1">
      <c r="A40" t="s">
        <v>399</v>
      </c>
    </row>
    <row r="41" ht="15.75" customHeight="1" spans="1:1">
      <c r="A41" t="s">
        <v>410</v>
      </c>
    </row>
    <row r="42" ht="15.75" customHeight="1" spans="1:1">
      <c r="A42" t="s">
        <v>426</v>
      </c>
    </row>
    <row r="43" ht="15.75" customHeight="1" spans="1:1">
      <c r="A43" t="s">
        <v>434</v>
      </c>
    </row>
    <row r="44" ht="15.75" customHeight="1" spans="1:1">
      <c r="A44" t="s">
        <v>454</v>
      </c>
    </row>
    <row r="45" ht="15.75" customHeight="1" spans="1:1">
      <c r="A45" t="s">
        <v>466</v>
      </c>
    </row>
    <row r="46" ht="15.75" customHeight="1" spans="1:1">
      <c r="A46" t="s">
        <v>473</v>
      </c>
    </row>
    <row r="47" ht="15.75" customHeight="1" spans="1:1">
      <c r="A47" t="s">
        <v>480</v>
      </c>
    </row>
    <row r="48" ht="15.75" customHeight="1" spans="1:1">
      <c r="A48" t="s">
        <v>485</v>
      </c>
    </row>
    <row r="49" ht="15.75" customHeight="1" spans="1:1">
      <c r="A49" t="s">
        <v>492</v>
      </c>
    </row>
    <row r="50" ht="15.75" customHeight="1" spans="1:1">
      <c r="A50" t="s">
        <v>498</v>
      </c>
    </row>
    <row r="51" ht="15.75" customHeight="1" spans="1:1">
      <c r="A51" t="s">
        <v>503</v>
      </c>
    </row>
    <row r="52" ht="15.75" customHeight="1" spans="1:1">
      <c r="A52" t="s">
        <v>508</v>
      </c>
    </row>
    <row r="53" ht="15.75" customHeight="1" spans="1:1">
      <c r="A53" t="s">
        <v>514</v>
      </c>
    </row>
    <row r="54" ht="15.75" customHeight="1" spans="1:1">
      <c r="A54" t="s">
        <v>523</v>
      </c>
    </row>
    <row r="55" ht="15.75" customHeight="1" spans="1:1">
      <c r="A55" t="s">
        <v>529</v>
      </c>
    </row>
    <row r="56" ht="15.75" customHeight="1" spans="1:1">
      <c r="A56" t="s">
        <v>536</v>
      </c>
    </row>
    <row r="57" ht="15.75" customHeight="1" spans="1:1">
      <c r="A57" t="s">
        <v>541</v>
      </c>
    </row>
    <row r="58" ht="15.75" customHeight="1" spans="1:1">
      <c r="A58" t="s">
        <v>546</v>
      </c>
    </row>
    <row r="59" ht="15.75" customHeight="1" spans="1:1">
      <c r="A59" t="s">
        <v>549</v>
      </c>
    </row>
    <row r="60" ht="15.75" customHeight="1" spans="1:1">
      <c r="A60" t="s">
        <v>553</v>
      </c>
    </row>
    <row r="61" ht="15.75" customHeight="1" spans="1:1">
      <c r="A61" t="s">
        <v>559</v>
      </c>
    </row>
    <row r="62" ht="15.75" customHeight="1" spans="1:1">
      <c r="A62" t="s">
        <v>562</v>
      </c>
    </row>
    <row r="63" ht="15.75" customHeight="1" spans="1:1">
      <c r="A63" t="s">
        <v>565</v>
      </c>
    </row>
    <row r="64" ht="15.75" customHeight="1" spans="1:1">
      <c r="A64" t="s">
        <v>568</v>
      </c>
    </row>
    <row r="65" ht="15.75" customHeight="1" spans="1:1">
      <c r="A65" t="s">
        <v>571</v>
      </c>
    </row>
    <row r="66" ht="15.75" customHeight="1" spans="1:1">
      <c r="A66" t="s">
        <v>574</v>
      </c>
    </row>
    <row r="67" ht="15.75" customHeight="1" spans="1:1">
      <c r="A67" t="s">
        <v>578</v>
      </c>
    </row>
    <row r="68" ht="15.75" customHeight="1" spans="1:1">
      <c r="A68" t="s">
        <v>581</v>
      </c>
    </row>
    <row r="69" ht="15.75" customHeight="1" spans="1:1">
      <c r="A69" t="s">
        <v>584</v>
      </c>
    </row>
    <row r="70" ht="15.75" customHeight="1" spans="1:1">
      <c r="A70" t="s">
        <v>592</v>
      </c>
    </row>
    <row r="71" ht="15.75" customHeight="1" spans="1:1">
      <c r="A71" t="s">
        <v>598</v>
      </c>
    </row>
    <row r="72" ht="15.75" customHeight="1" spans="1:1">
      <c r="A72" t="s">
        <v>603</v>
      </c>
    </row>
    <row r="73" ht="15.75" customHeight="1" spans="1:1">
      <c r="A73" t="s">
        <v>608</v>
      </c>
    </row>
    <row r="74" ht="15.75" customHeight="1" spans="1:1">
      <c r="A74" t="s">
        <v>613</v>
      </c>
    </row>
    <row r="75" ht="15.75" customHeight="1" spans="1:1">
      <c r="A75" t="s">
        <v>618</v>
      </c>
    </row>
    <row r="76" ht="15.75" customHeight="1" spans="1:1">
      <c r="A76" t="s">
        <v>622</v>
      </c>
    </row>
    <row r="77" ht="15.75" customHeight="1" spans="1:1">
      <c r="A77" t="s">
        <v>625</v>
      </c>
    </row>
    <row r="78" ht="15.75" customHeight="1" spans="1:1">
      <c r="A78" t="s">
        <v>631</v>
      </c>
    </row>
    <row r="79" ht="15.75" customHeight="1" spans="1:1">
      <c r="A79" t="s">
        <v>636</v>
      </c>
    </row>
    <row r="80" ht="15.75" customHeight="1" spans="1:1">
      <c r="A80" t="s">
        <v>647</v>
      </c>
    </row>
    <row r="81" ht="15.75" customHeight="1" spans="1:1">
      <c r="A81" t="s">
        <v>655</v>
      </c>
    </row>
    <row r="82" ht="15.75" customHeight="1" spans="1:1">
      <c r="A82" t="s">
        <v>659</v>
      </c>
    </row>
    <row r="83" ht="15.75" customHeight="1" spans="1:1">
      <c r="A83" t="s">
        <v>663</v>
      </c>
    </row>
    <row r="84" ht="15.75" customHeight="1" spans="1:1">
      <c r="A84" t="s">
        <v>667</v>
      </c>
    </row>
    <row r="85" ht="15.75" customHeight="1" spans="1:1">
      <c r="A85" t="s">
        <v>671</v>
      </c>
    </row>
    <row r="86" ht="15.75" customHeight="1" spans="1:1">
      <c r="A86" t="s">
        <v>685</v>
      </c>
    </row>
    <row r="87" ht="15.75" customHeight="1" spans="1:1">
      <c r="A87" t="s">
        <v>689</v>
      </c>
    </row>
    <row r="88" ht="15.75" customHeight="1" spans="1:1">
      <c r="A88" t="s">
        <v>697</v>
      </c>
    </row>
    <row r="89" ht="15.75" customHeight="1" spans="1:1">
      <c r="A89" t="s">
        <v>707</v>
      </c>
    </row>
    <row r="90" ht="15.75" customHeight="1" spans="1:1">
      <c r="A90" t="s">
        <v>717</v>
      </c>
    </row>
    <row r="91" ht="15.75" customHeight="1" spans="1:1">
      <c r="A91" t="s">
        <v>726</v>
      </c>
    </row>
    <row r="92" ht="15.75" customHeight="1" spans="1:1">
      <c r="A92" t="s">
        <v>734</v>
      </c>
    </row>
    <row r="93" ht="15.75" customHeight="1" spans="1:1">
      <c r="A93" t="s">
        <v>756</v>
      </c>
    </row>
    <row r="94" ht="15.75" customHeight="1" spans="1:1">
      <c r="A94" t="s">
        <v>774</v>
      </c>
    </row>
    <row r="95" ht="15.75" customHeight="1" spans="1:1">
      <c r="A95" t="s">
        <v>786</v>
      </c>
    </row>
    <row r="96" ht="15.75" customHeight="1" spans="1:1">
      <c r="A96" t="s">
        <v>801</v>
      </c>
    </row>
    <row r="97" ht="15.75" customHeight="1" spans="1:1">
      <c r="A97" t="s">
        <v>816</v>
      </c>
    </row>
    <row r="98" ht="15.75" customHeight="1" spans="1:1">
      <c r="A98" t="s">
        <v>827</v>
      </c>
    </row>
    <row r="99" ht="15.75" customHeight="1" spans="1:1">
      <c r="A99" t="s">
        <v>831</v>
      </c>
    </row>
    <row r="100" ht="15.75" customHeight="1" spans="1:1">
      <c r="A100" t="s">
        <v>838</v>
      </c>
    </row>
    <row r="101" ht="15.75" customHeight="1" spans="1:1">
      <c r="A101" t="s">
        <v>847</v>
      </c>
    </row>
    <row r="102" ht="15.75" customHeight="1" spans="1:1">
      <c r="A102" t="s">
        <v>855</v>
      </c>
    </row>
    <row r="103" ht="15.75" customHeight="1" spans="1:1">
      <c r="A103" t="s">
        <v>861</v>
      </c>
    </row>
    <row r="104" ht="15.75" customHeight="1" spans="1:1">
      <c r="A104" t="s">
        <v>870</v>
      </c>
    </row>
    <row r="105" ht="15.75" customHeight="1" spans="1:1">
      <c r="A105" t="s">
        <v>873</v>
      </c>
    </row>
    <row r="106" ht="15.75" customHeight="1" spans="1:1">
      <c r="A106" t="s">
        <v>876</v>
      </c>
    </row>
    <row r="107" ht="15.75" customHeight="1" spans="1:1">
      <c r="A107" t="s">
        <v>881</v>
      </c>
    </row>
    <row r="108" ht="15.75" customHeight="1" spans="1:1">
      <c r="A108" t="s">
        <v>885</v>
      </c>
    </row>
    <row r="109" ht="15.75" customHeight="1" spans="1:1">
      <c r="A109" t="s">
        <v>898</v>
      </c>
    </row>
    <row r="110" ht="15.75" customHeight="1" spans="1:1">
      <c r="A110" t="s">
        <v>904</v>
      </c>
    </row>
    <row r="111" ht="15.75" customHeight="1" spans="1:1">
      <c r="A111" t="s">
        <v>918</v>
      </c>
    </row>
    <row r="112" ht="15.75" customHeight="1" spans="1:1">
      <c r="A112" t="s">
        <v>924</v>
      </c>
    </row>
    <row r="113" ht="15.75" customHeight="1" spans="1:1">
      <c r="A113" t="s">
        <v>938</v>
      </c>
    </row>
    <row r="114" ht="15.75" customHeight="1" spans="1:1">
      <c r="A114" t="s">
        <v>951</v>
      </c>
    </row>
    <row r="115" ht="15.75" customHeight="1" spans="1:1">
      <c r="A115" t="s">
        <v>958</v>
      </c>
    </row>
    <row r="116" ht="15.75" customHeight="1" spans="1:1">
      <c r="A116" t="s">
        <v>965</v>
      </c>
    </row>
    <row r="117" ht="15.75" customHeight="1" spans="1:1">
      <c r="A117" t="s">
        <v>976</v>
      </c>
    </row>
    <row r="118" ht="15.75" customHeight="1" spans="1:1">
      <c r="A118" t="s">
        <v>984</v>
      </c>
    </row>
    <row r="119" ht="15.75" customHeight="1" spans="1:1">
      <c r="A119" t="s">
        <v>993</v>
      </c>
    </row>
    <row r="120" ht="15.75" customHeight="1" spans="1:1">
      <c r="A120" t="s">
        <v>1005</v>
      </c>
    </row>
    <row r="121" ht="15.75" customHeight="1" spans="1:1">
      <c r="A121" t="s">
        <v>1011</v>
      </c>
    </row>
    <row r="122" ht="15.75" customHeight="1" spans="1:1">
      <c r="A122" t="s">
        <v>1021</v>
      </c>
    </row>
    <row r="123" ht="15.75" customHeight="1" spans="1:1">
      <c r="A123" t="s">
        <v>1029</v>
      </c>
    </row>
    <row r="124" ht="15.75" customHeight="1" spans="1:1">
      <c r="A124" t="s">
        <v>1035</v>
      </c>
    </row>
    <row r="125" ht="15.75" customHeight="1" spans="1:1">
      <c r="A125" t="s">
        <v>1045</v>
      </c>
    </row>
    <row r="126" ht="15.75" customHeight="1" spans="1:1">
      <c r="A126" t="s">
        <v>1057</v>
      </c>
    </row>
    <row r="127" ht="15.75" customHeight="1" spans="1:1">
      <c r="A127" t="s">
        <v>1062</v>
      </c>
    </row>
    <row r="128" ht="15.75" customHeight="1" spans="1:1">
      <c r="A128" t="s">
        <v>1073</v>
      </c>
    </row>
    <row r="129" ht="15.75" customHeight="1" spans="1:1">
      <c r="A129" t="s">
        <v>1094</v>
      </c>
    </row>
    <row r="130" ht="15.75" customHeight="1" spans="1:1">
      <c r="A130" t="s">
        <v>1098</v>
      </c>
    </row>
    <row r="131" ht="15.75" customHeight="1" spans="1:1">
      <c r="A131" t="s">
        <v>1102</v>
      </c>
    </row>
    <row r="132" ht="15.75" customHeight="1" spans="1:1">
      <c r="A132" t="s">
        <v>1105</v>
      </c>
    </row>
    <row r="133" ht="15.75" customHeight="1" spans="1:1">
      <c r="A133" t="s">
        <v>1123</v>
      </c>
    </row>
    <row r="134" ht="15.75" customHeight="1" spans="1:1">
      <c r="A134" t="s">
        <v>1148</v>
      </c>
    </row>
    <row r="135" ht="15.75" customHeight="1" spans="1:1">
      <c r="A135" t="s">
        <v>1162</v>
      </c>
    </row>
    <row r="136" ht="15.75" customHeight="1" spans="1:1">
      <c r="A136" t="s">
        <v>1173</v>
      </c>
    </row>
    <row r="137" ht="15.75" customHeight="1" spans="1:1">
      <c r="A137" t="s">
        <v>1184</v>
      </c>
    </row>
    <row r="138" ht="15.75" customHeight="1" spans="1:1">
      <c r="A138" t="s">
        <v>1208</v>
      </c>
    </row>
    <row r="139" ht="15.75" customHeight="1" spans="1:1">
      <c r="A139" t="s">
        <v>1220</v>
      </c>
    </row>
    <row r="140" ht="15.75" customHeight="1" spans="1:1">
      <c r="A140" t="s">
        <v>1234</v>
      </c>
    </row>
    <row r="141" ht="15.75" customHeight="1" spans="1:1">
      <c r="A141" t="s">
        <v>1241</v>
      </c>
    </row>
    <row r="142" ht="15.75" customHeight="1" spans="1:1">
      <c r="A142" t="s">
        <v>1247</v>
      </c>
    </row>
    <row r="143" ht="15.75" customHeight="1" spans="1:1">
      <c r="A143" t="s">
        <v>1261</v>
      </c>
    </row>
    <row r="144" ht="15.75" customHeight="1" spans="1:1">
      <c r="A144" t="s">
        <v>1266</v>
      </c>
    </row>
    <row r="145" ht="15.75" customHeight="1" spans="1:1">
      <c r="A145" t="s">
        <v>1270</v>
      </c>
    </row>
    <row r="146" ht="15.75" customHeight="1" spans="1:1">
      <c r="A146" t="s">
        <v>1284</v>
      </c>
    </row>
    <row r="147" ht="15.75" customHeight="1" spans="1:1">
      <c r="A147" t="s">
        <v>1291</v>
      </c>
    </row>
    <row r="148" ht="15.75" customHeight="1" spans="1:1">
      <c r="A148" t="s">
        <v>1297</v>
      </c>
    </row>
    <row r="149" ht="15.75" customHeight="1" spans="1:1">
      <c r="A149" t="s">
        <v>1305</v>
      </c>
    </row>
    <row r="150" ht="15.75" customHeight="1" spans="1:1">
      <c r="A150" t="s">
        <v>1307</v>
      </c>
    </row>
    <row r="151" ht="15.75" customHeight="1" spans="1:1">
      <c r="A151" t="s">
        <v>1312</v>
      </c>
    </row>
    <row r="152" ht="15.75" customHeight="1" spans="1:1">
      <c r="A152" t="s">
        <v>1316</v>
      </c>
    </row>
    <row r="153" ht="15.75" customHeight="1" spans="1:1">
      <c r="A153" t="s">
        <v>1320</v>
      </c>
    </row>
    <row r="154" ht="15.75" customHeight="1" spans="1:1">
      <c r="A154" t="s">
        <v>1322</v>
      </c>
    </row>
    <row r="155" ht="15.75" customHeight="1" spans="1:1">
      <c r="A155" t="s">
        <v>1325</v>
      </c>
    </row>
    <row r="156" ht="15.75" customHeight="1" spans="1:1">
      <c r="A156" t="s">
        <v>1331</v>
      </c>
    </row>
    <row r="157" ht="15.75" customHeight="1" spans="1:1">
      <c r="A157" t="s">
        <v>1337</v>
      </c>
    </row>
    <row r="158" ht="15.75" customHeight="1" spans="1:1">
      <c r="A158" t="s">
        <v>1347</v>
      </c>
    </row>
    <row r="159" ht="15.75" customHeight="1" spans="1:1">
      <c r="A159" t="s">
        <v>1352</v>
      </c>
    </row>
    <row r="160" ht="15.75" customHeight="1" spans="1:1">
      <c r="A160" t="s">
        <v>1356</v>
      </c>
    </row>
    <row r="161" ht="15.75" customHeight="1" spans="1:1">
      <c r="A161" t="s">
        <v>1361</v>
      </c>
    </row>
    <row r="162" ht="15.75" customHeight="1" spans="1:1">
      <c r="A162" t="s">
        <v>1369</v>
      </c>
    </row>
    <row r="163" ht="15.75" customHeight="1" spans="1:1">
      <c r="A163" t="s">
        <v>1375</v>
      </c>
    </row>
    <row r="164" ht="15.75" customHeight="1" spans="1:1">
      <c r="A164" t="s">
        <v>1379</v>
      </c>
    </row>
    <row r="165" ht="15.75" customHeight="1" spans="1:1">
      <c r="A165" t="s">
        <v>1384</v>
      </c>
    </row>
    <row r="166" ht="15.75" customHeight="1" spans="1:1">
      <c r="A166" t="s">
        <v>1389</v>
      </c>
    </row>
    <row r="167" ht="15.75" customHeight="1" spans="1:1">
      <c r="A167" t="s">
        <v>1395</v>
      </c>
    </row>
    <row r="168" ht="15.75" customHeight="1" spans="1:1">
      <c r="A168" t="s">
        <v>1400</v>
      </c>
    </row>
    <row r="169" ht="15.75" customHeight="1" spans="1:1">
      <c r="A169" t="s">
        <v>1403</v>
      </c>
    </row>
    <row r="170" ht="15.75" customHeight="1" spans="1:1">
      <c r="A170" t="s">
        <v>1406</v>
      </c>
    </row>
    <row r="171" ht="15.75" customHeight="1" spans="1:1">
      <c r="A171" t="s">
        <v>1418</v>
      </c>
    </row>
    <row r="172" ht="15.75" customHeight="1" spans="1:1">
      <c r="A172" t="s">
        <v>1420</v>
      </c>
    </row>
    <row r="173" ht="15.75" customHeight="1" spans="1:1">
      <c r="A173" t="s">
        <v>1422</v>
      </c>
    </row>
    <row r="174" ht="15.75" customHeight="1" spans="1:1">
      <c r="A174" t="s">
        <v>1424</v>
      </c>
    </row>
    <row r="175" ht="15.75" customHeight="1" spans="1:1">
      <c r="A175" t="s">
        <v>1443</v>
      </c>
    </row>
    <row r="176" ht="15.75" customHeight="1" spans="1:1">
      <c r="A176" t="s">
        <v>1449</v>
      </c>
    </row>
    <row r="177" ht="15.75" customHeight="1" spans="1:1">
      <c r="A177" t="s">
        <v>1452</v>
      </c>
    </row>
    <row r="178" ht="15.75" customHeight="1" spans="1:1">
      <c r="A178" t="s">
        <v>1456</v>
      </c>
    </row>
    <row r="179" ht="15.75" customHeight="1" spans="1:1">
      <c r="A179" t="s">
        <v>1462</v>
      </c>
    </row>
    <row r="180" ht="15.75" customHeight="1" spans="1:1">
      <c r="A180" t="s">
        <v>1466</v>
      </c>
    </row>
    <row r="181" ht="15.75" customHeight="1" spans="1:1">
      <c r="A181" t="s">
        <v>1471</v>
      </c>
    </row>
    <row r="182" ht="15.75" customHeight="1" spans="1:1">
      <c r="A182" t="s">
        <v>1473</v>
      </c>
    </row>
    <row r="183" ht="15.75" customHeight="1" spans="1:1">
      <c r="A183" t="s">
        <v>1475</v>
      </c>
    </row>
    <row r="184" ht="15.75" customHeight="1" spans="1:1">
      <c r="A184" t="s">
        <v>1483</v>
      </c>
    </row>
    <row r="185" ht="15.75" customHeight="1" spans="1:1">
      <c r="A185" t="s">
        <v>1485</v>
      </c>
    </row>
    <row r="186" ht="15.75" customHeight="1" spans="1:1">
      <c r="A186" t="s">
        <v>1487</v>
      </c>
    </row>
    <row r="187" ht="15.75" customHeight="1" spans="1:1">
      <c r="A187" t="s">
        <v>1493</v>
      </c>
    </row>
    <row r="188" ht="15.75" customHeight="1" spans="1:1">
      <c r="A188" t="s">
        <v>1495</v>
      </c>
    </row>
    <row r="189" ht="15.75" customHeight="1" spans="1:1">
      <c r="A189" t="s">
        <v>1498</v>
      </c>
    </row>
    <row r="190" ht="15.75" customHeight="1" spans="1:1">
      <c r="A190" t="s">
        <v>1527</v>
      </c>
    </row>
    <row r="191" ht="15.75" customHeight="1" spans="1:1">
      <c r="A191" t="s">
        <v>1547</v>
      </c>
    </row>
    <row r="192" ht="15.75" customHeight="1" spans="1:1">
      <c r="A192" t="s">
        <v>1550</v>
      </c>
    </row>
    <row r="193" ht="15.75" customHeight="1" spans="1:1">
      <c r="A193" t="s">
        <v>1559</v>
      </c>
    </row>
    <row r="194" ht="15.75" customHeight="1" spans="1:1">
      <c r="A194" t="s">
        <v>1562</v>
      </c>
    </row>
    <row r="195" ht="15.75" customHeight="1" spans="1:1">
      <c r="A195" t="s">
        <v>1581</v>
      </c>
    </row>
    <row r="196" ht="15.75" customHeight="1" spans="1:1">
      <c r="A196" t="s">
        <v>1592</v>
      </c>
    </row>
    <row r="197" ht="15.75" customHeight="1" spans="1:1">
      <c r="A197" t="s">
        <v>1599</v>
      </c>
    </row>
    <row r="198" ht="15.75" customHeight="1" spans="1:1">
      <c r="A198" t="s">
        <v>1607</v>
      </c>
    </row>
    <row r="199" ht="15.75" customHeight="1" spans="1:1">
      <c r="A199" t="s">
        <v>1613</v>
      </c>
    </row>
    <row r="200" ht="15.75" customHeight="1" spans="1:1">
      <c r="A200" t="s">
        <v>1619</v>
      </c>
    </row>
    <row r="201" ht="15.75" customHeight="1" spans="1:1">
      <c r="A201" t="s">
        <v>1625</v>
      </c>
    </row>
    <row r="202" ht="15.75" customHeight="1" spans="1:1">
      <c r="A202" t="s">
        <v>1635</v>
      </c>
    </row>
    <row r="203" ht="15.75" customHeight="1" spans="1:1">
      <c r="A203" t="s">
        <v>1645</v>
      </c>
    </row>
    <row r="204" ht="15.75" customHeight="1" spans="1:1">
      <c r="A204" t="s">
        <v>1657</v>
      </c>
    </row>
    <row r="205" ht="15.75" customHeight="1" spans="1:1">
      <c r="A205" t="s">
        <v>1668</v>
      </c>
    </row>
    <row r="206" ht="15.75" customHeight="1" spans="1:1">
      <c r="A206" t="s">
        <v>1678</v>
      </c>
    </row>
    <row r="207" ht="15.75" customHeight="1" spans="1:1">
      <c r="A207" t="s">
        <v>1689</v>
      </c>
    </row>
    <row r="208" ht="15.75" customHeight="1" spans="1:1">
      <c r="A208" t="s">
        <v>1695</v>
      </c>
    </row>
    <row r="209" ht="15.75" customHeight="1" spans="1:1">
      <c r="A209" t="s">
        <v>1700</v>
      </c>
    </row>
    <row r="210" ht="15.75" customHeight="1" spans="1:1">
      <c r="A210" t="s">
        <v>1703</v>
      </c>
    </row>
    <row r="211" ht="15.75" customHeight="1" spans="1:1">
      <c r="A211" t="s">
        <v>1708</v>
      </c>
    </row>
    <row r="212" ht="15.75" customHeight="1" spans="1:1">
      <c r="A212" t="s">
        <v>1711</v>
      </c>
    </row>
    <row r="213" ht="15.75" customHeight="1" spans="1:1">
      <c r="A213" t="s">
        <v>1714</v>
      </c>
    </row>
    <row r="214" ht="15.75" customHeight="1" spans="1:1">
      <c r="A214" t="s">
        <v>1717</v>
      </c>
    </row>
    <row r="215" ht="15.75" customHeight="1" spans="1:1">
      <c r="A215" t="s">
        <v>1722</v>
      </c>
    </row>
    <row r="216" ht="15.75" customHeight="1" spans="1:1">
      <c r="A216" t="s">
        <v>1727</v>
      </c>
    </row>
    <row r="217" ht="15.75" customHeight="1" spans="1:1">
      <c r="A217" t="s">
        <v>1732</v>
      </c>
    </row>
    <row r="218" ht="15.75" customHeight="1" spans="1:1">
      <c r="A218" t="s">
        <v>1737</v>
      </c>
    </row>
    <row r="219" ht="15.75" customHeight="1" spans="1:1">
      <c r="A219" t="s">
        <v>1742</v>
      </c>
    </row>
    <row r="220" ht="15.75" customHeight="1" spans="1:1">
      <c r="A220" t="s">
        <v>1747</v>
      </c>
    </row>
    <row r="221" ht="15.75" customHeight="1" spans="1:1">
      <c r="A221" t="s">
        <v>1752</v>
      </c>
    </row>
    <row r="222" ht="15.75" customHeight="1" spans="1:1">
      <c r="A222" t="s">
        <v>1756</v>
      </c>
    </row>
    <row r="223" ht="15.75" customHeight="1" spans="1:1">
      <c r="A223" t="s">
        <v>1759</v>
      </c>
    </row>
    <row r="224" ht="15.75" customHeight="1" spans="1:1">
      <c r="A224" t="s">
        <v>1764</v>
      </c>
    </row>
    <row r="225" ht="15.75" customHeight="1" spans="1:1">
      <c r="A225" t="s">
        <v>1766</v>
      </c>
    </row>
    <row r="226" ht="15.75" customHeight="1" spans="1:1">
      <c r="A226" t="s">
        <v>1768</v>
      </c>
    </row>
    <row r="227" ht="15.75" customHeight="1" spans="1:1">
      <c r="A227" t="s">
        <v>1770</v>
      </c>
    </row>
    <row r="228" ht="15.75" customHeight="1" spans="1:1">
      <c r="A228" t="s">
        <v>1773</v>
      </c>
    </row>
    <row r="229" ht="15.75" customHeight="1" spans="1:1">
      <c r="A229" t="s">
        <v>1778</v>
      </c>
    </row>
    <row r="230" ht="15.75" customHeight="1" spans="1:1">
      <c r="A230" t="s">
        <v>1782</v>
      </c>
    </row>
    <row r="231" ht="15.75" customHeight="1" spans="1:1">
      <c r="A231" t="s">
        <v>1787</v>
      </c>
    </row>
    <row r="232" ht="15.75" customHeight="1" spans="1:1">
      <c r="A232" t="s">
        <v>1791</v>
      </c>
    </row>
    <row r="233" ht="15.75" customHeight="1" spans="1:1">
      <c r="A233" t="s">
        <v>1796</v>
      </c>
    </row>
    <row r="234" ht="15.75" customHeight="1" spans="1:1">
      <c r="A234" t="s">
        <v>1865</v>
      </c>
    </row>
    <row r="235" ht="15.75" customHeight="1" spans="1:1">
      <c r="A235" t="s">
        <v>1891</v>
      </c>
    </row>
    <row r="236" ht="15.75" customHeight="1" spans="1:1">
      <c r="A236" t="s">
        <v>2021</v>
      </c>
    </row>
    <row r="237" ht="15.75" customHeight="1" spans="1:1">
      <c r="A237" t="s">
        <v>2030</v>
      </c>
    </row>
    <row r="238" ht="15.75" customHeight="1" spans="1:1">
      <c r="A238" t="s">
        <v>2053</v>
      </c>
    </row>
    <row r="239" ht="15.75" customHeight="1" spans="1:1">
      <c r="A239" t="s">
        <v>2061</v>
      </c>
    </row>
    <row r="240" ht="15.75" customHeight="1" spans="1:1">
      <c r="A240" t="s">
        <v>2075</v>
      </c>
    </row>
    <row r="241" ht="15.75" customHeight="1" spans="1:1">
      <c r="A241" t="s">
        <v>2080</v>
      </c>
    </row>
    <row r="242" ht="15.75" customHeight="1" spans="1:1">
      <c r="A242" t="s">
        <v>2087</v>
      </c>
    </row>
    <row r="243" ht="15.75" customHeight="1" spans="1:1">
      <c r="A243" t="s">
        <v>2093</v>
      </c>
    </row>
    <row r="244" ht="15.75" customHeight="1" spans="1:1">
      <c r="A244" t="s">
        <v>2099</v>
      </c>
    </row>
    <row r="245" ht="15.75" customHeight="1" spans="1:1">
      <c r="A245" t="s">
        <v>2105</v>
      </c>
    </row>
    <row r="246" ht="15.75" customHeight="1" spans="1:1">
      <c r="A246" t="s">
        <v>2110</v>
      </c>
    </row>
    <row r="247" ht="15.75" customHeight="1" spans="1:1">
      <c r="A247" t="s">
        <v>2119</v>
      </c>
    </row>
    <row r="248" ht="15.75" customHeight="1" spans="1:1">
      <c r="A248" t="s">
        <v>2122</v>
      </c>
    </row>
    <row r="249" ht="15.75" customHeight="1" spans="1:1">
      <c r="A249" t="s">
        <v>2125</v>
      </c>
    </row>
    <row r="250" ht="15.75" customHeight="1" spans="1:1">
      <c r="A250" t="s">
        <v>2133</v>
      </c>
    </row>
    <row r="251" ht="15.75" customHeight="1" spans="1:1">
      <c r="A251" t="s">
        <v>2139</v>
      </c>
    </row>
    <row r="252" ht="15.75" customHeight="1" spans="1:1">
      <c r="A252" t="s">
        <v>2146</v>
      </c>
    </row>
    <row r="253" ht="15.75" customHeight="1" spans="1:1">
      <c r="A253" t="s">
        <v>2155</v>
      </c>
    </row>
    <row r="254" ht="15.75" customHeight="1" spans="1:1">
      <c r="A254" t="s">
        <v>2162</v>
      </c>
    </row>
    <row r="255" ht="15.75" customHeight="1" spans="1:1">
      <c r="A255" t="s">
        <v>2167</v>
      </c>
    </row>
    <row r="256" ht="15.75" customHeight="1" spans="1:1">
      <c r="A256" t="s">
        <v>2175</v>
      </c>
    </row>
    <row r="257" ht="15.75" customHeight="1" spans="1:1">
      <c r="A257" t="s">
        <v>2181</v>
      </c>
    </row>
    <row r="258" ht="15.75" customHeight="1" spans="1:1">
      <c r="A258" t="s">
        <v>2186</v>
      </c>
    </row>
    <row r="259" ht="15.75" customHeight="1" spans="1:1">
      <c r="A259" t="s">
        <v>2194</v>
      </c>
    </row>
    <row r="260" ht="15.75" customHeight="1" spans="1:1">
      <c r="A260" t="s">
        <v>2202</v>
      </c>
    </row>
    <row r="261" ht="15.75" customHeight="1" spans="1:1">
      <c r="A261" t="s">
        <v>2209</v>
      </c>
    </row>
    <row r="262" ht="15.75" customHeight="1" spans="1:1">
      <c r="A262" t="s">
        <v>2218</v>
      </c>
    </row>
    <row r="263" ht="15.75" customHeight="1" spans="1:1">
      <c r="A263" t="s">
        <v>2221</v>
      </c>
    </row>
    <row r="264" ht="15.75" customHeight="1" spans="1:1">
      <c r="A264" t="s">
        <v>2224</v>
      </c>
    </row>
    <row r="265" ht="15.75" customHeight="1" spans="1:1">
      <c r="A265" t="s">
        <v>2227</v>
      </c>
    </row>
    <row r="266" ht="15.75" customHeight="1" spans="1:1">
      <c r="A266" t="s">
        <v>2230</v>
      </c>
    </row>
    <row r="267" ht="15.75" customHeight="1" spans="1:1">
      <c r="A267" t="s">
        <v>2234</v>
      </c>
    </row>
    <row r="268" ht="15.75" customHeight="1" spans="1:1">
      <c r="A268" t="s">
        <v>2237</v>
      </c>
    </row>
    <row r="269" ht="15.75" customHeight="1" spans="1:1">
      <c r="A269" t="s">
        <v>2240</v>
      </c>
    </row>
    <row r="270" ht="15.75" customHeight="1" spans="1:1">
      <c r="A270" t="s">
        <v>2244</v>
      </c>
    </row>
    <row r="271" ht="15.75" customHeight="1" spans="1:1">
      <c r="A271" t="s">
        <v>2247</v>
      </c>
    </row>
    <row r="272" ht="15.75" customHeight="1" spans="1:1">
      <c r="A272" t="s">
        <v>2250</v>
      </c>
    </row>
    <row r="273" ht="15.75" customHeight="1" spans="1:1">
      <c r="A273" t="s">
        <v>2253</v>
      </c>
    </row>
    <row r="274" ht="15.75" customHeight="1" spans="1:1">
      <c r="A274" t="s">
        <v>2256</v>
      </c>
    </row>
    <row r="275" ht="15.75" customHeight="1" spans="1:1">
      <c r="A275" t="s">
        <v>2259</v>
      </c>
    </row>
    <row r="276" ht="15.75" customHeight="1" spans="1:1">
      <c r="A276" t="s">
        <v>2263</v>
      </c>
    </row>
    <row r="277" ht="15.75" customHeight="1" spans="1:1">
      <c r="A277" t="s">
        <v>2266</v>
      </c>
    </row>
    <row r="278" ht="15.75" customHeight="1" spans="1:1">
      <c r="A278" t="s">
        <v>2269</v>
      </c>
    </row>
    <row r="279" ht="15.75" customHeight="1" spans="1:1">
      <c r="A279" t="s">
        <v>2272</v>
      </c>
    </row>
    <row r="280" ht="15.75" customHeight="1" spans="1:1">
      <c r="A280" t="s">
        <v>2275</v>
      </c>
    </row>
    <row r="281" ht="15.75" customHeight="1" spans="1:1">
      <c r="A281" t="s">
        <v>2279</v>
      </c>
    </row>
    <row r="282" ht="15.75" customHeight="1" spans="1:1">
      <c r="A282" t="s">
        <v>2282</v>
      </c>
    </row>
    <row r="283" ht="15.75" customHeight="1" spans="1:1">
      <c r="A283" t="s">
        <v>2285</v>
      </c>
    </row>
    <row r="284" ht="15.75" customHeight="1" spans="1:1">
      <c r="A284" t="s">
        <v>2292</v>
      </c>
    </row>
    <row r="285" ht="15.75" customHeight="1" spans="1:1">
      <c r="A285" t="s">
        <v>2296</v>
      </c>
    </row>
    <row r="286" ht="15.75" customHeight="1" spans="1:1">
      <c r="A286" t="s">
        <v>2300</v>
      </c>
    </row>
    <row r="287" ht="15.75" customHeight="1" spans="1:1">
      <c r="A287" t="s">
        <v>2308</v>
      </c>
    </row>
    <row r="288" ht="15.75" customHeight="1" spans="1:1">
      <c r="A288" t="s">
        <v>2312</v>
      </c>
    </row>
    <row r="289" ht="15.75" customHeight="1" spans="1:1">
      <c r="A289" t="s">
        <v>2327</v>
      </c>
    </row>
    <row r="290" ht="15.75" customHeight="1" spans="1:1">
      <c r="A290" t="s">
        <v>2336</v>
      </c>
    </row>
    <row r="291" ht="15.75" customHeight="1" spans="1:1">
      <c r="A291" t="s">
        <v>2339</v>
      </c>
    </row>
    <row r="292" ht="15.75" customHeight="1" spans="1:1">
      <c r="A292" t="s">
        <v>2344</v>
      </c>
    </row>
    <row r="293" ht="15.75" customHeight="1" spans="1:1">
      <c r="A293" t="s">
        <v>2347</v>
      </c>
    </row>
    <row r="294" ht="15.75" customHeight="1" spans="1:1">
      <c r="A294" t="s">
        <v>2350</v>
      </c>
    </row>
    <row r="295" ht="15.75" customHeight="1" spans="1:1">
      <c r="A295" t="s">
        <v>2378</v>
      </c>
    </row>
    <row r="296" ht="15.75" customHeight="1" spans="1:1">
      <c r="A296" t="s">
        <v>2396</v>
      </c>
    </row>
    <row r="297" ht="15.75" customHeight="1" spans="1:1">
      <c r="A297" t="s">
        <v>2411</v>
      </c>
    </row>
    <row r="298" ht="15.75" customHeight="1" spans="1:1">
      <c r="A298" t="s">
        <v>2422</v>
      </c>
    </row>
    <row r="299" ht="15.75" customHeight="1" spans="1:1">
      <c r="A299" t="s">
        <v>2438</v>
      </c>
    </row>
    <row r="300" ht="15.75" customHeight="1" spans="1:1">
      <c r="A300" t="s">
        <v>2452</v>
      </c>
    </row>
    <row r="301" ht="15.75" customHeight="1" spans="1:1">
      <c r="A301" t="s">
        <v>2464</v>
      </c>
    </row>
    <row r="302" ht="15.75" customHeight="1" spans="1:1">
      <c r="A302" t="s">
        <v>2479</v>
      </c>
    </row>
    <row r="303" ht="15.75" customHeight="1" spans="1:1">
      <c r="A303" t="s">
        <v>2489</v>
      </c>
    </row>
    <row r="304" ht="15.75" customHeight="1" spans="1:1">
      <c r="A304" t="s">
        <v>2498</v>
      </c>
    </row>
    <row r="305" ht="15.75" customHeight="1" spans="1:1">
      <c r="A305" t="s">
        <v>2507</v>
      </c>
    </row>
    <row r="306" ht="15.75" customHeight="1" spans="1:1">
      <c r="A306" t="s">
        <v>2516</v>
      </c>
    </row>
    <row r="307" ht="15.75" customHeight="1" spans="1:1">
      <c r="A307" t="s">
        <v>2525</v>
      </c>
    </row>
    <row r="308" ht="15.75" customHeight="1" spans="1:1">
      <c r="A308" t="s">
        <v>2534</v>
      </c>
    </row>
    <row r="309" ht="15.75" customHeight="1" spans="1:1">
      <c r="A309" t="s">
        <v>2543</v>
      </c>
    </row>
    <row r="310" ht="15.75" customHeight="1" spans="1:1">
      <c r="A310" t="s">
        <v>2550</v>
      </c>
    </row>
    <row r="311" ht="15.75" customHeight="1" spans="1:1">
      <c r="A311" t="s">
        <v>2565</v>
      </c>
    </row>
    <row r="312" ht="15.75" customHeight="1" spans="1:1">
      <c r="A312" t="s">
        <v>2574</v>
      </c>
    </row>
    <row r="313" ht="15.75" customHeight="1" spans="1:1">
      <c r="A313" t="s">
        <v>2583</v>
      </c>
    </row>
    <row r="314" ht="15.75" customHeight="1" spans="1:1">
      <c r="A314" t="s">
        <v>2622</v>
      </c>
    </row>
    <row r="315" ht="15.75" customHeight="1" spans="1:1">
      <c r="A315" t="s">
        <v>2631</v>
      </c>
    </row>
    <row r="316" ht="15.75" customHeight="1" spans="1:1">
      <c r="A316" t="s">
        <v>2634</v>
      </c>
    </row>
    <row r="317" ht="15.75" customHeight="1" spans="1:1">
      <c r="A317" t="s">
        <v>2650</v>
      </c>
    </row>
    <row r="318" ht="15.75" customHeight="1" spans="1:1">
      <c r="A318" t="s">
        <v>2665</v>
      </c>
    </row>
    <row r="319" ht="15.75" customHeight="1" spans="1:1">
      <c r="A319" t="s">
        <v>2670</v>
      </c>
    </row>
    <row r="320" ht="15.75" customHeight="1" spans="1:1">
      <c r="A320" t="s">
        <v>2676</v>
      </c>
    </row>
    <row r="321" ht="15.75" customHeight="1" spans="1:1">
      <c r="A321" t="s">
        <v>2689</v>
      </c>
    </row>
    <row r="322" ht="15.75" customHeight="1" spans="1:1">
      <c r="A322" t="s">
        <v>2696</v>
      </c>
    </row>
    <row r="323" ht="15.75" customHeight="1" spans="1:1">
      <c r="A323" t="s">
        <v>2703</v>
      </c>
    </row>
    <row r="324" ht="15.75" customHeight="1" spans="1:1">
      <c r="A324" t="s">
        <v>2710</v>
      </c>
    </row>
    <row r="325" ht="15.75" customHeight="1" spans="1:1">
      <c r="A325" t="s">
        <v>2724</v>
      </c>
    </row>
    <row r="326" ht="15.75" customHeight="1" spans="1:1">
      <c r="A326" t="s">
        <v>2736</v>
      </c>
    </row>
    <row r="327" ht="15.75" customHeight="1" spans="1:1">
      <c r="A327" t="s">
        <v>2749</v>
      </c>
    </row>
    <row r="328" ht="15.75" customHeight="1" spans="1:1">
      <c r="A328" t="s">
        <v>2763</v>
      </c>
    </row>
    <row r="329" ht="15.75" customHeight="1" spans="1:1">
      <c r="A329" t="s">
        <v>2775</v>
      </c>
    </row>
    <row r="330" ht="15.75" customHeight="1" spans="1:1">
      <c r="A330" t="s">
        <v>2787</v>
      </c>
    </row>
    <row r="331" ht="15.75" customHeight="1" spans="1:1">
      <c r="A331" t="s">
        <v>2796</v>
      </c>
    </row>
    <row r="332" ht="15.75" customHeight="1" spans="1:1">
      <c r="A332" t="s">
        <v>2806</v>
      </c>
    </row>
    <row r="333" ht="15.75" customHeight="1" spans="1:1">
      <c r="A333" t="s">
        <v>2815</v>
      </c>
    </row>
    <row r="334" ht="15.75" customHeight="1" spans="1:1">
      <c r="A334" t="s">
        <v>2827</v>
      </c>
    </row>
    <row r="335" ht="15.75" customHeight="1" spans="1:1">
      <c r="A335" t="s">
        <v>2838</v>
      </c>
    </row>
    <row r="336" ht="15.75" customHeight="1" spans="1:1">
      <c r="A336" t="s">
        <v>2848</v>
      </c>
    </row>
    <row r="337" ht="15.75" customHeight="1" spans="1:1">
      <c r="A337" t="s">
        <v>2852</v>
      </c>
    </row>
    <row r="338" ht="15.75" customHeight="1" spans="1:1">
      <c r="A338" t="s">
        <v>2857</v>
      </c>
    </row>
    <row r="339" ht="15.75" customHeight="1" spans="1:1">
      <c r="A339" t="s">
        <v>2872</v>
      </c>
    </row>
    <row r="340" ht="15.75" customHeight="1" spans="1:1">
      <c r="A340" t="s">
        <v>2880</v>
      </c>
    </row>
    <row r="341" ht="15.75" customHeight="1" spans="1:1">
      <c r="A341" t="s">
        <v>2890</v>
      </c>
    </row>
    <row r="342" ht="15.75" customHeight="1" spans="1:1">
      <c r="A342" t="s">
        <v>2893</v>
      </c>
    </row>
    <row r="343" ht="15.75" customHeight="1" spans="1:1">
      <c r="A343" t="s">
        <v>2897</v>
      </c>
    </row>
    <row r="344" ht="15.75" customHeight="1" spans="1:1">
      <c r="A344" t="s">
        <v>2907</v>
      </c>
    </row>
    <row r="345" ht="15.75" customHeight="1" spans="1:1">
      <c r="A345" t="s">
        <v>2912</v>
      </c>
    </row>
    <row r="346" ht="15.75" customHeight="1" spans="1:1">
      <c r="A346" t="s">
        <v>2918</v>
      </c>
    </row>
    <row r="347" ht="15.75" customHeight="1" spans="1:1">
      <c r="A347" t="s">
        <v>2922</v>
      </c>
    </row>
    <row r="348" ht="15.75" customHeight="1" spans="1:1">
      <c r="A348" t="s">
        <v>2930</v>
      </c>
    </row>
    <row r="349" ht="15.75" customHeight="1" spans="1:1">
      <c r="A349" t="s">
        <v>2936</v>
      </c>
    </row>
    <row r="350" ht="15.75" customHeight="1" spans="1:1">
      <c r="A350" t="s">
        <v>2943</v>
      </c>
    </row>
    <row r="351" ht="15.75" customHeight="1" spans="1:1">
      <c r="A351" t="s">
        <v>2951</v>
      </c>
    </row>
    <row r="352" ht="15.75" customHeight="1" spans="1:1">
      <c r="A352" t="s">
        <v>2957</v>
      </c>
    </row>
    <row r="353" ht="15.75" customHeight="1" spans="1:1">
      <c r="A353" t="s">
        <v>2975</v>
      </c>
    </row>
    <row r="354" ht="15.75" customHeight="1" spans="1:1">
      <c r="A354" t="s">
        <v>2982</v>
      </c>
    </row>
    <row r="355" ht="15.75" customHeight="1" spans="1:1">
      <c r="A355" t="s">
        <v>2994</v>
      </c>
    </row>
    <row r="356" ht="15.75" customHeight="1" spans="1:1">
      <c r="A356" t="s">
        <v>3012</v>
      </c>
    </row>
    <row r="357" ht="15.75" customHeight="1" spans="1:1">
      <c r="A357" t="s">
        <v>3019</v>
      </c>
    </row>
    <row r="358" ht="15.75" customHeight="1" spans="1:1">
      <c r="A358" t="s">
        <v>3023</v>
      </c>
    </row>
    <row r="359" ht="15.75" customHeight="1" spans="1:1">
      <c r="A359" t="s">
        <v>3031</v>
      </c>
    </row>
    <row r="360" ht="15.75" customHeight="1" spans="1:1">
      <c r="A360" t="s">
        <v>3039</v>
      </c>
    </row>
    <row r="361" ht="15.75" customHeight="1" spans="1:1">
      <c r="A361" t="s">
        <v>3042</v>
      </c>
    </row>
    <row r="362" ht="15.75" customHeight="1" spans="1:1">
      <c r="A362" t="s">
        <v>3057</v>
      </c>
    </row>
    <row r="363" ht="15.75" customHeight="1" spans="1:1">
      <c r="A363" t="s">
        <v>3065</v>
      </c>
    </row>
    <row r="364" ht="15.75" customHeight="1" spans="1:1">
      <c r="A364" t="s">
        <v>3074</v>
      </c>
    </row>
    <row r="365" ht="15.75" customHeight="1" spans="1:1">
      <c r="A365" t="s">
        <v>3096</v>
      </c>
    </row>
    <row r="366" ht="15.75" customHeight="1" spans="1:1">
      <c r="A366" t="s">
        <v>3116</v>
      </c>
    </row>
    <row r="367" ht="15.75" customHeight="1" spans="1:1">
      <c r="A367" t="s">
        <v>3124</v>
      </c>
    </row>
    <row r="368" ht="15.75" customHeight="1" spans="1:1">
      <c r="A368" t="s">
        <v>3132</v>
      </c>
    </row>
    <row r="369" ht="15.75" customHeight="1" spans="1:1">
      <c r="A369" t="s">
        <v>3147</v>
      </c>
    </row>
    <row r="370" ht="15.75" customHeight="1" spans="1:1">
      <c r="A370" t="s">
        <v>3150</v>
      </c>
    </row>
    <row r="371" ht="15.75" customHeight="1" spans="1:1">
      <c r="A371" t="s">
        <v>3161</v>
      </c>
    </row>
    <row r="372" ht="15.75" customHeight="1" spans="1:1">
      <c r="A372" t="s">
        <v>3171</v>
      </c>
    </row>
    <row r="373" ht="15.75" customHeight="1" spans="1:1">
      <c r="A373" t="s">
        <v>3175</v>
      </c>
    </row>
    <row r="374" ht="15.75" customHeight="1" spans="1:1">
      <c r="A374" t="s">
        <v>3178</v>
      </c>
    </row>
    <row r="375" ht="15.75" customHeight="1" spans="1:1">
      <c r="A375" t="s">
        <v>3188</v>
      </c>
    </row>
    <row r="376" ht="15.75" customHeight="1" spans="1:1">
      <c r="A376" t="s">
        <v>3208</v>
      </c>
    </row>
    <row r="377" ht="15.75" customHeight="1" spans="1:1">
      <c r="A377" t="s">
        <v>3212</v>
      </c>
    </row>
    <row r="378" ht="15.75" customHeight="1" spans="1:1">
      <c r="A378" t="s">
        <v>3221</v>
      </c>
    </row>
    <row r="379" ht="15.75" customHeight="1" spans="1:1">
      <c r="A379" t="s">
        <v>3229</v>
      </c>
    </row>
    <row r="380" ht="15.75" customHeight="1" spans="1:1">
      <c r="A380" t="s">
        <v>3232</v>
      </c>
    </row>
    <row r="381" ht="15.75" customHeight="1" spans="1:1">
      <c r="A381" t="s">
        <v>3236</v>
      </c>
    </row>
    <row r="382" ht="15.75" customHeight="1" spans="1:1">
      <c r="A382" t="s">
        <v>3241</v>
      </c>
    </row>
    <row r="383" ht="15.75" customHeight="1" spans="1:1">
      <c r="A383" t="s">
        <v>3245</v>
      </c>
    </row>
    <row r="384" ht="15.75" customHeight="1" spans="1:1">
      <c r="A384" t="s">
        <v>3249</v>
      </c>
    </row>
    <row r="385" ht="15.75" customHeight="1" spans="1:1">
      <c r="A385" t="s">
        <v>3253</v>
      </c>
    </row>
    <row r="386" ht="15.75" customHeight="1" spans="1:1">
      <c r="A386" t="s">
        <v>3257</v>
      </c>
    </row>
    <row r="387" ht="15.75" customHeight="1" spans="1:1">
      <c r="A387" t="s">
        <v>3263</v>
      </c>
    </row>
    <row r="388" ht="15.75" customHeight="1" spans="1:1">
      <c r="A388" t="s">
        <v>3265</v>
      </c>
    </row>
    <row r="389" ht="15.75" customHeight="1" spans="1:1">
      <c r="A389" t="s">
        <v>3269</v>
      </c>
    </row>
    <row r="390" ht="15.75" customHeight="1" spans="1:1">
      <c r="A390" t="s">
        <v>3273</v>
      </c>
    </row>
    <row r="391" ht="15.75" customHeight="1" spans="1:1">
      <c r="A391" t="s">
        <v>3274</v>
      </c>
    </row>
    <row r="392" ht="15.75" customHeight="1" spans="1:1">
      <c r="A392" t="s">
        <v>3282</v>
      </c>
    </row>
    <row r="393" ht="15.75" customHeight="1" spans="1:1">
      <c r="A393" t="s">
        <v>3288</v>
      </c>
    </row>
    <row r="394" ht="15.75" customHeight="1" spans="1:1">
      <c r="A394" t="s">
        <v>3295</v>
      </c>
    </row>
    <row r="395" ht="15.75" customHeight="1" spans="1:1">
      <c r="A395" t="s">
        <v>3300</v>
      </c>
    </row>
    <row r="396" ht="15.75" customHeight="1" spans="1:1">
      <c r="A396" t="s">
        <v>3301</v>
      </c>
    </row>
    <row r="397" ht="15.75" customHeight="1" spans="1:1">
      <c r="A397" t="s">
        <v>3316</v>
      </c>
    </row>
    <row r="398" ht="15.75" customHeight="1" spans="1:1">
      <c r="A398" t="s">
        <v>3329</v>
      </c>
    </row>
    <row r="399" ht="15.75" customHeight="1" spans="1:1">
      <c r="A399" t="s">
        <v>3333</v>
      </c>
    </row>
    <row r="400" ht="15.75" customHeight="1" spans="1:1">
      <c r="A400" t="s">
        <v>3337</v>
      </c>
    </row>
    <row r="401" ht="15.75" customHeight="1" spans="1:1">
      <c r="A401" t="s">
        <v>3341</v>
      </c>
    </row>
    <row r="402" ht="15.75" customHeight="1" spans="1:1">
      <c r="A402" t="s">
        <v>3346</v>
      </c>
    </row>
    <row r="403" ht="15.75" customHeight="1" spans="1:1">
      <c r="A403" t="s">
        <v>3353</v>
      </c>
    </row>
    <row r="404" ht="15.75" customHeight="1" spans="1:1">
      <c r="A404" t="s">
        <v>3360</v>
      </c>
    </row>
    <row r="405" ht="15.75" customHeight="1" spans="1:1">
      <c r="A405" t="s">
        <v>3363</v>
      </c>
    </row>
    <row r="406" ht="15.75" customHeight="1" spans="1:1">
      <c r="A406" t="s">
        <v>3368</v>
      </c>
    </row>
    <row r="407" ht="15.75" customHeight="1" spans="1:1">
      <c r="A407" t="s">
        <v>3375</v>
      </c>
    </row>
    <row r="408" ht="15.75" customHeight="1" spans="1:1">
      <c r="A408" t="s">
        <v>3379</v>
      </c>
    </row>
    <row r="409" ht="15.75" customHeight="1" spans="1:1">
      <c r="A409" t="s">
        <v>3402</v>
      </c>
    </row>
    <row r="410" ht="15.75" customHeight="1" spans="1:1">
      <c r="A410" t="s">
        <v>3414</v>
      </c>
    </row>
    <row r="411" ht="15.75" customHeight="1" spans="1:1">
      <c r="A411" t="s">
        <v>3433</v>
      </c>
    </row>
    <row r="412" ht="15.75" customHeight="1" spans="1:1">
      <c r="A412" t="s">
        <v>3444</v>
      </c>
    </row>
    <row r="413" ht="15.75" customHeight="1" spans="1:1">
      <c r="A413" t="s">
        <v>3448</v>
      </c>
    </row>
    <row r="414" ht="15.75" customHeight="1" spans="1:1">
      <c r="A414" t="s">
        <v>3453</v>
      </c>
    </row>
    <row r="415" ht="15.75" customHeight="1" spans="1:1">
      <c r="A415" t="s">
        <v>3457</v>
      </c>
    </row>
    <row r="416" ht="15.75" customHeight="1" spans="1:1">
      <c r="A416" t="s">
        <v>3464</v>
      </c>
    </row>
    <row r="417" ht="15.75" customHeight="1" spans="1:1">
      <c r="A417" t="s">
        <v>3465</v>
      </c>
    </row>
    <row r="418" ht="15.75" customHeight="1" spans="1:1">
      <c r="A418" t="s">
        <v>3466</v>
      </c>
    </row>
    <row r="419" ht="15.75" customHeight="1" spans="1:1">
      <c r="A419" t="s">
        <v>3467</v>
      </c>
    </row>
    <row r="420" ht="15.75" customHeight="1" spans="1:1">
      <c r="A420" t="s">
        <v>3468</v>
      </c>
    </row>
    <row r="421" ht="15.75" customHeight="1" spans="1:1">
      <c r="A421" t="s">
        <v>3469</v>
      </c>
    </row>
    <row r="422" ht="15.75" customHeight="1" spans="1:1">
      <c r="A422" t="s">
        <v>3470</v>
      </c>
    </row>
    <row r="423" ht="15.75" customHeight="1" spans="1:1">
      <c r="A423" t="s">
        <v>3471</v>
      </c>
    </row>
    <row r="424" ht="15.75" customHeight="1" spans="1:1">
      <c r="A424" t="s">
        <v>3472</v>
      </c>
    </row>
    <row r="425" ht="15.75" customHeight="1" spans="1:1">
      <c r="A425" t="s">
        <v>3473</v>
      </c>
    </row>
    <row r="426" ht="15.75" customHeight="1" spans="1:1">
      <c r="A426" t="s">
        <v>3474</v>
      </c>
    </row>
    <row r="427" ht="15.75" customHeight="1" spans="1:1">
      <c r="A427" t="s">
        <v>3475</v>
      </c>
    </row>
    <row r="428" ht="15.75" customHeight="1" spans="1:1">
      <c r="A428" t="s">
        <v>3476</v>
      </c>
    </row>
    <row r="429" ht="15.75" customHeight="1" spans="1:1">
      <c r="A429" t="s">
        <v>3477</v>
      </c>
    </row>
    <row r="430" ht="15.75" customHeight="1" spans="1:1">
      <c r="A430" t="s">
        <v>3478</v>
      </c>
    </row>
    <row r="431" ht="15.75" customHeight="1" spans="1:1">
      <c r="A431" t="s">
        <v>3479</v>
      </c>
    </row>
    <row r="432" ht="15.75" customHeight="1" spans="1:1">
      <c r="A432" t="s">
        <v>3480</v>
      </c>
    </row>
    <row r="433" ht="15.75" customHeight="1" spans="1:1">
      <c r="A433" t="s">
        <v>3481</v>
      </c>
    </row>
    <row r="434" ht="15.75" customHeight="1" spans="1:1">
      <c r="A434" t="s">
        <v>3482</v>
      </c>
    </row>
    <row r="435" ht="15.75" customHeight="1" spans="1:1">
      <c r="A435" t="s">
        <v>3483</v>
      </c>
    </row>
    <row r="436" ht="15.75" customHeight="1" spans="1:1">
      <c r="A436" t="s">
        <v>3484</v>
      </c>
    </row>
    <row r="437" ht="15.75" customHeight="1" spans="1:1">
      <c r="A437" t="s">
        <v>3485</v>
      </c>
    </row>
    <row r="438" ht="15.75" customHeight="1" spans="1:1">
      <c r="A438" t="s">
        <v>3486</v>
      </c>
    </row>
    <row r="439" ht="15.75" customHeight="1" spans="1:1">
      <c r="A439" t="s">
        <v>3487</v>
      </c>
    </row>
    <row r="440" ht="15.75" customHeight="1" spans="1:1">
      <c r="A440" t="s">
        <v>3488</v>
      </c>
    </row>
    <row r="441" ht="15.75" customHeight="1" spans="1:1">
      <c r="A441" t="s">
        <v>3489</v>
      </c>
    </row>
    <row r="442" ht="15.75" customHeight="1" spans="1:1">
      <c r="A442" t="s">
        <v>3490</v>
      </c>
    </row>
    <row r="443" ht="15.75" customHeight="1" spans="1:1">
      <c r="A443" t="s">
        <v>3491</v>
      </c>
    </row>
    <row r="444" ht="15.75" customHeight="1" spans="1:1">
      <c r="A444" t="s">
        <v>3492</v>
      </c>
    </row>
    <row r="445" ht="15.75" customHeight="1" spans="1:1">
      <c r="A445" t="s">
        <v>3493</v>
      </c>
    </row>
    <row r="446" ht="15.75" customHeight="1" spans="1:1">
      <c r="A446" t="s">
        <v>3494</v>
      </c>
    </row>
    <row r="447" ht="15.75" customHeight="1" spans="1:1">
      <c r="A447" t="s">
        <v>3495</v>
      </c>
    </row>
    <row r="448" ht="15.75" customHeight="1" spans="1:1">
      <c r="A448" t="s">
        <v>3496</v>
      </c>
    </row>
    <row r="449" ht="15.75" customHeight="1" spans="1:1">
      <c r="A449" t="s">
        <v>3497</v>
      </c>
    </row>
    <row r="450" ht="15.75" customHeight="1" spans="1:1">
      <c r="A450" t="s">
        <v>3498</v>
      </c>
    </row>
    <row r="451" ht="15.75" customHeight="1" spans="1:1">
      <c r="A451" t="s">
        <v>3499</v>
      </c>
    </row>
    <row r="452" ht="15.75" customHeight="1" spans="1:1">
      <c r="A452" t="s">
        <v>3500</v>
      </c>
    </row>
    <row r="453" ht="15.75" customHeight="1" spans="1:1">
      <c r="A453" t="s">
        <v>3501</v>
      </c>
    </row>
    <row r="454" ht="15.75" customHeight="1" spans="1:1">
      <c r="A454" t="s">
        <v>3502</v>
      </c>
    </row>
    <row r="455" ht="15.75" customHeight="1" spans="1:1">
      <c r="A455" t="s">
        <v>3503</v>
      </c>
    </row>
    <row r="456" ht="15.75" customHeight="1" spans="1:1">
      <c r="A456" t="s">
        <v>3504</v>
      </c>
    </row>
    <row r="457" ht="15.75" customHeight="1" spans="1:1">
      <c r="A457" t="s">
        <v>3505</v>
      </c>
    </row>
    <row r="458" ht="15.75" customHeight="1" spans="1:1">
      <c r="A458" t="s">
        <v>3506</v>
      </c>
    </row>
    <row r="459" ht="15.75" customHeight="1" spans="1:1">
      <c r="A459" t="s">
        <v>3507</v>
      </c>
    </row>
    <row r="460" ht="15.75" customHeight="1" spans="1:1">
      <c r="A460" t="s">
        <v>3508</v>
      </c>
    </row>
    <row r="461" ht="15.75" customHeight="1" spans="1:1">
      <c r="A461" t="s">
        <v>3509</v>
      </c>
    </row>
    <row r="462" ht="15.75" customHeight="1" spans="1:1">
      <c r="A462" t="s">
        <v>3510</v>
      </c>
    </row>
    <row r="463" ht="15.75" customHeight="1" spans="1:1">
      <c r="A463" t="s">
        <v>3511</v>
      </c>
    </row>
    <row r="464" ht="15.75" customHeight="1" spans="1:1">
      <c r="A464" t="s">
        <v>3512</v>
      </c>
    </row>
    <row r="465" ht="15.75" customHeight="1" spans="1:1">
      <c r="A465" t="s">
        <v>3513</v>
      </c>
    </row>
    <row r="466" ht="15.75" customHeight="1" spans="1:1">
      <c r="A466" t="s">
        <v>3514</v>
      </c>
    </row>
    <row r="467" ht="15.75" customHeight="1" spans="1:1">
      <c r="A467" t="s">
        <v>3515</v>
      </c>
    </row>
    <row r="468" ht="15.75" customHeight="1" spans="1:1">
      <c r="A468" t="s">
        <v>3516</v>
      </c>
    </row>
    <row r="469" ht="15.75" customHeight="1" spans="1:1">
      <c r="A469" t="s">
        <v>3517</v>
      </c>
    </row>
    <row r="470" ht="15.75" customHeight="1" spans="1:1">
      <c r="A470" t="s">
        <v>3518</v>
      </c>
    </row>
    <row r="471" ht="15.75" customHeight="1" spans="1:1">
      <c r="A471" t="s">
        <v>3519</v>
      </c>
    </row>
    <row r="472" ht="15.75" customHeight="1" spans="1:1">
      <c r="A472" t="s">
        <v>3520</v>
      </c>
    </row>
    <row r="473" ht="15.75" customHeight="1" spans="1:1">
      <c r="A473" t="s">
        <v>3521</v>
      </c>
    </row>
    <row r="474" ht="15.75" customHeight="1" spans="1:1">
      <c r="A474" t="s">
        <v>3522</v>
      </c>
    </row>
    <row r="475" ht="15.75" customHeight="1" spans="1:1">
      <c r="A475" t="s">
        <v>3523</v>
      </c>
    </row>
    <row r="476" ht="15.75" customHeight="1" spans="1:1">
      <c r="A476" t="s">
        <v>3524</v>
      </c>
    </row>
    <row r="477" ht="15.75" customHeight="1" spans="1:1">
      <c r="A477" t="s">
        <v>3525</v>
      </c>
    </row>
    <row r="478" ht="15.75" customHeight="1" spans="1:1">
      <c r="A478" t="s">
        <v>3526</v>
      </c>
    </row>
    <row r="479" ht="15.75" customHeight="1" spans="1:1">
      <c r="A479" t="s">
        <v>3527</v>
      </c>
    </row>
    <row r="480" ht="15.75" customHeight="1" spans="1:1">
      <c r="A480" t="s">
        <v>3528</v>
      </c>
    </row>
    <row r="481" ht="15.75" customHeight="1" spans="1:1">
      <c r="A481" t="s">
        <v>3529</v>
      </c>
    </row>
    <row r="482" ht="15.75" customHeight="1" spans="1:1">
      <c r="A482" t="s">
        <v>3530</v>
      </c>
    </row>
    <row r="483" ht="15.75" customHeight="1" spans="1:1">
      <c r="A483" t="s">
        <v>3531</v>
      </c>
    </row>
    <row r="484" ht="15.75" customHeight="1" spans="1:1">
      <c r="A484" t="s">
        <v>3532</v>
      </c>
    </row>
    <row r="485" ht="15.75" customHeight="1" spans="1:1">
      <c r="A485" t="s">
        <v>3533</v>
      </c>
    </row>
    <row r="486" ht="15.75" customHeight="1" spans="1:1">
      <c r="A486" t="s">
        <v>3534</v>
      </c>
    </row>
    <row r="487" ht="15.75" customHeight="1" spans="1:1">
      <c r="A487" t="s">
        <v>3535</v>
      </c>
    </row>
    <row r="488" ht="15.75" customHeight="1" spans="1:1">
      <c r="A488" t="s">
        <v>3536</v>
      </c>
    </row>
    <row r="489" ht="15.75" customHeight="1" spans="1:1">
      <c r="A489" t="s">
        <v>3537</v>
      </c>
    </row>
    <row r="490" ht="15.75" customHeight="1" spans="1:1">
      <c r="A490" t="s">
        <v>3538</v>
      </c>
    </row>
    <row r="491" ht="15.75" customHeight="1" spans="1:1">
      <c r="A491" t="s">
        <v>3539</v>
      </c>
    </row>
    <row r="492" ht="15.75" customHeight="1" spans="1:1">
      <c r="A492" t="s">
        <v>3540</v>
      </c>
    </row>
    <row r="493" ht="15.75" customHeight="1" spans="1:1">
      <c r="A493" t="s">
        <v>3541</v>
      </c>
    </row>
    <row r="494" ht="15.75" customHeight="1" spans="1:1">
      <c r="A494" t="s">
        <v>3542</v>
      </c>
    </row>
    <row r="495" ht="15.75" customHeight="1" spans="1:1">
      <c r="A495" t="s">
        <v>3543</v>
      </c>
    </row>
    <row r="496" ht="15.75" customHeight="1" spans="1:1">
      <c r="A496" t="s">
        <v>3544</v>
      </c>
    </row>
    <row r="497" ht="15.75" customHeight="1" spans="1:1">
      <c r="A497" t="s">
        <v>3545</v>
      </c>
    </row>
    <row r="498" ht="15.75" customHeight="1" spans="1:1">
      <c r="A498" t="s">
        <v>3546</v>
      </c>
    </row>
    <row r="499" ht="15.75" customHeight="1" spans="1:1">
      <c r="A499" t="s">
        <v>3547</v>
      </c>
    </row>
    <row r="500" ht="15.75" customHeight="1" spans="1:1">
      <c r="A500" t="s">
        <v>3548</v>
      </c>
    </row>
    <row r="501" ht="15.75" customHeight="1" spans="1:1">
      <c r="A501" t="s">
        <v>3549</v>
      </c>
    </row>
    <row r="502" ht="15.75" customHeight="1" spans="1:1">
      <c r="A502" t="s">
        <v>3550</v>
      </c>
    </row>
    <row r="503" ht="15.75" customHeight="1" spans="1:1">
      <c r="A503" t="s">
        <v>3551</v>
      </c>
    </row>
    <row r="504" ht="15.75" customHeight="1" spans="1:1">
      <c r="A504" t="s">
        <v>3552</v>
      </c>
    </row>
    <row r="505" ht="15.75" customHeight="1" spans="1:1">
      <c r="A505" t="s">
        <v>3553</v>
      </c>
    </row>
    <row r="506" ht="15.75" customHeight="1" spans="1:1">
      <c r="A506" t="s">
        <v>3554</v>
      </c>
    </row>
    <row r="507" ht="15.75" customHeight="1" spans="1:1">
      <c r="A507" t="s">
        <v>3555</v>
      </c>
    </row>
    <row r="508" ht="15.75" customHeight="1" spans="1:1">
      <c r="A508" t="s">
        <v>3556</v>
      </c>
    </row>
    <row r="509" ht="15.75" customHeight="1" spans="1:1">
      <c r="A509" t="s">
        <v>3557</v>
      </c>
    </row>
    <row r="510" ht="15.75" customHeight="1" spans="1:1">
      <c r="A510" t="s">
        <v>3558</v>
      </c>
    </row>
    <row r="511" ht="15.75" customHeight="1" spans="1:1">
      <c r="A511" t="s">
        <v>3559</v>
      </c>
    </row>
    <row r="512" ht="15.75" customHeight="1" spans="1:1">
      <c r="A512" t="s">
        <v>3560</v>
      </c>
    </row>
    <row r="513" ht="15.75" customHeight="1" spans="1:1">
      <c r="A513" t="s">
        <v>3561</v>
      </c>
    </row>
    <row r="514" ht="15.75" customHeight="1" spans="1:1">
      <c r="A514" t="s">
        <v>3562</v>
      </c>
    </row>
    <row r="515" ht="15.75" customHeight="1" spans="1:1">
      <c r="A515" t="s">
        <v>3563</v>
      </c>
    </row>
    <row r="516" ht="15.75" customHeight="1" spans="1:1">
      <c r="A516" t="s">
        <v>3564</v>
      </c>
    </row>
    <row r="517" ht="15.75" customHeight="1" spans="1:1">
      <c r="A517" t="s">
        <v>3565</v>
      </c>
    </row>
    <row r="518" ht="15.75" customHeight="1" spans="1:1">
      <c r="A518" t="s">
        <v>3566</v>
      </c>
    </row>
    <row r="519" ht="15.75" customHeight="1" spans="1:1">
      <c r="A519" t="s">
        <v>3567</v>
      </c>
    </row>
    <row r="520" ht="15.75" customHeight="1" spans="1:1">
      <c r="A520" t="s">
        <v>3568</v>
      </c>
    </row>
    <row r="521" ht="15.75" customHeight="1" spans="1:1">
      <c r="A521" t="s">
        <v>3569</v>
      </c>
    </row>
    <row r="522" ht="15.75" customHeight="1" spans="1:1">
      <c r="A522" t="s">
        <v>3570</v>
      </c>
    </row>
    <row r="523" ht="15.75" customHeight="1" spans="1:1">
      <c r="A523" t="s">
        <v>3571</v>
      </c>
    </row>
    <row r="524" ht="15.75" customHeight="1" spans="1:1">
      <c r="A524" t="s">
        <v>3572</v>
      </c>
    </row>
    <row r="525" ht="15.75" customHeight="1" spans="1:1">
      <c r="A525" t="s">
        <v>3573</v>
      </c>
    </row>
    <row r="526" ht="15.75" customHeight="1" spans="1:1">
      <c r="A526" t="s">
        <v>3574</v>
      </c>
    </row>
    <row r="527" ht="15.75" customHeight="1" spans="1:1">
      <c r="A527" t="s">
        <v>3575</v>
      </c>
    </row>
    <row r="528" ht="15.75" customHeight="1" spans="1:1">
      <c r="A528" t="s">
        <v>3576</v>
      </c>
    </row>
    <row r="529" ht="15.75" customHeight="1" spans="1:1">
      <c r="A529" t="s">
        <v>3577</v>
      </c>
    </row>
    <row r="530" ht="15.75" customHeight="1" spans="1:1">
      <c r="A530" t="s">
        <v>3578</v>
      </c>
    </row>
    <row r="531" ht="15.75" customHeight="1" spans="1:1">
      <c r="A531" t="s">
        <v>3579</v>
      </c>
    </row>
    <row r="532" ht="15.75" customHeight="1" spans="1:1">
      <c r="A532" t="s">
        <v>3580</v>
      </c>
    </row>
    <row r="533" ht="15.75" customHeight="1" spans="1:1">
      <c r="A533" t="s">
        <v>3581</v>
      </c>
    </row>
    <row r="534" ht="15.75" customHeight="1" spans="1:1">
      <c r="A534" t="s">
        <v>3582</v>
      </c>
    </row>
    <row r="535" ht="15.75" customHeight="1" spans="1:1">
      <c r="A535" t="s">
        <v>3583</v>
      </c>
    </row>
    <row r="536" ht="15.75" customHeight="1" spans="1:1">
      <c r="A536" t="s">
        <v>3584</v>
      </c>
    </row>
    <row r="537" ht="15.75" customHeight="1" spans="1:1">
      <c r="A537" t="s">
        <v>3585</v>
      </c>
    </row>
    <row r="538" ht="15.75" customHeight="1" spans="1:1">
      <c r="A538" t="s">
        <v>3586</v>
      </c>
    </row>
    <row r="539" ht="15.75" customHeight="1" spans="1:1">
      <c r="A539" t="s">
        <v>3587</v>
      </c>
    </row>
    <row r="540" ht="15.75" customHeight="1" spans="1:1">
      <c r="A540" t="s">
        <v>3588</v>
      </c>
    </row>
    <row r="541" ht="15.75" customHeight="1" spans="1:1">
      <c r="A541" t="s">
        <v>3589</v>
      </c>
    </row>
    <row r="542" ht="15.75" customHeight="1" spans="1:1">
      <c r="A542" t="s">
        <v>3590</v>
      </c>
    </row>
    <row r="543" ht="15.75" customHeight="1" spans="1:1">
      <c r="A543" t="s">
        <v>3591</v>
      </c>
    </row>
    <row r="544" ht="15.75" customHeight="1" spans="1:1">
      <c r="A544" t="s">
        <v>3592</v>
      </c>
    </row>
    <row r="545" ht="15.75" customHeight="1" spans="1:1">
      <c r="A545" t="s">
        <v>3593</v>
      </c>
    </row>
    <row r="546" ht="15.75" customHeight="1" spans="1:1">
      <c r="A546" t="s">
        <v>3594</v>
      </c>
    </row>
    <row r="547" ht="15.75" customHeight="1" spans="1:1">
      <c r="A547" t="s">
        <v>3595</v>
      </c>
    </row>
    <row r="548" ht="15.75" customHeight="1" spans="1:1">
      <c r="A548" t="s">
        <v>3596</v>
      </c>
    </row>
    <row r="549" ht="15.75" customHeight="1" spans="1:1">
      <c r="A549" t="s">
        <v>3597</v>
      </c>
    </row>
    <row r="550" ht="15.75" customHeight="1" spans="1:1">
      <c r="A550" t="s">
        <v>3598</v>
      </c>
    </row>
    <row r="551" ht="15.75" customHeight="1" spans="1:1">
      <c r="A551" t="s">
        <v>3599</v>
      </c>
    </row>
    <row r="552" ht="15.75" customHeight="1" spans="1:1">
      <c r="A552" t="s">
        <v>3600</v>
      </c>
    </row>
    <row r="553" ht="15.75" customHeight="1" spans="1:1">
      <c r="A553" t="s">
        <v>3601</v>
      </c>
    </row>
    <row r="554" ht="15.75" customHeight="1" spans="1:1">
      <c r="A554" t="s">
        <v>3602</v>
      </c>
    </row>
    <row r="555" ht="15.75" customHeight="1" spans="1:1">
      <c r="A555" t="s">
        <v>3603</v>
      </c>
    </row>
    <row r="556" ht="15.75" customHeight="1" spans="1:1">
      <c r="A556" t="s">
        <v>3604</v>
      </c>
    </row>
    <row r="557" ht="15.75" customHeight="1" spans="1:1">
      <c r="A557" t="s">
        <v>3605</v>
      </c>
    </row>
    <row r="558" ht="15.75" customHeight="1" spans="1:1">
      <c r="A558" t="s">
        <v>3606</v>
      </c>
    </row>
    <row r="559" ht="15.75" customHeight="1" spans="1:1">
      <c r="A559" t="s">
        <v>3607</v>
      </c>
    </row>
    <row r="560" ht="15.75" customHeight="1" spans="1:1">
      <c r="A560" t="s">
        <v>3608</v>
      </c>
    </row>
    <row r="561" ht="15.75" customHeight="1" spans="1:1">
      <c r="A561" t="s">
        <v>3609</v>
      </c>
    </row>
    <row r="562" ht="15.75" customHeight="1" spans="1:1">
      <c r="A562" t="s">
        <v>3610</v>
      </c>
    </row>
    <row r="563" ht="15.75" customHeight="1" spans="1:1">
      <c r="A563" t="s">
        <v>3611</v>
      </c>
    </row>
    <row r="564" ht="15.75" customHeight="1" spans="1:1">
      <c r="A564" t="s">
        <v>3612</v>
      </c>
    </row>
    <row r="565" ht="15.75" customHeight="1" spans="1:1">
      <c r="A565" t="s">
        <v>3613</v>
      </c>
    </row>
    <row r="566" ht="15.75" customHeight="1" spans="1:1">
      <c r="A566" t="s">
        <v>3614</v>
      </c>
    </row>
    <row r="567" ht="15.75" customHeight="1" spans="1:1">
      <c r="A567" t="s">
        <v>3615</v>
      </c>
    </row>
    <row r="568" ht="15.75" customHeight="1" spans="1:1">
      <c r="A568" t="s">
        <v>3616</v>
      </c>
    </row>
    <row r="569" ht="15.75" customHeight="1" spans="1:1">
      <c r="A569" t="s">
        <v>3617</v>
      </c>
    </row>
    <row r="570" ht="15.75" customHeight="1" spans="1:1">
      <c r="A570" t="s">
        <v>3618</v>
      </c>
    </row>
    <row r="571" ht="15.75" customHeight="1" spans="1:1">
      <c r="A571" t="s">
        <v>3619</v>
      </c>
    </row>
    <row r="572" ht="15.75" customHeight="1" spans="1:1">
      <c r="A572" t="s">
        <v>3620</v>
      </c>
    </row>
    <row r="573" ht="15.75" customHeight="1" spans="1:1">
      <c r="A573" t="s">
        <v>3621</v>
      </c>
    </row>
    <row r="574" ht="15.75" customHeight="1" spans="1:1">
      <c r="A574" t="s">
        <v>3622</v>
      </c>
    </row>
    <row r="575" ht="15.75" customHeight="1" spans="1:1">
      <c r="A575" t="s">
        <v>3623</v>
      </c>
    </row>
    <row r="576" ht="15.75" customHeight="1" spans="1:1">
      <c r="A576" t="s">
        <v>3624</v>
      </c>
    </row>
    <row r="577" ht="15.75" customHeight="1" spans="1:1">
      <c r="A577" t="s">
        <v>3625</v>
      </c>
    </row>
    <row r="578" ht="15.75" customHeight="1" spans="1:1">
      <c r="A578" t="s">
        <v>3626</v>
      </c>
    </row>
    <row r="579" ht="15.75" customHeight="1" spans="1:1">
      <c r="A579" t="s">
        <v>3627</v>
      </c>
    </row>
    <row r="580" ht="15.75" customHeight="1" spans="1:1">
      <c r="A580" t="s">
        <v>3628</v>
      </c>
    </row>
    <row r="581" ht="15.75" customHeight="1" spans="1:1">
      <c r="A581" t="s">
        <v>3629</v>
      </c>
    </row>
    <row r="582" ht="15.75" customHeight="1" spans="1:1">
      <c r="A582" t="s">
        <v>3630</v>
      </c>
    </row>
    <row r="583" ht="15.75" customHeight="1" spans="1:1">
      <c r="A583" t="s">
        <v>3631</v>
      </c>
    </row>
    <row r="584" ht="15.75" customHeight="1" spans="1:1">
      <c r="A584" t="s">
        <v>3632</v>
      </c>
    </row>
    <row r="585" ht="15.75" customHeight="1" spans="1:1">
      <c r="A585" t="s">
        <v>3633</v>
      </c>
    </row>
    <row r="586" ht="15.75" customHeight="1" spans="1:1">
      <c r="A586" t="s">
        <v>3634</v>
      </c>
    </row>
    <row r="587" ht="15.75" customHeight="1" spans="1:1">
      <c r="A587" t="s">
        <v>3635</v>
      </c>
    </row>
    <row r="588" ht="15.75" customHeight="1" spans="1:1">
      <c r="A588" t="s">
        <v>3636</v>
      </c>
    </row>
    <row r="589" ht="15.75" customHeight="1" spans="1:1">
      <c r="A589" t="s">
        <v>3637</v>
      </c>
    </row>
    <row r="590" ht="15.75" customHeight="1" spans="1:1">
      <c r="A590" t="s">
        <v>3638</v>
      </c>
    </row>
    <row r="591" ht="15.75" customHeight="1" spans="1:1">
      <c r="A591" t="s">
        <v>3639</v>
      </c>
    </row>
    <row r="592" ht="15.75" customHeight="1" spans="1:1">
      <c r="A592" t="s">
        <v>3640</v>
      </c>
    </row>
    <row r="593" ht="15.75" customHeight="1" spans="1:1">
      <c r="A593" t="s">
        <v>3641</v>
      </c>
    </row>
    <row r="594" ht="15.75" customHeight="1" spans="1:1">
      <c r="A594" t="s">
        <v>3642</v>
      </c>
    </row>
    <row r="595" ht="15.75" customHeight="1" spans="1:1">
      <c r="A595" t="s">
        <v>3643</v>
      </c>
    </row>
    <row r="596" ht="15.75" customHeight="1" spans="1:1">
      <c r="A596" t="s">
        <v>3644</v>
      </c>
    </row>
    <row r="597" ht="15.75" customHeight="1" spans="1:1">
      <c r="A597" t="s">
        <v>3645</v>
      </c>
    </row>
    <row r="598" ht="15.75" customHeight="1" spans="1:1">
      <c r="A598" t="s">
        <v>3646</v>
      </c>
    </row>
    <row r="599" ht="15.75" customHeight="1" spans="1:1">
      <c r="A599" t="s">
        <v>3647</v>
      </c>
    </row>
    <row r="600" ht="15.75" customHeight="1" spans="1:1">
      <c r="A600" t="s">
        <v>3648</v>
      </c>
    </row>
    <row r="601" ht="15.75" customHeight="1" spans="1:1">
      <c r="A601" t="s">
        <v>3649</v>
      </c>
    </row>
    <row r="602" ht="15.75" customHeight="1" spans="1:1">
      <c r="A602" t="s">
        <v>3650</v>
      </c>
    </row>
    <row r="603" ht="15.75" customHeight="1" spans="1:1">
      <c r="A603" t="s">
        <v>3651</v>
      </c>
    </row>
    <row r="604" ht="15.75" customHeight="1" spans="1:1">
      <c r="A604" t="s">
        <v>3652</v>
      </c>
    </row>
    <row r="605" ht="15.75" customHeight="1" spans="1:1">
      <c r="A605" t="s">
        <v>3653</v>
      </c>
    </row>
    <row r="606" ht="15.75" customHeight="1" spans="1:1">
      <c r="A606" t="s">
        <v>3654</v>
      </c>
    </row>
    <row r="607" ht="15.75" customHeight="1" spans="1:1">
      <c r="A607" t="s">
        <v>3655</v>
      </c>
    </row>
    <row r="608" ht="15.75" customHeight="1" spans="1:1">
      <c r="A608" t="s">
        <v>3656</v>
      </c>
    </row>
    <row r="609" ht="15.75" customHeight="1" spans="1:1">
      <c r="A609" t="s">
        <v>3657</v>
      </c>
    </row>
    <row r="610" ht="15.75" customHeight="1" spans="1:1">
      <c r="A610" t="s">
        <v>3658</v>
      </c>
    </row>
    <row r="611" ht="15.75" customHeight="1" spans="1:1">
      <c r="A611" t="s">
        <v>3659</v>
      </c>
    </row>
    <row r="612" ht="15.75" customHeight="1" spans="1:1">
      <c r="A612" t="s">
        <v>3660</v>
      </c>
    </row>
    <row r="613" ht="15.75" customHeight="1" spans="1:1">
      <c r="A613" t="s">
        <v>3661</v>
      </c>
    </row>
    <row r="614" ht="15.75" customHeight="1" spans="1:1">
      <c r="A614" t="s">
        <v>3662</v>
      </c>
    </row>
    <row r="615" ht="15.75" customHeight="1" spans="1:1">
      <c r="A615" t="s">
        <v>3663</v>
      </c>
    </row>
    <row r="616" ht="15.75" customHeight="1" spans="1:1">
      <c r="A616" t="s">
        <v>3664</v>
      </c>
    </row>
    <row r="617" ht="15.75" customHeight="1" spans="1:1">
      <c r="A617" t="s">
        <v>3665</v>
      </c>
    </row>
    <row r="618" ht="15.75" customHeight="1" spans="1:1">
      <c r="A618" t="s">
        <v>3666</v>
      </c>
    </row>
    <row r="619" ht="15.75" customHeight="1" spans="1:1">
      <c r="A619" t="s">
        <v>3667</v>
      </c>
    </row>
    <row r="620" ht="15.75" customHeight="1" spans="1:1">
      <c r="A620" t="s">
        <v>3668</v>
      </c>
    </row>
    <row r="621" ht="15.75" customHeight="1" spans="1:1">
      <c r="A621" t="s">
        <v>3669</v>
      </c>
    </row>
    <row r="622" ht="15.75" customHeight="1" spans="1:1">
      <c r="A622" t="s">
        <v>3670</v>
      </c>
    </row>
    <row r="623" ht="15.75" customHeight="1" spans="1:1">
      <c r="A623" t="s">
        <v>3671</v>
      </c>
    </row>
    <row r="624" ht="15.75" customHeight="1" spans="1:1">
      <c r="A624" t="s">
        <v>3672</v>
      </c>
    </row>
    <row r="625" ht="15.75" customHeight="1" spans="1:1">
      <c r="A625" t="s">
        <v>3673</v>
      </c>
    </row>
    <row r="626" ht="15.75" customHeight="1" spans="1:1">
      <c r="A626" t="s">
        <v>3674</v>
      </c>
    </row>
    <row r="627" ht="15.75" customHeight="1" spans="1:1">
      <c r="A627" t="s">
        <v>3675</v>
      </c>
    </row>
    <row r="628" ht="15.75" customHeight="1" spans="1:1">
      <c r="A628" t="s">
        <v>3676</v>
      </c>
    </row>
    <row r="629" ht="15.75" customHeight="1" spans="1:1">
      <c r="A629" t="s">
        <v>3677</v>
      </c>
    </row>
    <row r="630" ht="15.75" customHeight="1" spans="1:1">
      <c r="A630" t="s">
        <v>3678</v>
      </c>
    </row>
    <row r="631" ht="15.75" customHeight="1" spans="1:1">
      <c r="A631" t="s">
        <v>3679</v>
      </c>
    </row>
    <row r="632" ht="15.75" customHeight="1" spans="1:1">
      <c r="A632" t="s">
        <v>3680</v>
      </c>
    </row>
    <row r="633" ht="15.75" customHeight="1" spans="1:1">
      <c r="A633" t="s">
        <v>3681</v>
      </c>
    </row>
    <row r="634" ht="15.75" customHeight="1" spans="1:1">
      <c r="A634" t="s">
        <v>3682</v>
      </c>
    </row>
    <row r="635" ht="15.75" customHeight="1" spans="1:1">
      <c r="A635" t="s">
        <v>3683</v>
      </c>
    </row>
    <row r="636" ht="15.75" customHeight="1" spans="1:1">
      <c r="A636" t="s">
        <v>3684</v>
      </c>
    </row>
    <row r="637" ht="15.75" customHeight="1" spans="1:1">
      <c r="A637" t="s">
        <v>3685</v>
      </c>
    </row>
    <row r="638" ht="15.75" customHeight="1" spans="1:1">
      <c r="A638" t="s">
        <v>3686</v>
      </c>
    </row>
    <row r="639" ht="15.75" customHeight="1" spans="1:1">
      <c r="A639" t="s">
        <v>3687</v>
      </c>
    </row>
    <row r="640" ht="15.75" customHeight="1" spans="1:1">
      <c r="A640" t="s">
        <v>3688</v>
      </c>
    </row>
    <row r="641" ht="15.75" customHeight="1" spans="1:1">
      <c r="A641" t="s">
        <v>3689</v>
      </c>
    </row>
    <row r="642" ht="15.75" customHeight="1" spans="1:1">
      <c r="A642" t="s">
        <v>3690</v>
      </c>
    </row>
    <row r="643" ht="15.75" customHeight="1" spans="1:1">
      <c r="A643" t="s">
        <v>3691</v>
      </c>
    </row>
    <row r="644" ht="15.75" customHeight="1" spans="1:1">
      <c r="A644" t="s">
        <v>3692</v>
      </c>
    </row>
    <row r="645" ht="15.75" customHeight="1" spans="1:1">
      <c r="A645" t="s">
        <v>3693</v>
      </c>
    </row>
    <row r="646" ht="15.75" customHeight="1" spans="1:1">
      <c r="A646" t="s">
        <v>3694</v>
      </c>
    </row>
    <row r="647" ht="15.75" customHeight="1" spans="1:1">
      <c r="A647" t="s">
        <v>3695</v>
      </c>
    </row>
    <row r="648" ht="15.75" customHeight="1" spans="1:1">
      <c r="A648" t="s">
        <v>3696</v>
      </c>
    </row>
    <row r="649" ht="15.75" customHeight="1" spans="1:1">
      <c r="A649" t="s">
        <v>3697</v>
      </c>
    </row>
    <row r="650" ht="15.75" customHeight="1" spans="1:1">
      <c r="A650" t="s">
        <v>3698</v>
      </c>
    </row>
    <row r="651" ht="15.75" customHeight="1" spans="1:1">
      <c r="A651" t="s">
        <v>3699</v>
      </c>
    </row>
    <row r="652" ht="15.75" customHeight="1" spans="1:1">
      <c r="A652" t="s">
        <v>3700</v>
      </c>
    </row>
    <row r="653" ht="15.75" customHeight="1" spans="1:1">
      <c r="A653" t="s">
        <v>3701</v>
      </c>
    </row>
    <row r="654" ht="15.75" customHeight="1" spans="1:1">
      <c r="A654" t="s">
        <v>3702</v>
      </c>
    </row>
    <row r="655" ht="15.75" customHeight="1" spans="1:1">
      <c r="A655" t="s">
        <v>3703</v>
      </c>
    </row>
    <row r="656" ht="15.75" customHeight="1" spans="1:1">
      <c r="A656" t="s">
        <v>3704</v>
      </c>
    </row>
    <row r="657" ht="15.75" customHeight="1" spans="1:1">
      <c r="A657" t="s">
        <v>3705</v>
      </c>
    </row>
    <row r="658" ht="15.75" customHeight="1" spans="1:1">
      <c r="A658" t="s">
        <v>3706</v>
      </c>
    </row>
    <row r="659" ht="15.75" customHeight="1" spans="1:1">
      <c r="A659" t="s">
        <v>3707</v>
      </c>
    </row>
    <row r="660" ht="15.75" customHeight="1" spans="1:1">
      <c r="A660" t="s">
        <v>3708</v>
      </c>
    </row>
    <row r="661" ht="15.75" customHeight="1" spans="1:1">
      <c r="A661" t="s">
        <v>3709</v>
      </c>
    </row>
    <row r="662" ht="15.75" customHeight="1" spans="1:1">
      <c r="A662" t="s">
        <v>3710</v>
      </c>
    </row>
    <row r="663" ht="15.75" customHeight="1" spans="1:1">
      <c r="A663" t="s">
        <v>3711</v>
      </c>
    </row>
    <row r="664" ht="15.75" customHeight="1" spans="1:1">
      <c r="A664" t="s">
        <v>3712</v>
      </c>
    </row>
    <row r="665" ht="15.75" customHeight="1" spans="1:1">
      <c r="A665" t="s">
        <v>3713</v>
      </c>
    </row>
    <row r="666" ht="15.75" customHeight="1" spans="1:1">
      <c r="A666" t="s">
        <v>3714</v>
      </c>
    </row>
    <row r="667" ht="15.75" customHeight="1" spans="1:1">
      <c r="A667" t="s">
        <v>3715</v>
      </c>
    </row>
    <row r="668" ht="15.75" customHeight="1" spans="1:1">
      <c r="A668" t="s">
        <v>3716</v>
      </c>
    </row>
    <row r="669" ht="15.75" customHeight="1" spans="1:1">
      <c r="A669" t="s">
        <v>3717</v>
      </c>
    </row>
    <row r="670" ht="15.75" customHeight="1" spans="1:1">
      <c r="A670" t="s">
        <v>3718</v>
      </c>
    </row>
    <row r="671" ht="15.75" customHeight="1" spans="1:1">
      <c r="A671" t="s">
        <v>3719</v>
      </c>
    </row>
    <row r="672" ht="15.75" customHeight="1" spans="1:1">
      <c r="A672" t="s">
        <v>3720</v>
      </c>
    </row>
    <row r="673" ht="15.75" customHeight="1" spans="1:1">
      <c r="A673" t="s">
        <v>3721</v>
      </c>
    </row>
    <row r="674" ht="15.75" customHeight="1" spans="1:1">
      <c r="A674" t="s">
        <v>3722</v>
      </c>
    </row>
    <row r="675" ht="15.75" customHeight="1" spans="1:1">
      <c r="A675" t="s">
        <v>3723</v>
      </c>
    </row>
    <row r="676" ht="15.75" customHeight="1" spans="1:1">
      <c r="A676" t="s">
        <v>3724</v>
      </c>
    </row>
    <row r="677" ht="15.75" customHeight="1" spans="1:1">
      <c r="A677" t="s">
        <v>3725</v>
      </c>
    </row>
    <row r="678" ht="15.75" customHeight="1" spans="1:1">
      <c r="A678" t="s">
        <v>3726</v>
      </c>
    </row>
    <row r="679" ht="15.75" customHeight="1" spans="1:1">
      <c r="A679" t="s">
        <v>3727</v>
      </c>
    </row>
    <row r="680" ht="15.75" customHeight="1" spans="1:1">
      <c r="A680" t="s">
        <v>3728</v>
      </c>
    </row>
    <row r="681" ht="15.75" customHeight="1" spans="1:1">
      <c r="A681" t="s">
        <v>3729</v>
      </c>
    </row>
    <row r="682" ht="15.75" customHeight="1" spans="1:1">
      <c r="A682" t="s">
        <v>3730</v>
      </c>
    </row>
    <row r="683" ht="15.75" customHeight="1" spans="1:1">
      <c r="A683" t="s">
        <v>3731</v>
      </c>
    </row>
    <row r="684" ht="15.75" customHeight="1" spans="1:1">
      <c r="A684" t="s">
        <v>3732</v>
      </c>
    </row>
    <row r="685" ht="15.75" customHeight="1" spans="1:1">
      <c r="A685" t="s">
        <v>3733</v>
      </c>
    </row>
    <row r="686" ht="15.75" customHeight="1" spans="1:1">
      <c r="A686" t="s">
        <v>3734</v>
      </c>
    </row>
    <row r="687" ht="15.75" customHeight="1" spans="1:1">
      <c r="A687" t="s">
        <v>3735</v>
      </c>
    </row>
    <row r="688" ht="15.75" customHeight="1" spans="1:1">
      <c r="A688" t="s">
        <v>3736</v>
      </c>
    </row>
    <row r="689" ht="15.75" customHeight="1" spans="1:1">
      <c r="A689" t="s">
        <v>3737</v>
      </c>
    </row>
    <row r="690" ht="15.75" customHeight="1" spans="1:1">
      <c r="A690" t="s">
        <v>3738</v>
      </c>
    </row>
    <row r="691" ht="15.75" customHeight="1" spans="1:1">
      <c r="A691" t="s">
        <v>3739</v>
      </c>
    </row>
    <row r="692" ht="15.75" customHeight="1" spans="1:1">
      <c r="A692" t="s">
        <v>3740</v>
      </c>
    </row>
    <row r="693" ht="15.75" customHeight="1" spans="1:1">
      <c r="A693" t="s">
        <v>3741</v>
      </c>
    </row>
    <row r="694" ht="15.75" customHeight="1" spans="1:1">
      <c r="A694" t="s">
        <v>3742</v>
      </c>
    </row>
    <row r="695" ht="15.75" customHeight="1" spans="1:1">
      <c r="A695" t="s">
        <v>3743</v>
      </c>
    </row>
    <row r="696" ht="15.75" customHeight="1" spans="1:1">
      <c r="A696" t="s">
        <v>3744</v>
      </c>
    </row>
    <row r="697" ht="15.75" customHeight="1" spans="1:1">
      <c r="A697" t="s">
        <v>3745</v>
      </c>
    </row>
    <row r="698" ht="15.75" customHeight="1" spans="1:1">
      <c r="A698" t="s">
        <v>3746</v>
      </c>
    </row>
    <row r="699" ht="15.75" customHeight="1" spans="1:1">
      <c r="A699" t="s">
        <v>3747</v>
      </c>
    </row>
    <row r="700" ht="15.75" customHeight="1" spans="1:1">
      <c r="A700" t="s">
        <v>3748</v>
      </c>
    </row>
    <row r="701" ht="15.75" customHeight="1" spans="1:1">
      <c r="A701" t="s">
        <v>3749</v>
      </c>
    </row>
    <row r="702" ht="15.75" customHeight="1" spans="1:1">
      <c r="A702" t="s">
        <v>3750</v>
      </c>
    </row>
    <row r="703" ht="15.75" customHeight="1" spans="1:1">
      <c r="A703" t="s">
        <v>3751</v>
      </c>
    </row>
    <row r="704" ht="15.75" customHeight="1" spans="1:1">
      <c r="A704" t="s">
        <v>3752</v>
      </c>
    </row>
    <row r="705" ht="15.75" customHeight="1" spans="1:1">
      <c r="A705" t="s">
        <v>3753</v>
      </c>
    </row>
    <row r="706" ht="15.75" customHeight="1" spans="1:1">
      <c r="A706" t="s">
        <v>3754</v>
      </c>
    </row>
    <row r="707" ht="15.75" customHeight="1" spans="1:1">
      <c r="A707" t="s">
        <v>3755</v>
      </c>
    </row>
    <row r="708" ht="15.75" customHeight="1" spans="1:1">
      <c r="A708" t="s">
        <v>3756</v>
      </c>
    </row>
    <row r="709" ht="15.75" customHeight="1" spans="1:1">
      <c r="A709" t="s">
        <v>3757</v>
      </c>
    </row>
    <row r="710" ht="15.75" customHeight="1" spans="1:1">
      <c r="A710" t="s">
        <v>3758</v>
      </c>
    </row>
    <row r="711" ht="15.75" customHeight="1" spans="1:1">
      <c r="A711" t="s">
        <v>3759</v>
      </c>
    </row>
    <row r="712" ht="15.75" customHeight="1" spans="1:1">
      <c r="A712" t="s">
        <v>3760</v>
      </c>
    </row>
    <row r="713" ht="15.75" customHeight="1" spans="1:1">
      <c r="A713" t="s">
        <v>3761</v>
      </c>
    </row>
    <row r="714" ht="15.75" customHeight="1" spans="1:1">
      <c r="A714" t="s">
        <v>3762</v>
      </c>
    </row>
    <row r="715" ht="15.75" customHeight="1" spans="1:1">
      <c r="A715" t="s">
        <v>3763</v>
      </c>
    </row>
    <row r="716" ht="15.75" customHeight="1" spans="1:1">
      <c r="A716" t="s">
        <v>3764</v>
      </c>
    </row>
    <row r="717" ht="15.75" customHeight="1" spans="1:1">
      <c r="A717" t="s">
        <v>3765</v>
      </c>
    </row>
    <row r="718" ht="15.75" customHeight="1" spans="1:1">
      <c r="A718" t="s">
        <v>3766</v>
      </c>
    </row>
    <row r="719" ht="15.75" customHeight="1" spans="1:1">
      <c r="A719" t="s">
        <v>3767</v>
      </c>
    </row>
    <row r="720" ht="15.75" customHeight="1" spans="1:1">
      <c r="A720" t="s">
        <v>3768</v>
      </c>
    </row>
    <row r="721" ht="15.75" customHeight="1" spans="1:1">
      <c r="A721" t="s">
        <v>3769</v>
      </c>
    </row>
    <row r="722" ht="15.75" customHeight="1" spans="1:1">
      <c r="A722" t="s">
        <v>3770</v>
      </c>
    </row>
    <row r="723" ht="15.75" customHeight="1" spans="1:1">
      <c r="A723" t="s">
        <v>3771</v>
      </c>
    </row>
    <row r="724" ht="15.75" customHeight="1" spans="1:1">
      <c r="A724" t="s">
        <v>3772</v>
      </c>
    </row>
    <row r="725" ht="15.75" customHeight="1" spans="1:1">
      <c r="A725" t="s">
        <v>3773</v>
      </c>
    </row>
    <row r="726" ht="15.75" customHeight="1" spans="1:1">
      <c r="A726" t="s">
        <v>3774</v>
      </c>
    </row>
    <row r="727" ht="15.75" customHeight="1" spans="1:1">
      <c r="A727" t="s">
        <v>3775</v>
      </c>
    </row>
    <row r="728" ht="15.75" customHeight="1" spans="1:1">
      <c r="A728" t="s">
        <v>3776</v>
      </c>
    </row>
    <row r="729" ht="15.75" customHeight="1" spans="1:1">
      <c r="A729" t="s">
        <v>3777</v>
      </c>
    </row>
    <row r="730" ht="15.75" customHeight="1" spans="1:1">
      <c r="A730" t="s">
        <v>3778</v>
      </c>
    </row>
    <row r="731" ht="15.75" customHeight="1" spans="1:1">
      <c r="A731" t="s">
        <v>3779</v>
      </c>
    </row>
    <row r="732" ht="15.75" customHeight="1" spans="1:1">
      <c r="A732" t="s">
        <v>3780</v>
      </c>
    </row>
    <row r="733" ht="15.75" customHeight="1" spans="1:1">
      <c r="A733" t="s">
        <v>3781</v>
      </c>
    </row>
    <row r="734" ht="15.75" customHeight="1" spans="1:1">
      <c r="A734" t="s">
        <v>3782</v>
      </c>
    </row>
    <row r="735" ht="15.75" customHeight="1" spans="1:1">
      <c r="A735" t="s">
        <v>3783</v>
      </c>
    </row>
    <row r="736" ht="15.75" customHeight="1" spans="1:1">
      <c r="A736" t="s">
        <v>3784</v>
      </c>
    </row>
    <row r="737" ht="15.75" customHeight="1" spans="1:1">
      <c r="A737" t="s">
        <v>3785</v>
      </c>
    </row>
    <row r="738" ht="15.75" customHeight="1" spans="1:1">
      <c r="A738" t="s">
        <v>3786</v>
      </c>
    </row>
    <row r="739" ht="15.75" customHeight="1" spans="1:1">
      <c r="A739" t="s">
        <v>3787</v>
      </c>
    </row>
    <row r="740" ht="15.75" customHeight="1" spans="1:1">
      <c r="A740" t="s">
        <v>3788</v>
      </c>
    </row>
    <row r="741" ht="15.75" customHeight="1" spans="1:1">
      <c r="A741" t="s">
        <v>3789</v>
      </c>
    </row>
    <row r="742" ht="15.75" customHeight="1" spans="1:1">
      <c r="A742" t="s">
        <v>3790</v>
      </c>
    </row>
    <row r="743" ht="15.75" customHeight="1" spans="1:1">
      <c r="A743" t="s">
        <v>3791</v>
      </c>
    </row>
    <row r="744" ht="15.75" customHeight="1" spans="1:1">
      <c r="A744" t="s">
        <v>3792</v>
      </c>
    </row>
    <row r="745" ht="15.75" customHeight="1" spans="1:1">
      <c r="A745" t="s">
        <v>3793</v>
      </c>
    </row>
    <row r="746" ht="15.75" customHeight="1" spans="1:1">
      <c r="A746" t="s">
        <v>3794</v>
      </c>
    </row>
    <row r="747" ht="15.75" customHeight="1" spans="1:1">
      <c r="A747" t="s">
        <v>3795</v>
      </c>
    </row>
    <row r="748" ht="15.75" customHeight="1" spans="1:1">
      <c r="A748" t="s">
        <v>3796</v>
      </c>
    </row>
    <row r="749" ht="15.75" customHeight="1" spans="1:1">
      <c r="A749" t="s">
        <v>3797</v>
      </c>
    </row>
    <row r="750" ht="15.75" customHeight="1" spans="1:1">
      <c r="A750" t="s">
        <v>3798</v>
      </c>
    </row>
    <row r="751" ht="15.75" customHeight="1" spans="1:1">
      <c r="A751" t="s">
        <v>3799</v>
      </c>
    </row>
    <row r="752" ht="15.75" customHeight="1" spans="1:1">
      <c r="A752" t="s">
        <v>3800</v>
      </c>
    </row>
    <row r="753" ht="15.75" customHeight="1" spans="1:1">
      <c r="A753" t="s">
        <v>3801</v>
      </c>
    </row>
    <row r="754" ht="15.75" customHeight="1" spans="1:1">
      <c r="A754" t="s">
        <v>3802</v>
      </c>
    </row>
    <row r="755" ht="15.75" customHeight="1" spans="1:1">
      <c r="A755" t="s">
        <v>3803</v>
      </c>
    </row>
    <row r="756" ht="15.75" customHeight="1" spans="1:1">
      <c r="A756" t="s">
        <v>3804</v>
      </c>
    </row>
    <row r="757" ht="15.75" customHeight="1" spans="1:1">
      <c r="A757" t="s">
        <v>3805</v>
      </c>
    </row>
    <row r="758" ht="15.75" customHeight="1" spans="1:1">
      <c r="A758" t="s">
        <v>3806</v>
      </c>
    </row>
    <row r="759" ht="15.75" customHeight="1" spans="1:1">
      <c r="A759" t="s">
        <v>3807</v>
      </c>
    </row>
    <row r="760" ht="15.75" customHeight="1" spans="1:1">
      <c r="A760" t="s">
        <v>3808</v>
      </c>
    </row>
    <row r="761" ht="15.75" customHeight="1" spans="1:1">
      <c r="A761" t="s">
        <v>3809</v>
      </c>
    </row>
    <row r="762" ht="15.75" customHeight="1" spans="1:1">
      <c r="A762" t="s">
        <v>3810</v>
      </c>
    </row>
    <row r="763" ht="15.75" customHeight="1" spans="1:1">
      <c r="A763" t="s">
        <v>3811</v>
      </c>
    </row>
    <row r="764" ht="15.75" customHeight="1" spans="1:1">
      <c r="A764" t="s">
        <v>3812</v>
      </c>
    </row>
    <row r="765" ht="15.75" customHeight="1" spans="1:1">
      <c r="A765" t="s">
        <v>3813</v>
      </c>
    </row>
    <row r="766" ht="15.75" customHeight="1" spans="1:1">
      <c r="A766" t="s">
        <v>3814</v>
      </c>
    </row>
    <row r="767" ht="15.75" customHeight="1" spans="1:1">
      <c r="A767" t="s">
        <v>3815</v>
      </c>
    </row>
    <row r="768" ht="15.75" customHeight="1" spans="1:1">
      <c r="A768" t="s">
        <v>3816</v>
      </c>
    </row>
    <row r="769" ht="15.75" customHeight="1" spans="1:1">
      <c r="A769" t="s">
        <v>3817</v>
      </c>
    </row>
    <row r="770" ht="15.75" customHeight="1" spans="1:1">
      <c r="A770" t="s">
        <v>3818</v>
      </c>
    </row>
    <row r="771" ht="15.75" customHeight="1" spans="1:1">
      <c r="A771" t="s">
        <v>3819</v>
      </c>
    </row>
    <row r="772" ht="15.75" customHeight="1" spans="1:1">
      <c r="A772" t="s">
        <v>3820</v>
      </c>
    </row>
    <row r="773" ht="15.75" customHeight="1" spans="1:1">
      <c r="A773" t="s">
        <v>3821</v>
      </c>
    </row>
    <row r="774" ht="15.75" customHeight="1" spans="1:1">
      <c r="A774" t="s">
        <v>3822</v>
      </c>
    </row>
    <row r="775" ht="15.75" customHeight="1" spans="1:1">
      <c r="A775" t="s">
        <v>3823</v>
      </c>
    </row>
    <row r="776" ht="15.75" customHeight="1" spans="1:1">
      <c r="A776" t="s">
        <v>3824</v>
      </c>
    </row>
    <row r="777" ht="15.75" customHeight="1" spans="1:1">
      <c r="A777" t="s">
        <v>3825</v>
      </c>
    </row>
    <row r="778" ht="15.75" customHeight="1" spans="1:1">
      <c r="A778" t="s">
        <v>3826</v>
      </c>
    </row>
    <row r="779" ht="15.75" customHeight="1" spans="1:1">
      <c r="A779" t="s">
        <v>3827</v>
      </c>
    </row>
    <row r="780" ht="15.75" customHeight="1" spans="1:1">
      <c r="A780" t="s">
        <v>3828</v>
      </c>
    </row>
    <row r="781" ht="15.75" customHeight="1" spans="1:1">
      <c r="A781" t="s">
        <v>3829</v>
      </c>
    </row>
    <row r="782" ht="15.75" customHeight="1" spans="1:1">
      <c r="A782" t="s">
        <v>3830</v>
      </c>
    </row>
    <row r="783" ht="15.75" customHeight="1" spans="1:1">
      <c r="A783" t="s">
        <v>3831</v>
      </c>
    </row>
    <row r="784" ht="15.75" customHeight="1" spans="1:1">
      <c r="A784" t="s">
        <v>3832</v>
      </c>
    </row>
    <row r="785" ht="15.75" customHeight="1" spans="1:1">
      <c r="A785" t="s">
        <v>3833</v>
      </c>
    </row>
    <row r="786" ht="15.75" customHeight="1" spans="1:1">
      <c r="A786" t="s">
        <v>3834</v>
      </c>
    </row>
    <row r="787" ht="15.75" customHeight="1" spans="1:1">
      <c r="A787" t="s">
        <v>3835</v>
      </c>
    </row>
    <row r="788" ht="15.75" customHeight="1" spans="1:1">
      <c r="A788" t="s">
        <v>3836</v>
      </c>
    </row>
    <row r="789" ht="15.75" customHeight="1" spans="1:1">
      <c r="A789" t="s">
        <v>3837</v>
      </c>
    </row>
    <row r="790" ht="15.75" customHeight="1" spans="1:1">
      <c r="A790" t="s">
        <v>3838</v>
      </c>
    </row>
    <row r="791" ht="15.75" customHeight="1" spans="1:1">
      <c r="A791" t="s">
        <v>3839</v>
      </c>
    </row>
    <row r="792" ht="15.75" customHeight="1" spans="1:1">
      <c r="A792" t="s">
        <v>3840</v>
      </c>
    </row>
    <row r="793" ht="15.75" customHeight="1" spans="1:1">
      <c r="A793" t="s">
        <v>3841</v>
      </c>
    </row>
    <row r="794" ht="15.75" customHeight="1" spans="1:1">
      <c r="A794" t="s">
        <v>3842</v>
      </c>
    </row>
    <row r="795" ht="15.75" customHeight="1" spans="1:1">
      <c r="A795" t="s">
        <v>3843</v>
      </c>
    </row>
    <row r="796" ht="15.75" customHeight="1" spans="1:1">
      <c r="A796" t="s">
        <v>3844</v>
      </c>
    </row>
    <row r="797" ht="15.75" customHeight="1" spans="1:1">
      <c r="A797" t="s">
        <v>3845</v>
      </c>
    </row>
    <row r="798" ht="15.75" customHeight="1" spans="1:1">
      <c r="A798" t="s">
        <v>3846</v>
      </c>
    </row>
    <row r="799" ht="15.75" customHeight="1" spans="1:1">
      <c r="A799" t="s">
        <v>3847</v>
      </c>
    </row>
    <row r="800" ht="15.75" customHeight="1" spans="1:1">
      <c r="A800" t="s">
        <v>3848</v>
      </c>
    </row>
    <row r="801" ht="15.75" customHeight="1" spans="1:1">
      <c r="A801" t="s">
        <v>3849</v>
      </c>
    </row>
    <row r="802" ht="15.75" customHeight="1" spans="1:1">
      <c r="A802" t="s">
        <v>3850</v>
      </c>
    </row>
    <row r="803" ht="15.75" customHeight="1" spans="1:1">
      <c r="A803" t="s">
        <v>3851</v>
      </c>
    </row>
    <row r="804" ht="15.75" customHeight="1" spans="1:1">
      <c r="A804" t="s">
        <v>3852</v>
      </c>
    </row>
    <row r="805" ht="15.75" customHeight="1" spans="1:1">
      <c r="A805" t="s">
        <v>3853</v>
      </c>
    </row>
    <row r="806" ht="15.75" customHeight="1" spans="1:1">
      <c r="A806" t="s">
        <v>3854</v>
      </c>
    </row>
    <row r="807" ht="15.75" customHeight="1" spans="1:1">
      <c r="A807" t="s">
        <v>3855</v>
      </c>
    </row>
    <row r="808" ht="15.75" customHeight="1" spans="1:1">
      <c r="A808" t="s">
        <v>3856</v>
      </c>
    </row>
    <row r="809" ht="15.75" customHeight="1" spans="1:1">
      <c r="A809" t="s">
        <v>3857</v>
      </c>
    </row>
    <row r="810" ht="15.75" customHeight="1" spans="1:1">
      <c r="A810" t="s">
        <v>3858</v>
      </c>
    </row>
    <row r="811" ht="15.75" customHeight="1" spans="1:1">
      <c r="A811" t="s">
        <v>3859</v>
      </c>
    </row>
    <row r="812" ht="15.75" customHeight="1" spans="1:1">
      <c r="A812" t="s">
        <v>3860</v>
      </c>
    </row>
    <row r="813" ht="15.75" customHeight="1" spans="1:1">
      <c r="A813" t="s">
        <v>3861</v>
      </c>
    </row>
    <row r="814" ht="15.75" customHeight="1" spans="1:1">
      <c r="A814" t="s">
        <v>3862</v>
      </c>
    </row>
    <row r="815" ht="15.75" customHeight="1" spans="1:1">
      <c r="A815" t="s">
        <v>3863</v>
      </c>
    </row>
    <row r="816" ht="15.75" customHeight="1" spans="1:1">
      <c r="A816" t="s">
        <v>3864</v>
      </c>
    </row>
    <row r="817" ht="15.75" customHeight="1" spans="1:1">
      <c r="A817" t="s">
        <v>3865</v>
      </c>
    </row>
    <row r="818" ht="15.75" customHeight="1" spans="1:1">
      <c r="A818" t="s">
        <v>3866</v>
      </c>
    </row>
    <row r="819" ht="15.75" customHeight="1" spans="1:1">
      <c r="A819" t="s">
        <v>3867</v>
      </c>
    </row>
    <row r="820" ht="15.75" customHeight="1" spans="1:1">
      <c r="A820" t="s">
        <v>3868</v>
      </c>
    </row>
    <row r="821" ht="15.75" customHeight="1" spans="1:1">
      <c r="A821" t="s">
        <v>3869</v>
      </c>
    </row>
    <row r="822" ht="15.75" customHeight="1" spans="1:1">
      <c r="A822" t="s">
        <v>3870</v>
      </c>
    </row>
    <row r="823" ht="15.75" customHeight="1" spans="1:1">
      <c r="A823" t="s">
        <v>3871</v>
      </c>
    </row>
    <row r="824" ht="15.75" customHeight="1" spans="1:1">
      <c r="A824" t="s">
        <v>3872</v>
      </c>
    </row>
    <row r="825" ht="15.75" customHeight="1" spans="1:1">
      <c r="A825" t="s">
        <v>3873</v>
      </c>
    </row>
    <row r="826" ht="15.75" customHeight="1" spans="1:1">
      <c r="A826" t="s">
        <v>3874</v>
      </c>
    </row>
    <row r="827" ht="15.75" customHeight="1" spans="1:1">
      <c r="A827" t="s">
        <v>3875</v>
      </c>
    </row>
    <row r="828" ht="15.75" customHeight="1" spans="1:1">
      <c r="A828" t="s">
        <v>3876</v>
      </c>
    </row>
    <row r="829" ht="15.75" customHeight="1" spans="1:1">
      <c r="A829" t="s">
        <v>3877</v>
      </c>
    </row>
    <row r="830" ht="15.75" customHeight="1" spans="1:1">
      <c r="A830" t="s">
        <v>3878</v>
      </c>
    </row>
    <row r="831" ht="15.75" customHeight="1" spans="1:1">
      <c r="A831" t="s">
        <v>3879</v>
      </c>
    </row>
    <row r="832" ht="15.75" customHeight="1" spans="1:1">
      <c r="A832" t="s">
        <v>3880</v>
      </c>
    </row>
    <row r="833" ht="15.75" customHeight="1" spans="1:1">
      <c r="A833" t="s">
        <v>3881</v>
      </c>
    </row>
    <row r="834" ht="15.75" customHeight="1" spans="1:1">
      <c r="A834" t="s">
        <v>3882</v>
      </c>
    </row>
    <row r="835" ht="15.75" customHeight="1" spans="1:1">
      <c r="A835" t="s">
        <v>3883</v>
      </c>
    </row>
    <row r="836" ht="15.75" customHeight="1" spans="1:1">
      <c r="A836" t="s">
        <v>3884</v>
      </c>
    </row>
    <row r="837" ht="15.75" customHeight="1" spans="1:1">
      <c r="A837" t="s">
        <v>3885</v>
      </c>
    </row>
    <row r="838" ht="15.75" customHeight="1" spans="1:1">
      <c r="A838" t="s">
        <v>3886</v>
      </c>
    </row>
    <row r="839" ht="15.75" customHeight="1" spans="1:1">
      <c r="A839" t="s">
        <v>3887</v>
      </c>
    </row>
    <row r="840" ht="15.75" customHeight="1" spans="1:1">
      <c r="A840" t="s">
        <v>3888</v>
      </c>
    </row>
    <row r="841" ht="15.75" customHeight="1" spans="1:1">
      <c r="A841" t="s">
        <v>3889</v>
      </c>
    </row>
    <row r="842" ht="15.75" customHeight="1" spans="1:1">
      <c r="A842" t="s">
        <v>3890</v>
      </c>
    </row>
    <row r="843" ht="15.75" customHeight="1" spans="1:1">
      <c r="A843" t="s">
        <v>3891</v>
      </c>
    </row>
    <row r="844" ht="15.75" customHeight="1" spans="1:1">
      <c r="A844" t="s">
        <v>3892</v>
      </c>
    </row>
    <row r="845" ht="15.75" customHeight="1" spans="1:1">
      <c r="A845" t="s">
        <v>3893</v>
      </c>
    </row>
    <row r="846" ht="15.75" customHeight="1" spans="1:1">
      <c r="A846" t="s">
        <v>3894</v>
      </c>
    </row>
    <row r="847" ht="15.75" customHeight="1" spans="1:1">
      <c r="A847" t="s">
        <v>3895</v>
      </c>
    </row>
    <row r="848" ht="15.75" customHeight="1" spans="1:1">
      <c r="A848" t="s">
        <v>3896</v>
      </c>
    </row>
    <row r="849" ht="15.75" customHeight="1" spans="1:1">
      <c r="A849" t="s">
        <v>3897</v>
      </c>
    </row>
    <row r="850" ht="15.75" customHeight="1" spans="1:1">
      <c r="A850" t="s">
        <v>3898</v>
      </c>
    </row>
    <row r="851" ht="15.75" customHeight="1" spans="1:1">
      <c r="A851" t="s">
        <v>3899</v>
      </c>
    </row>
    <row r="852" ht="15.75" customHeight="1" spans="1:1">
      <c r="A852" t="s">
        <v>3900</v>
      </c>
    </row>
    <row r="853" ht="15.75" customHeight="1" spans="1:1">
      <c r="A853" t="s">
        <v>3901</v>
      </c>
    </row>
    <row r="854" ht="15.75" customHeight="1" spans="1:1">
      <c r="A854" t="s">
        <v>3902</v>
      </c>
    </row>
    <row r="855" ht="15.75" customHeight="1" spans="1:1">
      <c r="A855" t="s">
        <v>3903</v>
      </c>
    </row>
    <row r="856" ht="15.75" customHeight="1" spans="1:1">
      <c r="A856" t="s">
        <v>3904</v>
      </c>
    </row>
    <row r="857" ht="15.75" customHeight="1" spans="1:1">
      <c r="A857" t="s">
        <v>3905</v>
      </c>
    </row>
    <row r="858" ht="15.75" customHeight="1" spans="1:1">
      <c r="A858" t="s">
        <v>3906</v>
      </c>
    </row>
    <row r="859" ht="15.75" customHeight="1" spans="1:1">
      <c r="A859" t="s">
        <v>3907</v>
      </c>
    </row>
    <row r="860" ht="15.75" customHeight="1" spans="1:1">
      <c r="A860" t="s">
        <v>3908</v>
      </c>
    </row>
    <row r="861" ht="15.75" customHeight="1" spans="1:1">
      <c r="A861" t="s">
        <v>3909</v>
      </c>
    </row>
    <row r="862" ht="15.75" customHeight="1" spans="1:1">
      <c r="A862" t="s">
        <v>3910</v>
      </c>
    </row>
    <row r="863" ht="15.75" customHeight="1" spans="1:1">
      <c r="A863" t="s">
        <v>3911</v>
      </c>
    </row>
    <row r="864" ht="15.75" customHeight="1" spans="1:1">
      <c r="A864" t="s">
        <v>3912</v>
      </c>
    </row>
    <row r="865" ht="15.75" customHeight="1" spans="1:1">
      <c r="A865" t="s">
        <v>3913</v>
      </c>
    </row>
    <row r="866" ht="15.75" customHeight="1" spans="1:1">
      <c r="A866" t="s">
        <v>3914</v>
      </c>
    </row>
    <row r="867" ht="15.75" customHeight="1" spans="1:1">
      <c r="A867" t="s">
        <v>3915</v>
      </c>
    </row>
    <row r="868" ht="15.75" customHeight="1" spans="1:1">
      <c r="A868" t="s">
        <v>3916</v>
      </c>
    </row>
    <row r="869" ht="15.75" customHeight="1" spans="1:1">
      <c r="A869" t="s">
        <v>3917</v>
      </c>
    </row>
    <row r="870" ht="15.75" customHeight="1" spans="1:1">
      <c r="A870" t="s">
        <v>3918</v>
      </c>
    </row>
    <row r="871" ht="15.75" customHeight="1" spans="1:1">
      <c r="A871" t="s">
        <v>3919</v>
      </c>
    </row>
    <row r="872" ht="15.75" customHeight="1" spans="1:1">
      <c r="A872" t="s">
        <v>3920</v>
      </c>
    </row>
    <row r="873" ht="15.75" customHeight="1" spans="1:1">
      <c r="A873" t="s">
        <v>3921</v>
      </c>
    </row>
    <row r="874" ht="15.75" customHeight="1" spans="1:1">
      <c r="A874" t="s">
        <v>3922</v>
      </c>
    </row>
    <row r="875" ht="15.75" customHeight="1" spans="1:1">
      <c r="A875" t="s">
        <v>3923</v>
      </c>
    </row>
    <row r="876" ht="15.75" customHeight="1" spans="1:1">
      <c r="A876" t="s">
        <v>3924</v>
      </c>
    </row>
    <row r="877" ht="15.75" customHeight="1" spans="1:1">
      <c r="A877" t="s">
        <v>3925</v>
      </c>
    </row>
    <row r="878" ht="15.75" customHeight="1" spans="1:1">
      <c r="A878" t="s">
        <v>3926</v>
      </c>
    </row>
    <row r="879" ht="15.75" customHeight="1" spans="1:1">
      <c r="A879" t="s">
        <v>3927</v>
      </c>
    </row>
    <row r="880" ht="15.75" customHeight="1" spans="1:1">
      <c r="A880" t="s">
        <v>3928</v>
      </c>
    </row>
    <row r="881" ht="15.75" customHeight="1" spans="1:1">
      <c r="A881" t="s">
        <v>3929</v>
      </c>
    </row>
    <row r="882" ht="15.75" customHeight="1" spans="1:1">
      <c r="A882" t="s">
        <v>3930</v>
      </c>
    </row>
    <row r="883" ht="15.75" customHeight="1" spans="1:1">
      <c r="A883" t="s">
        <v>3931</v>
      </c>
    </row>
    <row r="884" ht="15.75" customHeight="1" spans="1:1">
      <c r="A884" t="s">
        <v>3932</v>
      </c>
    </row>
    <row r="885" ht="15.75" customHeight="1" spans="1:1">
      <c r="A885" t="s">
        <v>3933</v>
      </c>
    </row>
    <row r="886" ht="15.75" customHeight="1" spans="1:1">
      <c r="A886" t="s">
        <v>3934</v>
      </c>
    </row>
    <row r="887" ht="15.75" customHeight="1" spans="1:1">
      <c r="A887" t="s">
        <v>3935</v>
      </c>
    </row>
    <row r="888" ht="15.75" customHeight="1" spans="1:1">
      <c r="A888" t="s">
        <v>3936</v>
      </c>
    </row>
    <row r="889" ht="15.75" customHeight="1" spans="1:1">
      <c r="A889" t="s">
        <v>3937</v>
      </c>
    </row>
    <row r="890" ht="15.75" customHeight="1" spans="1:1">
      <c r="A890" t="s">
        <v>3938</v>
      </c>
    </row>
    <row r="891" ht="15.75" customHeight="1" spans="1:1">
      <c r="A891" t="s">
        <v>3939</v>
      </c>
    </row>
    <row r="892" ht="15.75" customHeight="1" spans="1:1">
      <c r="A892" t="s">
        <v>3940</v>
      </c>
    </row>
    <row r="893" ht="15.75" customHeight="1" spans="1:1">
      <c r="A893" t="s">
        <v>3941</v>
      </c>
    </row>
    <row r="894" ht="15.75" customHeight="1" spans="1:1">
      <c r="A894" t="s">
        <v>3942</v>
      </c>
    </row>
    <row r="895" ht="15.75" customHeight="1" spans="1:1">
      <c r="A895" t="s">
        <v>3943</v>
      </c>
    </row>
    <row r="896" ht="15.75" customHeight="1" spans="1:1">
      <c r="A896" t="s">
        <v>3944</v>
      </c>
    </row>
    <row r="897" ht="15.75" customHeight="1" spans="1:1">
      <c r="A897" t="s">
        <v>3945</v>
      </c>
    </row>
    <row r="898" ht="15.75" customHeight="1" spans="1:1">
      <c r="A898" t="s">
        <v>3946</v>
      </c>
    </row>
    <row r="899" ht="15.75" customHeight="1" spans="1:1">
      <c r="A899" t="s">
        <v>3947</v>
      </c>
    </row>
    <row r="900" ht="15.75" customHeight="1" spans="1:1">
      <c r="A900" t="s">
        <v>3948</v>
      </c>
    </row>
    <row r="901" ht="15.75" customHeight="1" spans="1:1">
      <c r="A901" t="s">
        <v>3949</v>
      </c>
    </row>
    <row r="902" ht="15.75" customHeight="1" spans="1:1">
      <c r="A902" t="s">
        <v>3950</v>
      </c>
    </row>
    <row r="903" ht="15.75" customHeight="1" spans="1:1">
      <c r="A903" t="s">
        <v>3951</v>
      </c>
    </row>
    <row r="904" ht="15.75" customHeight="1" spans="1:1">
      <c r="A904" t="s">
        <v>3952</v>
      </c>
    </row>
    <row r="905" ht="15.75" customHeight="1" spans="1:1">
      <c r="A905" t="s">
        <v>3953</v>
      </c>
    </row>
    <row r="906" ht="15.75" customHeight="1" spans="1:1">
      <c r="A906" t="s">
        <v>3954</v>
      </c>
    </row>
    <row r="907" ht="15.75" customHeight="1" spans="1:1">
      <c r="A907" t="s">
        <v>3955</v>
      </c>
    </row>
    <row r="908" ht="15.75" customHeight="1" spans="1:1">
      <c r="A908" t="s">
        <v>3956</v>
      </c>
    </row>
    <row r="909" ht="15.75" customHeight="1" spans="1:1">
      <c r="A909" t="s">
        <v>3957</v>
      </c>
    </row>
    <row r="910" ht="15.75" customHeight="1" spans="1:1">
      <c r="A910" t="s">
        <v>3958</v>
      </c>
    </row>
    <row r="911" ht="15.75" customHeight="1" spans="1:1">
      <c r="A911" t="s">
        <v>3959</v>
      </c>
    </row>
    <row r="912" ht="15.75" customHeight="1" spans="1:1">
      <c r="A912" t="s">
        <v>3960</v>
      </c>
    </row>
    <row r="913" ht="15.75" customHeight="1" spans="1:1">
      <c r="A913" t="s">
        <v>3961</v>
      </c>
    </row>
    <row r="914" ht="15.75" customHeight="1" spans="1:1">
      <c r="A914" t="s">
        <v>3962</v>
      </c>
    </row>
    <row r="915" ht="15.75" customHeight="1" spans="1:1">
      <c r="A915" t="s">
        <v>3963</v>
      </c>
    </row>
    <row r="916" ht="15.75" customHeight="1" spans="1:1">
      <c r="A916" t="s">
        <v>3964</v>
      </c>
    </row>
    <row r="917" ht="15.75" customHeight="1" spans="1:1">
      <c r="A917" t="s">
        <v>3965</v>
      </c>
    </row>
    <row r="918" ht="15.75" customHeight="1" spans="1:1">
      <c r="A918" t="s">
        <v>3966</v>
      </c>
    </row>
    <row r="919" ht="15.75" customHeight="1" spans="1:1">
      <c r="A919" t="s">
        <v>3967</v>
      </c>
    </row>
    <row r="920" ht="15.75" customHeight="1" spans="1:1">
      <c r="A920" t="s">
        <v>3968</v>
      </c>
    </row>
    <row r="921" ht="15.75" customHeight="1" spans="1:1">
      <c r="A921" t="s">
        <v>3969</v>
      </c>
    </row>
    <row r="922" ht="15.75" customHeight="1" spans="1:1">
      <c r="A922" t="s">
        <v>3970</v>
      </c>
    </row>
    <row r="923" ht="15.75" customHeight="1" spans="1:1">
      <c r="A923" t="s">
        <v>3971</v>
      </c>
    </row>
    <row r="924" ht="15.75" customHeight="1" spans="1:1">
      <c r="A924" t="s">
        <v>3972</v>
      </c>
    </row>
    <row r="925" ht="15.75" customHeight="1" spans="1:1">
      <c r="A925" t="s">
        <v>3973</v>
      </c>
    </row>
    <row r="926" ht="15.75" customHeight="1" spans="1:1">
      <c r="A926" t="s">
        <v>3974</v>
      </c>
    </row>
    <row r="927" ht="15.75" customHeight="1" spans="1:1">
      <c r="A927" t="s">
        <v>3975</v>
      </c>
    </row>
    <row r="928" ht="15.75" customHeight="1" spans="1:1">
      <c r="A928" t="s">
        <v>3976</v>
      </c>
    </row>
    <row r="929" ht="15.75" customHeight="1" spans="1:1">
      <c r="A929" t="s">
        <v>3977</v>
      </c>
    </row>
    <row r="930" ht="15.75" customHeight="1" spans="1:1">
      <c r="A930" t="s">
        <v>3978</v>
      </c>
    </row>
    <row r="931" ht="15.75" customHeight="1" spans="1:1">
      <c r="A931" t="s">
        <v>3979</v>
      </c>
    </row>
    <row r="932" ht="15.75" customHeight="1" spans="1:1">
      <c r="A932" t="s">
        <v>3980</v>
      </c>
    </row>
    <row r="933" ht="15.75" customHeight="1" spans="1:1">
      <c r="A933" t="s">
        <v>3981</v>
      </c>
    </row>
    <row r="934" ht="15.75" customHeight="1" spans="1:1">
      <c r="A934" t="s">
        <v>3982</v>
      </c>
    </row>
    <row r="935" ht="15.75" customHeight="1" spans="1:1">
      <c r="A935" t="s">
        <v>3983</v>
      </c>
    </row>
    <row r="936" ht="15.75" customHeight="1" spans="1:1">
      <c r="A936" t="s">
        <v>3984</v>
      </c>
    </row>
    <row r="937" ht="15.75" customHeight="1" spans="1:1">
      <c r="A937" t="s">
        <v>3985</v>
      </c>
    </row>
    <row r="938" ht="15.75" customHeight="1" spans="1:1">
      <c r="A938" t="s">
        <v>3986</v>
      </c>
    </row>
    <row r="939" ht="15.75" customHeight="1" spans="1:1">
      <c r="A939" t="s">
        <v>3987</v>
      </c>
    </row>
    <row r="940" ht="15.75" customHeight="1" spans="1:1">
      <c r="A940" t="s">
        <v>3988</v>
      </c>
    </row>
    <row r="941" ht="15.75" customHeight="1" spans="1:1">
      <c r="A941" t="s">
        <v>3989</v>
      </c>
    </row>
    <row r="942" ht="15.75" customHeight="1" spans="1:1">
      <c r="A942" t="s">
        <v>3990</v>
      </c>
    </row>
    <row r="943" ht="15.75" customHeight="1" spans="1:1">
      <c r="A943" t="s">
        <v>3991</v>
      </c>
    </row>
    <row r="944" ht="15.75" customHeight="1" spans="1:1">
      <c r="A944" t="s">
        <v>3992</v>
      </c>
    </row>
    <row r="945" ht="15.75" customHeight="1" spans="1:1">
      <c r="A945" t="s">
        <v>3993</v>
      </c>
    </row>
    <row r="946" ht="15.75" customHeight="1" spans="1:1">
      <c r="A946" t="s">
        <v>3994</v>
      </c>
    </row>
    <row r="947" ht="15.75" customHeight="1" spans="1:1">
      <c r="A947" t="s">
        <v>3995</v>
      </c>
    </row>
    <row r="948" ht="15.75" customHeight="1" spans="1:1">
      <c r="A948" t="s">
        <v>3996</v>
      </c>
    </row>
    <row r="949" ht="15.75" customHeight="1" spans="1:1">
      <c r="A949" t="s">
        <v>3997</v>
      </c>
    </row>
    <row r="950" ht="15.75" customHeight="1" spans="1:1">
      <c r="A950" t="s">
        <v>3998</v>
      </c>
    </row>
    <row r="951" ht="15.75" customHeight="1" spans="1:1">
      <c r="A951" t="s">
        <v>3999</v>
      </c>
    </row>
    <row r="952" ht="15.75" customHeight="1" spans="1:1">
      <c r="A952" t="s">
        <v>4000</v>
      </c>
    </row>
    <row r="953" ht="15.75" customHeight="1" spans="1:1">
      <c r="A953" t="s">
        <v>4001</v>
      </c>
    </row>
    <row r="954" ht="15.75" customHeight="1" spans="1:1">
      <c r="A954" t="s">
        <v>4002</v>
      </c>
    </row>
    <row r="955" ht="15.75" customHeight="1" spans="1:1">
      <c r="A955" t="s">
        <v>4003</v>
      </c>
    </row>
    <row r="956" ht="15.75" customHeight="1" spans="1:1">
      <c r="A956" t="s">
        <v>4004</v>
      </c>
    </row>
    <row r="957" ht="15.75" customHeight="1" spans="1:1">
      <c r="A957" t="s">
        <v>4005</v>
      </c>
    </row>
    <row r="958" ht="15.75" customHeight="1" spans="1:1">
      <c r="A958" t="s">
        <v>4006</v>
      </c>
    </row>
    <row r="959" ht="15.75" customHeight="1" spans="1:1">
      <c r="A959" t="s">
        <v>4007</v>
      </c>
    </row>
    <row r="960" ht="15.75" customHeight="1" spans="1:1">
      <c r="A960" t="s">
        <v>4008</v>
      </c>
    </row>
    <row r="961" ht="15.75" customHeight="1" spans="1:1">
      <c r="A961" t="s">
        <v>4009</v>
      </c>
    </row>
    <row r="962" ht="15.75" customHeight="1" spans="1:1">
      <c r="A962" t="s">
        <v>4010</v>
      </c>
    </row>
    <row r="963" ht="15.75" customHeight="1" spans="1:1">
      <c r="A963" t="s">
        <v>4011</v>
      </c>
    </row>
    <row r="964" ht="15.75" customHeight="1" spans="1:1">
      <c r="A964" t="s">
        <v>4012</v>
      </c>
    </row>
    <row r="965" ht="15.75" customHeight="1" spans="1:1">
      <c r="A965" t="s">
        <v>4013</v>
      </c>
    </row>
    <row r="966" ht="15.75" customHeight="1" spans="1:1">
      <c r="A966" t="s">
        <v>4014</v>
      </c>
    </row>
    <row r="967" ht="15.75" customHeight="1" spans="1:1">
      <c r="A967" t="s">
        <v>4015</v>
      </c>
    </row>
    <row r="968" ht="15.75" customHeight="1" spans="1:1">
      <c r="A968" t="s">
        <v>4016</v>
      </c>
    </row>
    <row r="969" ht="15.75" customHeight="1" spans="1:1">
      <c r="A969" t="s">
        <v>4017</v>
      </c>
    </row>
    <row r="970" ht="15.75" customHeight="1" spans="1:1">
      <c r="A970" t="s">
        <v>4018</v>
      </c>
    </row>
    <row r="971" ht="15.75" customHeight="1" spans="1:1">
      <c r="A971" t="s">
        <v>4019</v>
      </c>
    </row>
    <row r="972" ht="15.75" customHeight="1" spans="1:1">
      <c r="A972" t="s">
        <v>4020</v>
      </c>
    </row>
    <row r="973" ht="15.75" customHeight="1" spans="1:1">
      <c r="A973" t="s">
        <v>4021</v>
      </c>
    </row>
    <row r="974" ht="15.75" customHeight="1" spans="1:1">
      <c r="A974" t="s">
        <v>4022</v>
      </c>
    </row>
    <row r="975" ht="15.75" customHeight="1" spans="1:1">
      <c r="A975" t="s">
        <v>4023</v>
      </c>
    </row>
    <row r="976" ht="15.75" customHeight="1" spans="1:1">
      <c r="A976" t="s">
        <v>4024</v>
      </c>
    </row>
    <row r="977" ht="15.75" customHeight="1" spans="1:1">
      <c r="A977" t="s">
        <v>4025</v>
      </c>
    </row>
    <row r="978" ht="15.75" customHeight="1" spans="1:1">
      <c r="A978" t="s">
        <v>4026</v>
      </c>
    </row>
    <row r="979" ht="15.75" customHeight="1" spans="1:1">
      <c r="A979" t="s">
        <v>4027</v>
      </c>
    </row>
    <row r="980" ht="15.75" customHeight="1" spans="1:1">
      <c r="A980" t="s">
        <v>4028</v>
      </c>
    </row>
    <row r="981" ht="15.75" customHeight="1" spans="1:1">
      <c r="A981" t="s">
        <v>4029</v>
      </c>
    </row>
    <row r="982" ht="15.75" customHeight="1" spans="1:1">
      <c r="A982" t="s">
        <v>4030</v>
      </c>
    </row>
    <row r="983" ht="15.75" customHeight="1" spans="1:1">
      <c r="A983" t="s">
        <v>4031</v>
      </c>
    </row>
    <row r="984" ht="15.75" customHeight="1" spans="1:1">
      <c r="A984" t="s">
        <v>4032</v>
      </c>
    </row>
    <row r="985" ht="15.75" customHeight="1" spans="1:1">
      <c r="A985" t="s">
        <v>4033</v>
      </c>
    </row>
    <row r="986" ht="15.75" customHeight="1" spans="1:1">
      <c r="A986" t="s">
        <v>4034</v>
      </c>
    </row>
    <row r="987" ht="15.75" customHeight="1" spans="1:1">
      <c r="A987" t="s">
        <v>4035</v>
      </c>
    </row>
    <row r="988" ht="15.75" customHeight="1" spans="1:1">
      <c r="A988" t="s">
        <v>4036</v>
      </c>
    </row>
    <row r="989" ht="15.75" customHeight="1" spans="1:1">
      <c r="A989" t="s">
        <v>4037</v>
      </c>
    </row>
    <row r="990" ht="15.75" customHeight="1" spans="1:1">
      <c r="A990" t="s">
        <v>4038</v>
      </c>
    </row>
    <row r="991" ht="15.75" customHeight="1" spans="1:1">
      <c r="A991" t="s">
        <v>4039</v>
      </c>
    </row>
    <row r="992" ht="15.75" customHeight="1" spans="1:1">
      <c r="A992" t="s">
        <v>4040</v>
      </c>
    </row>
    <row r="993" ht="15.75" customHeight="1" spans="1:1">
      <c r="A993" t="s">
        <v>4041</v>
      </c>
    </row>
    <row r="994" ht="15.75" customHeight="1" spans="1:1">
      <c r="A994" t="s">
        <v>4042</v>
      </c>
    </row>
    <row r="995" ht="15.75" customHeight="1" spans="1:1">
      <c r="A995" t="s">
        <v>4043</v>
      </c>
    </row>
    <row r="996" ht="15.75" customHeight="1" spans="1:1">
      <c r="A996" t="s">
        <v>4044</v>
      </c>
    </row>
    <row r="997" ht="15.75" customHeight="1" spans="1:1">
      <c r="A997" t="s">
        <v>4045</v>
      </c>
    </row>
    <row r="998" ht="15.75" customHeight="1" spans="1:1">
      <c r="A998" t="s">
        <v>4046</v>
      </c>
    </row>
    <row r="999" ht="15.75" customHeight="1" spans="1:1">
      <c r="A999" t="s">
        <v>4047</v>
      </c>
    </row>
    <row r="1000" ht="15.75" customHeight="1" spans="1:1">
      <c r="A1000" t="s">
        <v>4048</v>
      </c>
    </row>
    <row r="1001" ht="15.75" customHeight="1" spans="1:1">
      <c r="A1001" t="s">
        <v>4049</v>
      </c>
    </row>
    <row r="1002" ht="15.75" customHeight="1" spans="1:1">
      <c r="A1002" t="s">
        <v>4050</v>
      </c>
    </row>
    <row r="1003" ht="15.75" customHeight="1" spans="1:1">
      <c r="A1003" t="s">
        <v>4051</v>
      </c>
    </row>
    <row r="1004" ht="15.75" customHeight="1" spans="1:1">
      <c r="A1004" t="s">
        <v>4052</v>
      </c>
    </row>
    <row r="1005" ht="15.75" customHeight="1" spans="1:1">
      <c r="A1005" t="s">
        <v>4053</v>
      </c>
    </row>
    <row r="1006" ht="15.75" customHeight="1" spans="1:1">
      <c r="A1006" t="s">
        <v>4054</v>
      </c>
    </row>
    <row r="1007" ht="15.75" customHeight="1" spans="1:1">
      <c r="A1007" t="s">
        <v>4055</v>
      </c>
    </row>
    <row r="1008" ht="15.75" customHeight="1" spans="1:1">
      <c r="A1008" t="s">
        <v>4056</v>
      </c>
    </row>
    <row r="1009" ht="15.75" customHeight="1" spans="1:1">
      <c r="A1009" t="s">
        <v>4057</v>
      </c>
    </row>
    <row r="1010" ht="15.75" customHeight="1" spans="1:1">
      <c r="A1010" t="s">
        <v>4058</v>
      </c>
    </row>
    <row r="1011" ht="15.75" customHeight="1" spans="1:1">
      <c r="A1011" t="s">
        <v>4059</v>
      </c>
    </row>
    <row r="1012" ht="15.75" customHeight="1" spans="1:1">
      <c r="A1012" t="s">
        <v>4060</v>
      </c>
    </row>
    <row r="1013" ht="15.75" customHeight="1" spans="1:1">
      <c r="A1013" t="s">
        <v>4061</v>
      </c>
    </row>
    <row r="1014" ht="15.75" customHeight="1" spans="1:1">
      <c r="A1014" t="s">
        <v>4062</v>
      </c>
    </row>
    <row r="1015" ht="15.75" customHeight="1" spans="1:1">
      <c r="A1015" t="s">
        <v>4063</v>
      </c>
    </row>
    <row r="1016" ht="15.75" customHeight="1" spans="1:1">
      <c r="A1016" t="s">
        <v>4064</v>
      </c>
    </row>
    <row r="1017" ht="15.75" customHeight="1" spans="1:1">
      <c r="A1017" t="s">
        <v>4065</v>
      </c>
    </row>
    <row r="1018" ht="15.75" customHeight="1" spans="1:1">
      <c r="A1018" t="s">
        <v>4066</v>
      </c>
    </row>
    <row r="1019" ht="15.75" customHeight="1" spans="1:1">
      <c r="A1019" t="s">
        <v>4067</v>
      </c>
    </row>
    <row r="1020" ht="15.75" customHeight="1" spans="1:1">
      <c r="A1020" t="s">
        <v>4068</v>
      </c>
    </row>
    <row r="1021" ht="15.75" customHeight="1" spans="1:1">
      <c r="A1021" t="s">
        <v>4069</v>
      </c>
    </row>
    <row r="1022" ht="15.75" customHeight="1" spans="1:1">
      <c r="A1022" t="s">
        <v>4070</v>
      </c>
    </row>
    <row r="1023" ht="15.75" customHeight="1" spans="1:1">
      <c r="A1023" t="s">
        <v>4071</v>
      </c>
    </row>
    <row r="1024" ht="15.75" customHeight="1" spans="1:1">
      <c r="A1024" t="s">
        <v>4072</v>
      </c>
    </row>
    <row r="1025" ht="15.75" customHeight="1" spans="1:1">
      <c r="A1025" t="s">
        <v>4073</v>
      </c>
    </row>
    <row r="1026" ht="15.75" customHeight="1" spans="1:1">
      <c r="A1026" t="s">
        <v>4074</v>
      </c>
    </row>
    <row r="1027" ht="15.75" customHeight="1" spans="1:1">
      <c r="A1027" t="s">
        <v>4075</v>
      </c>
    </row>
    <row r="1028" ht="15.75" customHeight="1" spans="1:1">
      <c r="A1028" t="s">
        <v>4076</v>
      </c>
    </row>
    <row r="1029" ht="15.75" customHeight="1" spans="1:1">
      <c r="A1029" t="s">
        <v>4077</v>
      </c>
    </row>
    <row r="1030" ht="15.75" customHeight="1" spans="1:1">
      <c r="A1030" t="s">
        <v>4078</v>
      </c>
    </row>
    <row r="1031" ht="15.75" customHeight="1" spans="1:1">
      <c r="A1031" t="s">
        <v>4079</v>
      </c>
    </row>
    <row r="1032" ht="15.75" customHeight="1" spans="1:1">
      <c r="A1032" t="s">
        <v>4080</v>
      </c>
    </row>
    <row r="1033" ht="15.75" customHeight="1" spans="1:1">
      <c r="A1033" t="s">
        <v>4081</v>
      </c>
    </row>
    <row r="1034" ht="15.75" customHeight="1" spans="1:1">
      <c r="A1034" t="s">
        <v>4082</v>
      </c>
    </row>
    <row r="1035" ht="15.75" customHeight="1" spans="1:1">
      <c r="A1035" t="s">
        <v>4083</v>
      </c>
    </row>
    <row r="1036" ht="15.75" customHeight="1" spans="1:1">
      <c r="A1036" t="s">
        <v>4084</v>
      </c>
    </row>
    <row r="1037" ht="15.75" customHeight="1" spans="1:1">
      <c r="A1037" t="s">
        <v>4085</v>
      </c>
    </row>
    <row r="1038" ht="15.75" customHeight="1" spans="1:1">
      <c r="A1038" t="s">
        <v>4086</v>
      </c>
    </row>
    <row r="1039" ht="15.75" customHeight="1" spans="1:1">
      <c r="A1039" t="s">
        <v>4087</v>
      </c>
    </row>
    <row r="1040" ht="15.75" customHeight="1" spans="1:1">
      <c r="A1040" t="s">
        <v>4088</v>
      </c>
    </row>
    <row r="1041" ht="15.75" customHeight="1" spans="1:1">
      <c r="A1041" t="s">
        <v>4089</v>
      </c>
    </row>
    <row r="1042" ht="15.75" customHeight="1" spans="1:1">
      <c r="A1042" t="s">
        <v>4090</v>
      </c>
    </row>
    <row r="1043" ht="15.75" customHeight="1" spans="1:1">
      <c r="A1043" t="s">
        <v>4091</v>
      </c>
    </row>
    <row r="1044" ht="15.75" customHeight="1" spans="1:1">
      <c r="A1044" t="s">
        <v>4092</v>
      </c>
    </row>
    <row r="1045" ht="15.75" customHeight="1" spans="1:1">
      <c r="A1045" t="s">
        <v>4093</v>
      </c>
    </row>
    <row r="1046" ht="15.75" customHeight="1" spans="1:1">
      <c r="A1046" t="s">
        <v>4094</v>
      </c>
    </row>
    <row r="1047" ht="15.75" customHeight="1" spans="1:1">
      <c r="A1047" t="s">
        <v>4095</v>
      </c>
    </row>
    <row r="1048" ht="15.75" customHeight="1" spans="1:1">
      <c r="A1048" t="s">
        <v>4096</v>
      </c>
    </row>
    <row r="1049" ht="15.75" customHeight="1" spans="1:1">
      <c r="A1049" t="s">
        <v>4097</v>
      </c>
    </row>
    <row r="1050" ht="15.75" customHeight="1" spans="1:1">
      <c r="A1050" t="s">
        <v>4098</v>
      </c>
    </row>
    <row r="1051" ht="15.75" customHeight="1" spans="1:1">
      <c r="A1051" t="s">
        <v>4099</v>
      </c>
    </row>
    <row r="1052" ht="15.75" customHeight="1" spans="1:1">
      <c r="A1052" t="s">
        <v>4100</v>
      </c>
    </row>
    <row r="1053" ht="15.75" customHeight="1" spans="1:1">
      <c r="A1053" t="s">
        <v>4101</v>
      </c>
    </row>
    <row r="1054" ht="15.75" customHeight="1" spans="1:1">
      <c r="A1054" t="s">
        <v>4102</v>
      </c>
    </row>
    <row r="1055" ht="15.75" customHeight="1" spans="1:1">
      <c r="A1055" t="s">
        <v>4103</v>
      </c>
    </row>
    <row r="1056" ht="15.75" customHeight="1" spans="1:1">
      <c r="A1056" t="s">
        <v>4104</v>
      </c>
    </row>
    <row r="1057" ht="15.75" customHeight="1" spans="1:1">
      <c r="A1057" t="s">
        <v>4105</v>
      </c>
    </row>
    <row r="1058" ht="15.75" customHeight="1" spans="1:1">
      <c r="A1058" t="s">
        <v>4106</v>
      </c>
    </row>
    <row r="1059" ht="15.75" customHeight="1" spans="1:1">
      <c r="A1059" t="s">
        <v>4107</v>
      </c>
    </row>
    <row r="1060" ht="15.75" customHeight="1" spans="1:1">
      <c r="A1060" t="s">
        <v>4108</v>
      </c>
    </row>
    <row r="1061" ht="15.75" customHeight="1" spans="1:1">
      <c r="A1061" t="s">
        <v>4109</v>
      </c>
    </row>
    <row r="1062" ht="15.75" customHeight="1" spans="1:1">
      <c r="A1062" t="s">
        <v>4110</v>
      </c>
    </row>
    <row r="1063" ht="15.75" customHeight="1" spans="1:1">
      <c r="A1063" t="s">
        <v>4111</v>
      </c>
    </row>
    <row r="1064" ht="15.75" customHeight="1" spans="1:1">
      <c r="A1064" t="s">
        <v>4112</v>
      </c>
    </row>
    <row r="1065" ht="15.75" customHeight="1" spans="1:1">
      <c r="A1065" t="s">
        <v>4113</v>
      </c>
    </row>
    <row r="1066" ht="15.75" customHeight="1" spans="1:1">
      <c r="A1066" t="s">
        <v>4114</v>
      </c>
    </row>
    <row r="1067" ht="15.75" customHeight="1" spans="1:1">
      <c r="A1067" t="s">
        <v>4115</v>
      </c>
    </row>
    <row r="1068" ht="15.75" customHeight="1" spans="1:1">
      <c r="A1068" t="s">
        <v>4116</v>
      </c>
    </row>
    <row r="1069" ht="15.75" customHeight="1" spans="1:1">
      <c r="A1069" t="s">
        <v>4117</v>
      </c>
    </row>
    <row r="1070" ht="15.75" customHeight="1" spans="1:1">
      <c r="A1070" t="s">
        <v>4118</v>
      </c>
    </row>
    <row r="1071" ht="15.75" customHeight="1" spans="1:1">
      <c r="A1071" t="s">
        <v>4119</v>
      </c>
    </row>
    <row r="1072" ht="15.75" customHeight="1" spans="1:1">
      <c r="A1072" t="s">
        <v>4120</v>
      </c>
    </row>
    <row r="1073" ht="15.75" customHeight="1" spans="1:1">
      <c r="A1073" t="s">
        <v>4121</v>
      </c>
    </row>
    <row r="1074" ht="15.75" customHeight="1" spans="1:1">
      <c r="A1074" t="s">
        <v>4122</v>
      </c>
    </row>
    <row r="1075" ht="15.75" customHeight="1" spans="1:1">
      <c r="A1075" t="s">
        <v>4123</v>
      </c>
    </row>
    <row r="1076" ht="15.75" customHeight="1" spans="1:1">
      <c r="A1076" t="s">
        <v>4124</v>
      </c>
    </row>
    <row r="1077" ht="15.75" customHeight="1" spans="1:1">
      <c r="A1077" t="s">
        <v>4125</v>
      </c>
    </row>
    <row r="1078" ht="15.75" customHeight="1" spans="1:1">
      <c r="A1078" t="s">
        <v>4126</v>
      </c>
    </row>
    <row r="1079" ht="15.75" customHeight="1" spans="1:1">
      <c r="A1079" t="s">
        <v>4127</v>
      </c>
    </row>
    <row r="1080" ht="15.75" customHeight="1" spans="1:1">
      <c r="A1080" t="s">
        <v>4128</v>
      </c>
    </row>
    <row r="1081" ht="15.75" customHeight="1" spans="1:1">
      <c r="A1081" t="s">
        <v>4129</v>
      </c>
    </row>
    <row r="1082" ht="15.75" customHeight="1" spans="1:1">
      <c r="A1082" t="s">
        <v>4130</v>
      </c>
    </row>
    <row r="1083" ht="15.75" customHeight="1" spans="1:1">
      <c r="A1083" t="s">
        <v>4131</v>
      </c>
    </row>
    <row r="1084" ht="15.75" customHeight="1" spans="1:1">
      <c r="A1084" t="s">
        <v>4132</v>
      </c>
    </row>
    <row r="1085" ht="15.75" customHeight="1" spans="1:1">
      <c r="A1085" t="s">
        <v>4133</v>
      </c>
    </row>
    <row r="1086" ht="15.75" customHeight="1" spans="1:1">
      <c r="A1086" t="s">
        <v>4134</v>
      </c>
    </row>
    <row r="1087" ht="15.75" customHeight="1" spans="1:1">
      <c r="A1087" t="s">
        <v>4135</v>
      </c>
    </row>
    <row r="1088" ht="15.75" customHeight="1" spans="1:1">
      <c r="A1088" t="s">
        <v>4136</v>
      </c>
    </row>
    <row r="1089" ht="15.75" customHeight="1" spans="1:1">
      <c r="A1089" t="s">
        <v>4137</v>
      </c>
    </row>
    <row r="1090" ht="15.75" customHeight="1" spans="1:1">
      <c r="A1090" t="s">
        <v>4138</v>
      </c>
    </row>
    <row r="1091" ht="15.75" customHeight="1" spans="1:1">
      <c r="A1091" t="s">
        <v>4139</v>
      </c>
    </row>
    <row r="1092" ht="15.75" customHeight="1" spans="1:1">
      <c r="A1092" t="s">
        <v>4140</v>
      </c>
    </row>
    <row r="1093" ht="15.75" customHeight="1" spans="1:1">
      <c r="A1093" t="s">
        <v>4141</v>
      </c>
    </row>
    <row r="1094" ht="15.75" customHeight="1" spans="1:1">
      <c r="A1094" t="s">
        <v>4142</v>
      </c>
    </row>
    <row r="1095" ht="15.75" customHeight="1" spans="1:1">
      <c r="A1095" t="s">
        <v>4143</v>
      </c>
    </row>
    <row r="1096" ht="15.75" customHeight="1" spans="1:1">
      <c r="A1096" t="s">
        <v>4144</v>
      </c>
    </row>
    <row r="1097" ht="15.75" customHeight="1" spans="1:1">
      <c r="A1097" t="s">
        <v>4145</v>
      </c>
    </row>
    <row r="1098" ht="15.75" customHeight="1" spans="1:1">
      <c r="A1098" t="s">
        <v>4146</v>
      </c>
    </row>
    <row r="1099" ht="15.75" customHeight="1" spans="1:1">
      <c r="A1099" t="s">
        <v>4147</v>
      </c>
    </row>
    <row r="1100" ht="15.75" customHeight="1" spans="1:1">
      <c r="A1100" t="s">
        <v>4148</v>
      </c>
    </row>
    <row r="1101" ht="15.75" customHeight="1" spans="1:1">
      <c r="A1101" t="s">
        <v>4149</v>
      </c>
    </row>
    <row r="1102" ht="15.75" customHeight="1" spans="1:1">
      <c r="A1102" t="s">
        <v>4150</v>
      </c>
    </row>
    <row r="1103" ht="15.75" customHeight="1" spans="1:1">
      <c r="A1103" t="s">
        <v>4151</v>
      </c>
    </row>
    <row r="1104" ht="15.75" customHeight="1" spans="1:1">
      <c r="A1104" t="s">
        <v>4152</v>
      </c>
    </row>
    <row r="1105" ht="15.75" customHeight="1" spans="1:1">
      <c r="A1105" t="s">
        <v>4153</v>
      </c>
    </row>
    <row r="1106" ht="15.75" customHeight="1" spans="1:1">
      <c r="A1106" t="s">
        <v>4154</v>
      </c>
    </row>
    <row r="1107" ht="15.75" customHeight="1" spans="1:1">
      <c r="A1107" t="s">
        <v>4155</v>
      </c>
    </row>
    <row r="1108" ht="15.75" customHeight="1" spans="1:1">
      <c r="A1108" t="s">
        <v>4156</v>
      </c>
    </row>
    <row r="1109" ht="15.75" customHeight="1" spans="1:1">
      <c r="A1109" t="s">
        <v>4157</v>
      </c>
    </row>
    <row r="1110" ht="15.75" customHeight="1" spans="1:1">
      <c r="A1110" t="s">
        <v>4158</v>
      </c>
    </row>
    <row r="1111" ht="15.75" customHeight="1" spans="1:1">
      <c r="A1111" t="s">
        <v>4159</v>
      </c>
    </row>
    <row r="1112" ht="15.75" customHeight="1" spans="1:1">
      <c r="A1112" t="s">
        <v>4160</v>
      </c>
    </row>
    <row r="1113" ht="15.75" customHeight="1" spans="1:1">
      <c r="A1113" t="s">
        <v>4161</v>
      </c>
    </row>
    <row r="1114" ht="15.75" customHeight="1" spans="1:1">
      <c r="A1114" t="s">
        <v>4162</v>
      </c>
    </row>
    <row r="1115" ht="15.75" customHeight="1" spans="1:1">
      <c r="A1115" t="s">
        <v>4163</v>
      </c>
    </row>
    <row r="1116" ht="15.75" customHeight="1" spans="1:1">
      <c r="A1116" t="s">
        <v>4164</v>
      </c>
    </row>
    <row r="1117" ht="15.75" customHeight="1" spans="1:1">
      <c r="A1117" t="s">
        <v>4165</v>
      </c>
    </row>
    <row r="1118" ht="15.75" customHeight="1" spans="1:1">
      <c r="A1118" t="s">
        <v>4166</v>
      </c>
    </row>
    <row r="1119" ht="15.75" customHeight="1" spans="1:1">
      <c r="A1119" t="s">
        <v>4167</v>
      </c>
    </row>
    <row r="1120" ht="15.75" customHeight="1" spans="1:1">
      <c r="A1120" t="s">
        <v>4168</v>
      </c>
    </row>
    <row r="1121" ht="15.75" customHeight="1" spans="1:1">
      <c r="A1121" t="s">
        <v>4169</v>
      </c>
    </row>
    <row r="1122" ht="15.75" customHeight="1" spans="1:1">
      <c r="A1122" t="s">
        <v>4170</v>
      </c>
    </row>
    <row r="1123" ht="15.75" customHeight="1" spans="1:1">
      <c r="A1123" t="s">
        <v>4171</v>
      </c>
    </row>
    <row r="1124" ht="15.75" customHeight="1" spans="1:1">
      <c r="A1124" t="s">
        <v>4172</v>
      </c>
    </row>
    <row r="1125" ht="15.75" customHeight="1" spans="1:1">
      <c r="A1125" t="s">
        <v>4173</v>
      </c>
    </row>
    <row r="1126" ht="15.75" customHeight="1" spans="1:1">
      <c r="A1126" t="s">
        <v>4174</v>
      </c>
    </row>
    <row r="1127" ht="15.75" customHeight="1" spans="1:1">
      <c r="A1127" t="s">
        <v>4175</v>
      </c>
    </row>
    <row r="1128" ht="15.75" customHeight="1" spans="1:1">
      <c r="A1128" t="s">
        <v>4176</v>
      </c>
    </row>
    <row r="1129" ht="15.75" customHeight="1" spans="1:1">
      <c r="A1129" t="s">
        <v>4177</v>
      </c>
    </row>
    <row r="1130" ht="15.75" customHeight="1" spans="1:1">
      <c r="A1130" t="s">
        <v>4178</v>
      </c>
    </row>
    <row r="1131" ht="15.75" customHeight="1" spans="1:1">
      <c r="A1131" t="s">
        <v>4179</v>
      </c>
    </row>
    <row r="1132" ht="15.75" customHeight="1" spans="1:1">
      <c r="A1132" t="s">
        <v>4180</v>
      </c>
    </row>
    <row r="1133" ht="15.75" customHeight="1" spans="1:1">
      <c r="A1133" t="s">
        <v>4181</v>
      </c>
    </row>
    <row r="1134" ht="15.75" customHeight="1" spans="1:1">
      <c r="A1134" t="s">
        <v>4182</v>
      </c>
    </row>
    <row r="1135" ht="15.75" customHeight="1" spans="1:1">
      <c r="A1135" t="s">
        <v>4183</v>
      </c>
    </row>
    <row r="1136" ht="15.75" customHeight="1" spans="1:1">
      <c r="A1136" t="s">
        <v>4184</v>
      </c>
    </row>
    <row r="1137" ht="15.75" customHeight="1" spans="1:1">
      <c r="A1137" t="s">
        <v>4185</v>
      </c>
    </row>
    <row r="1138" ht="15.75" customHeight="1" spans="1:1">
      <c r="A1138" t="s">
        <v>4186</v>
      </c>
    </row>
    <row r="1139" ht="15.75" customHeight="1" spans="1:1">
      <c r="A1139" t="s">
        <v>4187</v>
      </c>
    </row>
    <row r="1140" ht="15.75" customHeight="1" spans="1:1">
      <c r="A1140" t="s">
        <v>4188</v>
      </c>
    </row>
    <row r="1141" ht="15.75" customHeight="1" spans="1:1">
      <c r="A1141" t="s">
        <v>4189</v>
      </c>
    </row>
    <row r="1142" ht="15.75" customHeight="1" spans="1:1">
      <c r="A1142" t="s">
        <v>4190</v>
      </c>
    </row>
    <row r="1143" ht="15.75" customHeight="1" spans="1:1">
      <c r="A1143" t="s">
        <v>4191</v>
      </c>
    </row>
    <row r="1144" ht="15.75" customHeight="1" spans="1:1">
      <c r="A1144" t="s">
        <v>4192</v>
      </c>
    </row>
    <row r="1145" ht="15.75" customHeight="1" spans="1:1">
      <c r="A1145" t="s">
        <v>4193</v>
      </c>
    </row>
    <row r="1146" ht="15.75" customHeight="1" spans="1:1">
      <c r="A1146" t="s">
        <v>4194</v>
      </c>
    </row>
    <row r="1147" ht="15.75" customHeight="1" spans="1:1">
      <c r="A1147" t="s">
        <v>4195</v>
      </c>
    </row>
    <row r="1148" ht="15.75" customHeight="1" spans="1:1">
      <c r="A1148" t="s">
        <v>4196</v>
      </c>
    </row>
    <row r="1149" ht="15.75" customHeight="1" spans="1:1">
      <c r="A1149" t="s">
        <v>4197</v>
      </c>
    </row>
    <row r="1150" ht="15.75" customHeight="1" spans="1:1">
      <c r="A1150" t="s">
        <v>4198</v>
      </c>
    </row>
    <row r="1151" ht="15.75" customHeight="1" spans="1:1">
      <c r="A1151" t="s">
        <v>4199</v>
      </c>
    </row>
    <row r="1152" ht="15.75" customHeight="1" spans="1:1">
      <c r="A1152" t="s">
        <v>4200</v>
      </c>
    </row>
    <row r="1153" ht="15.75" customHeight="1" spans="1:1">
      <c r="A1153" t="s">
        <v>4201</v>
      </c>
    </row>
    <row r="1154" ht="15.75" customHeight="1" spans="1:1">
      <c r="A1154" t="s">
        <v>4202</v>
      </c>
    </row>
    <row r="1155" ht="15.75" customHeight="1" spans="1:1">
      <c r="A1155" t="s">
        <v>4203</v>
      </c>
    </row>
    <row r="1156" ht="15.75" customHeight="1" spans="1:1">
      <c r="A1156" t="s">
        <v>4204</v>
      </c>
    </row>
    <row r="1157" ht="15.75" customHeight="1" spans="1:1">
      <c r="A1157" t="s">
        <v>4205</v>
      </c>
    </row>
    <row r="1158" ht="15.75" customHeight="1" spans="1:1">
      <c r="A1158" t="s">
        <v>4206</v>
      </c>
    </row>
    <row r="1159" ht="15.75" customHeight="1" spans="1:1">
      <c r="A1159" t="s">
        <v>4207</v>
      </c>
    </row>
    <row r="1160" ht="15.75" customHeight="1" spans="1:1">
      <c r="A1160" t="s">
        <v>4208</v>
      </c>
    </row>
    <row r="1161" ht="15.75" customHeight="1" spans="1:1">
      <c r="A1161" t="s">
        <v>4209</v>
      </c>
    </row>
    <row r="1162" ht="15.75" customHeight="1" spans="1:1">
      <c r="A1162" t="s">
        <v>4210</v>
      </c>
    </row>
    <row r="1163" ht="15.75" customHeight="1" spans="1:1">
      <c r="A1163" t="s">
        <v>4211</v>
      </c>
    </row>
    <row r="1164" ht="15.75" customHeight="1" spans="1:1">
      <c r="A1164" t="s">
        <v>4212</v>
      </c>
    </row>
    <row r="1165" ht="15.75" customHeight="1" spans="1:1">
      <c r="A1165" t="s">
        <v>4213</v>
      </c>
    </row>
    <row r="1166" ht="15.75" customHeight="1" spans="1:1">
      <c r="A1166" t="s">
        <v>4214</v>
      </c>
    </row>
    <row r="1167" ht="15.75" customHeight="1" spans="1:1">
      <c r="A1167" t="s">
        <v>4215</v>
      </c>
    </row>
    <row r="1168" ht="15.75" customHeight="1" spans="1:1">
      <c r="A1168" t="s">
        <v>4216</v>
      </c>
    </row>
    <row r="1169" ht="15.75" customHeight="1" spans="1:1">
      <c r="A1169" t="s">
        <v>4217</v>
      </c>
    </row>
    <row r="1170" ht="15.75" customHeight="1" spans="1:1">
      <c r="A1170" t="s">
        <v>4218</v>
      </c>
    </row>
    <row r="1171" ht="15.75" customHeight="1" spans="1:1">
      <c r="A1171" t="s">
        <v>4219</v>
      </c>
    </row>
    <row r="1172" ht="15.75" customHeight="1" spans="1:1">
      <c r="A1172" t="s">
        <v>4220</v>
      </c>
    </row>
    <row r="1173" ht="15.75" customHeight="1" spans="1:1">
      <c r="A1173" t="s">
        <v>4221</v>
      </c>
    </row>
    <row r="1174" ht="15.75" customHeight="1" spans="1:1">
      <c r="A1174" t="s">
        <v>4222</v>
      </c>
    </row>
    <row r="1175" ht="15.75" customHeight="1" spans="1:1">
      <c r="A1175" t="s">
        <v>4223</v>
      </c>
    </row>
    <row r="1176" ht="15.75" customHeight="1" spans="1:1">
      <c r="A1176" t="s">
        <v>4224</v>
      </c>
    </row>
    <row r="1177" ht="15.75" customHeight="1" spans="1:1">
      <c r="A1177" t="s">
        <v>4225</v>
      </c>
    </row>
    <row r="1178" ht="15.75" customHeight="1" spans="1:1">
      <c r="A1178" t="s">
        <v>4226</v>
      </c>
    </row>
    <row r="1179" ht="15.75" customHeight="1" spans="1:1">
      <c r="A1179" t="s">
        <v>4227</v>
      </c>
    </row>
    <row r="1180" ht="15.75" customHeight="1" spans="1:1">
      <c r="A1180" t="s">
        <v>4228</v>
      </c>
    </row>
    <row r="1181" ht="15.75" customHeight="1" spans="1:1">
      <c r="A1181" t="s">
        <v>4229</v>
      </c>
    </row>
    <row r="1182" ht="15.75" customHeight="1" spans="1:1">
      <c r="A1182" t="s">
        <v>4230</v>
      </c>
    </row>
    <row r="1183" ht="15.75" customHeight="1" spans="1:1">
      <c r="A1183" t="s">
        <v>4231</v>
      </c>
    </row>
    <row r="1184" ht="15.75" customHeight="1" spans="1:1">
      <c r="A1184" t="s">
        <v>4232</v>
      </c>
    </row>
    <row r="1185" ht="15.75" customHeight="1" spans="1:1">
      <c r="A1185" t="s">
        <v>4233</v>
      </c>
    </row>
    <row r="1186" ht="15.75" customHeight="1" spans="1:1">
      <c r="A1186" t="s">
        <v>4234</v>
      </c>
    </row>
    <row r="1187" ht="15.75" customHeight="1" spans="1:1">
      <c r="A1187" t="s">
        <v>4235</v>
      </c>
    </row>
    <row r="1188" ht="15.75" customHeight="1" spans="1:1">
      <c r="A1188" t="s">
        <v>4236</v>
      </c>
    </row>
    <row r="1189" ht="15.75" customHeight="1" spans="1:1">
      <c r="A1189" t="s">
        <v>4237</v>
      </c>
    </row>
    <row r="1190" ht="15.75" customHeight="1" spans="1:1">
      <c r="A1190" t="s">
        <v>4238</v>
      </c>
    </row>
    <row r="1191" ht="15.75" customHeight="1" spans="1:1">
      <c r="A1191" t="s">
        <v>4239</v>
      </c>
    </row>
    <row r="1192" ht="15.75" customHeight="1" spans="1:1">
      <c r="A1192" t="s">
        <v>4240</v>
      </c>
    </row>
    <row r="1193" ht="15.75" customHeight="1" spans="1:1">
      <c r="A1193" t="s">
        <v>4241</v>
      </c>
    </row>
    <row r="1194" ht="15.75" customHeight="1" spans="1:1">
      <c r="A1194" t="s">
        <v>4242</v>
      </c>
    </row>
    <row r="1195" ht="15.75" customHeight="1" spans="1:1">
      <c r="A1195" t="s">
        <v>4243</v>
      </c>
    </row>
    <row r="1196" ht="15.75" customHeight="1" spans="1:1">
      <c r="A1196" t="s">
        <v>4244</v>
      </c>
    </row>
    <row r="1197" ht="15.75" customHeight="1" spans="1:1">
      <c r="A1197" t="s">
        <v>4245</v>
      </c>
    </row>
    <row r="1198" ht="15.75" customHeight="1" spans="1:1">
      <c r="A1198" t="s">
        <v>4246</v>
      </c>
    </row>
    <row r="1199" ht="15.75" customHeight="1" spans="1:1">
      <c r="A1199" t="s">
        <v>4247</v>
      </c>
    </row>
    <row r="1200" ht="15.75" customHeight="1" spans="1:1">
      <c r="A1200" t="s">
        <v>4248</v>
      </c>
    </row>
    <row r="1201" ht="15.75" customHeight="1" spans="1:1">
      <c r="A1201" t="s">
        <v>4249</v>
      </c>
    </row>
    <row r="1202" ht="15.75" customHeight="1" spans="1:1">
      <c r="A1202" t="s">
        <v>4250</v>
      </c>
    </row>
    <row r="1203" ht="15.75" customHeight="1" spans="1:1">
      <c r="A1203" t="s">
        <v>4251</v>
      </c>
    </row>
    <row r="1204" ht="15.75" customHeight="1" spans="1:1">
      <c r="A1204" t="s">
        <v>4252</v>
      </c>
    </row>
    <row r="1205" ht="15.75" customHeight="1" spans="1:1">
      <c r="A1205" t="s">
        <v>4253</v>
      </c>
    </row>
    <row r="1206" ht="15.75" customHeight="1" spans="1:1">
      <c r="A1206" t="s">
        <v>4254</v>
      </c>
    </row>
    <row r="1207" ht="15.75" customHeight="1" spans="1:1">
      <c r="A1207" t="s">
        <v>4255</v>
      </c>
    </row>
    <row r="1208" ht="15.75" customHeight="1" spans="1:1">
      <c r="A1208" t="s">
        <v>4256</v>
      </c>
    </row>
    <row r="1209" ht="15.75" customHeight="1" spans="1:1">
      <c r="A1209" t="s">
        <v>4257</v>
      </c>
    </row>
    <row r="1210" ht="15.75" customHeight="1" spans="1:1">
      <c r="A1210" t="s">
        <v>4258</v>
      </c>
    </row>
    <row r="1211" ht="15.75" customHeight="1" spans="1:1">
      <c r="A1211" t="s">
        <v>4259</v>
      </c>
    </row>
    <row r="1212" ht="15.75" customHeight="1" spans="1:1">
      <c r="A1212" t="s">
        <v>4260</v>
      </c>
    </row>
    <row r="1213" ht="15.75" customHeight="1" spans="1:1">
      <c r="A1213" t="s">
        <v>4261</v>
      </c>
    </row>
    <row r="1214" ht="15.75" customHeight="1" spans="1:1">
      <c r="A1214" t="s">
        <v>4262</v>
      </c>
    </row>
    <row r="1215" ht="15.75" customHeight="1" spans="1:1">
      <c r="A1215" t="s">
        <v>4263</v>
      </c>
    </row>
    <row r="1216" ht="15.75" customHeight="1" spans="1:1">
      <c r="A1216" t="s">
        <v>4264</v>
      </c>
    </row>
    <row r="1217" ht="15.75" customHeight="1" spans="1:1">
      <c r="A1217" t="s">
        <v>4265</v>
      </c>
    </row>
    <row r="1218" ht="15.75" customHeight="1" spans="1:1">
      <c r="A1218" t="s">
        <v>4266</v>
      </c>
    </row>
    <row r="1219" ht="15.75" customHeight="1" spans="1:1">
      <c r="A1219" t="s">
        <v>4267</v>
      </c>
    </row>
    <row r="1220" ht="15.75" customHeight="1" spans="1:1">
      <c r="A1220" t="s">
        <v>4268</v>
      </c>
    </row>
    <row r="1221" ht="15.75" customHeight="1" spans="1:1">
      <c r="A1221" t="s">
        <v>4269</v>
      </c>
    </row>
    <row r="1222" ht="15.75" customHeight="1" spans="1:1">
      <c r="A1222" t="s">
        <v>4270</v>
      </c>
    </row>
    <row r="1223" ht="15.75" customHeight="1" spans="1:1">
      <c r="A1223" t="s">
        <v>4271</v>
      </c>
    </row>
    <row r="1224" ht="15.75" customHeight="1" spans="1:1">
      <c r="A1224" t="s">
        <v>4272</v>
      </c>
    </row>
    <row r="1225" ht="15.75" customHeight="1" spans="1:1">
      <c r="A1225" t="s">
        <v>4273</v>
      </c>
    </row>
    <row r="1226" ht="15.75" customHeight="1" spans="1:1">
      <c r="A1226" t="s">
        <v>4274</v>
      </c>
    </row>
    <row r="1227" ht="15.75" customHeight="1" spans="1:1">
      <c r="A1227" t="s">
        <v>4275</v>
      </c>
    </row>
    <row r="1228" ht="15.75" customHeight="1" spans="1:1">
      <c r="A1228" t="s">
        <v>4276</v>
      </c>
    </row>
    <row r="1229" ht="15.75" customHeight="1" spans="1:1">
      <c r="A1229" t="s">
        <v>4277</v>
      </c>
    </row>
    <row r="1230" ht="15.75" customHeight="1" spans="1:1">
      <c r="A1230" t="s">
        <v>4278</v>
      </c>
    </row>
    <row r="1231" ht="15.75" customHeight="1" spans="1:1">
      <c r="A1231" t="s">
        <v>4279</v>
      </c>
    </row>
    <row r="1232" ht="15.75" customHeight="1" spans="1:1">
      <c r="A1232" t="s">
        <v>4280</v>
      </c>
    </row>
    <row r="1233" ht="15.75" customHeight="1" spans="1:1">
      <c r="A1233" t="s">
        <v>4281</v>
      </c>
    </row>
    <row r="1234" ht="15.75" customHeight="1" spans="1:1">
      <c r="A1234" t="s">
        <v>4282</v>
      </c>
    </row>
    <row r="1235" ht="15.75" customHeight="1" spans="1:1">
      <c r="A1235" t="s">
        <v>4283</v>
      </c>
    </row>
    <row r="1236" ht="15.75" customHeight="1" spans="1:1">
      <c r="A1236" t="s">
        <v>4284</v>
      </c>
    </row>
    <row r="1237" ht="15.75" customHeight="1" spans="1:1">
      <c r="A1237" t="s">
        <v>4285</v>
      </c>
    </row>
    <row r="1238" ht="15.75" customHeight="1" spans="1:1">
      <c r="A1238" t="s">
        <v>4286</v>
      </c>
    </row>
    <row r="1239" ht="15.75" customHeight="1" spans="1:1">
      <c r="A1239" t="s">
        <v>4287</v>
      </c>
    </row>
    <row r="1240" ht="15.75" customHeight="1" spans="1:1">
      <c r="A1240" t="s">
        <v>4288</v>
      </c>
    </row>
    <row r="1241" ht="15.75" customHeight="1" spans="1:1">
      <c r="A1241" t="s">
        <v>4289</v>
      </c>
    </row>
    <row r="1242" ht="15.75" customHeight="1" spans="1:1">
      <c r="A1242" t="s">
        <v>4290</v>
      </c>
    </row>
    <row r="1243" ht="15.75" customHeight="1" spans="1:1">
      <c r="A1243" t="s">
        <v>4291</v>
      </c>
    </row>
    <row r="1244" ht="15.75" customHeight="1" spans="1:1">
      <c r="A1244" t="s">
        <v>4292</v>
      </c>
    </row>
    <row r="1245" ht="15.75" customHeight="1" spans="1:1">
      <c r="A1245" t="s">
        <v>4293</v>
      </c>
    </row>
    <row r="1246" ht="15.75" customHeight="1" spans="1:1">
      <c r="A1246" t="s">
        <v>4294</v>
      </c>
    </row>
    <row r="1247" ht="15.75" customHeight="1" spans="1:1">
      <c r="A1247" t="s">
        <v>4295</v>
      </c>
    </row>
    <row r="1248" ht="15.75" customHeight="1" spans="1:1">
      <c r="A1248" t="s">
        <v>4296</v>
      </c>
    </row>
    <row r="1249" ht="15.75" customHeight="1" spans="1:1">
      <c r="A1249" t="s">
        <v>4297</v>
      </c>
    </row>
    <row r="1250" ht="15.75" customHeight="1" spans="1:1">
      <c r="A1250" t="s">
        <v>4298</v>
      </c>
    </row>
    <row r="1251" ht="15.75" customHeight="1" spans="1:1">
      <c r="A1251" t="s">
        <v>4299</v>
      </c>
    </row>
    <row r="1252" ht="15.75" customHeight="1" spans="1:1">
      <c r="A1252" t="s">
        <v>4300</v>
      </c>
    </row>
    <row r="1253" ht="15.75" customHeight="1" spans="1:1">
      <c r="A1253" t="s">
        <v>4301</v>
      </c>
    </row>
    <row r="1254" ht="15.75" customHeight="1" spans="1:1">
      <c r="A1254" t="s">
        <v>4302</v>
      </c>
    </row>
    <row r="1255" ht="15.75" customHeight="1" spans="1:1">
      <c r="A1255" t="s">
        <v>4303</v>
      </c>
    </row>
    <row r="1256" ht="15.75" customHeight="1" spans="1:1">
      <c r="A1256" t="s">
        <v>4304</v>
      </c>
    </row>
    <row r="1257" ht="15.75" customHeight="1" spans="1:1">
      <c r="A1257" t="s">
        <v>4305</v>
      </c>
    </row>
    <row r="1258" ht="15.75" customHeight="1" spans="1:1">
      <c r="A1258" t="s">
        <v>4306</v>
      </c>
    </row>
    <row r="1259" ht="15.75" customHeight="1" spans="1:1">
      <c r="A1259" t="s">
        <v>4307</v>
      </c>
    </row>
    <row r="1260" ht="15.75" customHeight="1" spans="1:1">
      <c r="A1260" t="s">
        <v>4308</v>
      </c>
    </row>
    <row r="1261" ht="15.75" customHeight="1" spans="1:1">
      <c r="A1261" t="s">
        <v>4309</v>
      </c>
    </row>
    <row r="1262" ht="15.75" customHeight="1" spans="1:1">
      <c r="A1262" t="s">
        <v>4310</v>
      </c>
    </row>
    <row r="1263" ht="15.75" customHeight="1" spans="1:1">
      <c r="A1263" t="s">
        <v>4311</v>
      </c>
    </row>
    <row r="1264" ht="15.75" customHeight="1" spans="1:1">
      <c r="A1264" t="s">
        <v>4312</v>
      </c>
    </row>
    <row r="1265" ht="15.75" customHeight="1" spans="1:1">
      <c r="A1265" t="s">
        <v>4313</v>
      </c>
    </row>
    <row r="1266" ht="15.75" customHeight="1" spans="1:1">
      <c r="A1266" t="s">
        <v>4314</v>
      </c>
    </row>
    <row r="1267" ht="15.75" customHeight="1" spans="1:1">
      <c r="A1267" t="s">
        <v>4315</v>
      </c>
    </row>
    <row r="1268" ht="15.75" customHeight="1" spans="1:1">
      <c r="A1268" t="s">
        <v>4316</v>
      </c>
    </row>
    <row r="1269" ht="15.75" customHeight="1" spans="1:1">
      <c r="A1269" t="s">
        <v>4317</v>
      </c>
    </row>
    <row r="1270" ht="15.75" customHeight="1" spans="1:1">
      <c r="A1270" t="s">
        <v>4318</v>
      </c>
    </row>
    <row r="1271" ht="15.75" customHeight="1" spans="1:1">
      <c r="A1271" t="s">
        <v>4319</v>
      </c>
    </row>
    <row r="1272" ht="15.75" customHeight="1" spans="1:1">
      <c r="A1272" t="s">
        <v>4320</v>
      </c>
    </row>
    <row r="1273" ht="15.75" customHeight="1" spans="1:1">
      <c r="A1273" t="s">
        <v>4321</v>
      </c>
    </row>
    <row r="1274" ht="15.75" customHeight="1" spans="1:1">
      <c r="A1274" t="s">
        <v>4322</v>
      </c>
    </row>
    <row r="1275" ht="15.75" customHeight="1" spans="1:1">
      <c r="A1275" t="s">
        <v>4323</v>
      </c>
    </row>
    <row r="1276" ht="15.75" customHeight="1" spans="1:1">
      <c r="A1276" t="s">
        <v>4324</v>
      </c>
    </row>
    <row r="1277" ht="15.75" customHeight="1" spans="1:1">
      <c r="A1277" t="s">
        <v>4325</v>
      </c>
    </row>
    <row r="1278" ht="15.75" customHeight="1" spans="1:1">
      <c r="A1278" t="s">
        <v>4326</v>
      </c>
    </row>
    <row r="1279" ht="15.75" customHeight="1" spans="1:1">
      <c r="A1279" t="s">
        <v>4327</v>
      </c>
    </row>
    <row r="1280" ht="15.75" customHeight="1" spans="1:1">
      <c r="A1280" t="s">
        <v>4328</v>
      </c>
    </row>
    <row r="1281" ht="15.75" customHeight="1" spans="1:1">
      <c r="A1281" t="s">
        <v>4329</v>
      </c>
    </row>
    <row r="1282" ht="15.75" customHeight="1" spans="1:1">
      <c r="A1282" t="s">
        <v>4330</v>
      </c>
    </row>
    <row r="1283" ht="15.75" customHeight="1" spans="1:1">
      <c r="A1283" t="s">
        <v>4331</v>
      </c>
    </row>
    <row r="1284" ht="15.75" customHeight="1" spans="1:1">
      <c r="A1284" t="s">
        <v>4332</v>
      </c>
    </row>
    <row r="1285" ht="15.75" customHeight="1" spans="1:1">
      <c r="A1285" t="s">
        <v>4333</v>
      </c>
    </row>
    <row r="1286" ht="15.75" customHeight="1" spans="1:1">
      <c r="A1286" t="s">
        <v>4334</v>
      </c>
    </row>
    <row r="1287" ht="15.75" customHeight="1" spans="1:1">
      <c r="A1287" t="s">
        <v>4335</v>
      </c>
    </row>
    <row r="1288" ht="15.75" customHeight="1" spans="1:1">
      <c r="A1288" t="s">
        <v>4336</v>
      </c>
    </row>
    <row r="1289" ht="15.75" customHeight="1" spans="1:1">
      <c r="A1289" t="s">
        <v>4337</v>
      </c>
    </row>
    <row r="1290" ht="15.75" customHeight="1" spans="1:1">
      <c r="A1290" t="s">
        <v>4338</v>
      </c>
    </row>
    <row r="1291" ht="15.75" customHeight="1" spans="1:1">
      <c r="A1291" t="s">
        <v>4339</v>
      </c>
    </row>
    <row r="1292" ht="15.75" customHeight="1" spans="1:1">
      <c r="A1292" t="s">
        <v>4340</v>
      </c>
    </row>
    <row r="1293" ht="15.75" customHeight="1" spans="1:1">
      <c r="A1293" t="s">
        <v>4341</v>
      </c>
    </row>
    <row r="1294" ht="15.75" customHeight="1" spans="1:1">
      <c r="A1294" t="s">
        <v>4342</v>
      </c>
    </row>
    <row r="1295" ht="15.75" customHeight="1" spans="1:1">
      <c r="A1295" t="s">
        <v>4343</v>
      </c>
    </row>
    <row r="1296" ht="15.75" customHeight="1" spans="1:1">
      <c r="A1296" t="s">
        <v>4344</v>
      </c>
    </row>
    <row r="1297" ht="15.75" customHeight="1" spans="1:1">
      <c r="A1297" t="s">
        <v>4345</v>
      </c>
    </row>
    <row r="1298" ht="15.75" customHeight="1" spans="1:1">
      <c r="A1298" t="s">
        <v>4346</v>
      </c>
    </row>
    <row r="1299" ht="15.75" customHeight="1" spans="1:1">
      <c r="A1299" t="s">
        <v>4347</v>
      </c>
    </row>
    <row r="1300" ht="15.75" customHeight="1" spans="1:1">
      <c r="A1300" t="s">
        <v>4348</v>
      </c>
    </row>
    <row r="1301" ht="15.75" customHeight="1" spans="1:1">
      <c r="A1301" t="s">
        <v>4349</v>
      </c>
    </row>
    <row r="1302" ht="15.75" customHeight="1" spans="1:1">
      <c r="A1302" t="s">
        <v>4350</v>
      </c>
    </row>
    <row r="1303" ht="15.75" customHeight="1" spans="1:1">
      <c r="A1303" t="s">
        <v>4351</v>
      </c>
    </row>
    <row r="1304" ht="15.75" customHeight="1" spans="1:1">
      <c r="A1304" t="s">
        <v>4352</v>
      </c>
    </row>
    <row r="1305" ht="15.75" customHeight="1" spans="1:1">
      <c r="A1305" t="s">
        <v>4353</v>
      </c>
    </row>
    <row r="1306" ht="15.75" customHeight="1" spans="1:1">
      <c r="A1306" t="s">
        <v>4354</v>
      </c>
    </row>
    <row r="1307" ht="15.75" customHeight="1" spans="1:1">
      <c r="A1307" t="s">
        <v>4355</v>
      </c>
    </row>
    <row r="1308" ht="15.75" customHeight="1" spans="1:1">
      <c r="A1308" t="s">
        <v>4356</v>
      </c>
    </row>
    <row r="1309" ht="15.75" customHeight="1" spans="1:1">
      <c r="A1309" t="s">
        <v>4357</v>
      </c>
    </row>
    <row r="1310" ht="15.75" customHeight="1" spans="1:1">
      <c r="A1310" t="s">
        <v>4358</v>
      </c>
    </row>
    <row r="1311" ht="15.75" customHeight="1" spans="1:1">
      <c r="A1311" t="s">
        <v>4359</v>
      </c>
    </row>
    <row r="1312" ht="15.75" customHeight="1" spans="1:1">
      <c r="A1312" t="s">
        <v>4360</v>
      </c>
    </row>
    <row r="1313" ht="15.75" customHeight="1" spans="1:1">
      <c r="A1313" t="s">
        <v>4361</v>
      </c>
    </row>
    <row r="1314" ht="15.75" customHeight="1" spans="1:1">
      <c r="A1314" t="s">
        <v>4362</v>
      </c>
    </row>
    <row r="1315" ht="15.75" customHeight="1" spans="1:1">
      <c r="A1315" t="s">
        <v>4363</v>
      </c>
    </row>
    <row r="1316" ht="15.75" customHeight="1" spans="1:1">
      <c r="A1316" t="s">
        <v>4364</v>
      </c>
    </row>
    <row r="1317" ht="15.75" customHeight="1" spans="1:1">
      <c r="A1317" t="s">
        <v>4365</v>
      </c>
    </row>
    <row r="1318" ht="15.75" customHeight="1" spans="1:1">
      <c r="A1318" t="s">
        <v>4366</v>
      </c>
    </row>
    <row r="1319" ht="15.75" customHeight="1" spans="1:1">
      <c r="A1319" t="s">
        <v>4367</v>
      </c>
    </row>
    <row r="1320" ht="15.75" customHeight="1" spans="1:1">
      <c r="A1320" t="s">
        <v>4368</v>
      </c>
    </row>
    <row r="1321" ht="15.75" customHeight="1" spans="1:1">
      <c r="A1321" t="s">
        <v>4369</v>
      </c>
    </row>
    <row r="1322" ht="15.75" customHeight="1" spans="1:1">
      <c r="A1322" t="s">
        <v>4370</v>
      </c>
    </row>
    <row r="1323" ht="15.75" customHeight="1" spans="1:1">
      <c r="A1323" t="s">
        <v>4371</v>
      </c>
    </row>
    <row r="1324" ht="15.75" customHeight="1" spans="1:1">
      <c r="A1324" t="s">
        <v>4372</v>
      </c>
    </row>
    <row r="1325" ht="15.75" customHeight="1" spans="1:1">
      <c r="A1325" t="s">
        <v>4373</v>
      </c>
    </row>
    <row r="1326" ht="15.75" customHeight="1" spans="1:1">
      <c r="A1326" t="s">
        <v>4374</v>
      </c>
    </row>
    <row r="1327" ht="15.75" customHeight="1" spans="1:1">
      <c r="A1327" t="s">
        <v>4375</v>
      </c>
    </row>
    <row r="1328" ht="15.75" customHeight="1" spans="1:1">
      <c r="A1328" t="s">
        <v>4376</v>
      </c>
    </row>
    <row r="1329" ht="15.75" customHeight="1" spans="1:1">
      <c r="A1329" t="s">
        <v>4377</v>
      </c>
    </row>
    <row r="1330" ht="15.75" customHeight="1" spans="1:1">
      <c r="A1330" t="s">
        <v>4378</v>
      </c>
    </row>
    <row r="1331" ht="15.75" customHeight="1" spans="1:1">
      <c r="A1331" t="s">
        <v>4379</v>
      </c>
    </row>
    <row r="1332" ht="15.75" customHeight="1" spans="1:1">
      <c r="A1332" t="s">
        <v>4380</v>
      </c>
    </row>
    <row r="1333" ht="15.75" customHeight="1" spans="1:1">
      <c r="A1333" t="s">
        <v>4381</v>
      </c>
    </row>
    <row r="1334" ht="15.75" customHeight="1" spans="1:1">
      <c r="A1334" t="s">
        <v>4382</v>
      </c>
    </row>
    <row r="1335" ht="15.75" customHeight="1" spans="1:1">
      <c r="A1335" t="s">
        <v>4383</v>
      </c>
    </row>
    <row r="1336" ht="15.75" customHeight="1" spans="1:1">
      <c r="A1336" t="s">
        <v>4384</v>
      </c>
    </row>
    <row r="1337" ht="15.75" customHeight="1" spans="1:1">
      <c r="A1337" t="s">
        <v>4385</v>
      </c>
    </row>
    <row r="1338" ht="15.75" customHeight="1" spans="1:1">
      <c r="A1338" t="s">
        <v>4386</v>
      </c>
    </row>
    <row r="1339" ht="15.75" customHeight="1" spans="1:1">
      <c r="A1339" t="s">
        <v>4387</v>
      </c>
    </row>
    <row r="1340" ht="15.75" customHeight="1" spans="1:1">
      <c r="A1340" t="s">
        <v>4388</v>
      </c>
    </row>
    <row r="1341" ht="15.75" customHeight="1" spans="1:1">
      <c r="A1341" t="s">
        <v>4389</v>
      </c>
    </row>
    <row r="1342" ht="15.75" customHeight="1" spans="1:1">
      <c r="A1342" t="s">
        <v>4390</v>
      </c>
    </row>
    <row r="1343" ht="15.75" customHeight="1" spans="1:1">
      <c r="A1343" t="s">
        <v>4391</v>
      </c>
    </row>
    <row r="1344" ht="15.75" customHeight="1" spans="1:1">
      <c r="A1344" t="s">
        <v>4392</v>
      </c>
    </row>
    <row r="1345" ht="15.75" customHeight="1" spans="1:1">
      <c r="A1345" t="s">
        <v>4393</v>
      </c>
    </row>
    <row r="1346" ht="15.75" customHeight="1" spans="1:1">
      <c r="A1346" t="s">
        <v>4394</v>
      </c>
    </row>
    <row r="1347" ht="15.75" customHeight="1" spans="1:1">
      <c r="A1347" t="s">
        <v>4395</v>
      </c>
    </row>
    <row r="1348" ht="15.75" customHeight="1" spans="1:1">
      <c r="A1348" t="s">
        <v>4396</v>
      </c>
    </row>
    <row r="1349" ht="15.75" customHeight="1" spans="1:1">
      <c r="A1349" t="s">
        <v>4397</v>
      </c>
    </row>
    <row r="1350" ht="15.75" customHeight="1" spans="1:1">
      <c r="A1350" t="s">
        <v>4398</v>
      </c>
    </row>
    <row r="1351" ht="15.75" customHeight="1" spans="1:1">
      <c r="A1351" t="s">
        <v>4399</v>
      </c>
    </row>
    <row r="1352" ht="15.75" customHeight="1" spans="1:1">
      <c r="A1352" t="s">
        <v>4400</v>
      </c>
    </row>
    <row r="1353" ht="15.75" customHeight="1" spans="1:1">
      <c r="A1353" t="s">
        <v>4401</v>
      </c>
    </row>
    <row r="1354" ht="15.75" customHeight="1" spans="1:1">
      <c r="A1354" t="s">
        <v>4402</v>
      </c>
    </row>
    <row r="1355" ht="15.75" customHeight="1" spans="1:1">
      <c r="A1355" t="s">
        <v>4403</v>
      </c>
    </row>
    <row r="1356" ht="15.75" customHeight="1" spans="1:1">
      <c r="A1356" t="s">
        <v>4404</v>
      </c>
    </row>
    <row r="1357" ht="15.75" customHeight="1" spans="1:1">
      <c r="A1357" t="s">
        <v>4405</v>
      </c>
    </row>
    <row r="1358" ht="15.75" customHeight="1" spans="1:1">
      <c r="A1358" t="s">
        <v>4406</v>
      </c>
    </row>
    <row r="1359" ht="15.75" customHeight="1" spans="1:1">
      <c r="A1359" t="s">
        <v>4407</v>
      </c>
    </row>
    <row r="1360" ht="15.75" customHeight="1" spans="1:1">
      <c r="A1360" t="s">
        <v>4408</v>
      </c>
    </row>
    <row r="1361" ht="15.75" customHeight="1" spans="1:1">
      <c r="A1361" t="s">
        <v>4409</v>
      </c>
    </row>
    <row r="1362" ht="15.75" customHeight="1" spans="1:1">
      <c r="A1362" t="s">
        <v>4410</v>
      </c>
    </row>
    <row r="1363" ht="15.75" customHeight="1" spans="1:1">
      <c r="A1363" t="s">
        <v>4411</v>
      </c>
    </row>
    <row r="1364" ht="15.75" customHeight="1" spans="1:1">
      <c r="A1364" t="s">
        <v>4412</v>
      </c>
    </row>
    <row r="1365" ht="15.75" customHeight="1" spans="1:1">
      <c r="A1365" t="s">
        <v>4413</v>
      </c>
    </row>
    <row r="1366" ht="15.75" customHeight="1" spans="1:1">
      <c r="A1366" t="s">
        <v>4414</v>
      </c>
    </row>
    <row r="1367" ht="15.75" customHeight="1" spans="1:1">
      <c r="A1367" t="s">
        <v>4415</v>
      </c>
    </row>
    <row r="1368" ht="15.75" customHeight="1" spans="1:1">
      <c r="A1368" t="s">
        <v>4416</v>
      </c>
    </row>
    <row r="1369" ht="15.75" customHeight="1" spans="1:1">
      <c r="A1369" t="s">
        <v>4417</v>
      </c>
    </row>
    <row r="1370" ht="15.75" customHeight="1" spans="1:1">
      <c r="A1370" t="s">
        <v>4418</v>
      </c>
    </row>
    <row r="1371" ht="15.75" customHeight="1" spans="1:1">
      <c r="A1371" t="s">
        <v>4419</v>
      </c>
    </row>
    <row r="1372" ht="15.75" customHeight="1" spans="1:1">
      <c r="A1372" t="s">
        <v>4420</v>
      </c>
    </row>
    <row r="1373" ht="15.75" customHeight="1" spans="1:1">
      <c r="A1373" t="s">
        <v>4421</v>
      </c>
    </row>
    <row r="1374" ht="15.75" customHeight="1" spans="1:1">
      <c r="A1374" t="s">
        <v>4422</v>
      </c>
    </row>
    <row r="1375" ht="15.75" customHeight="1" spans="1:1">
      <c r="A1375" t="s">
        <v>4423</v>
      </c>
    </row>
    <row r="1376" ht="15.75" customHeight="1" spans="1:1">
      <c r="A1376" t="s">
        <v>4424</v>
      </c>
    </row>
    <row r="1377" ht="15.75" customHeight="1" spans="1:1">
      <c r="A1377" t="s">
        <v>4425</v>
      </c>
    </row>
    <row r="1378" ht="15.75" customHeight="1" spans="1:1">
      <c r="A1378" t="s">
        <v>4426</v>
      </c>
    </row>
    <row r="1379" ht="15.75" customHeight="1" spans="1:1">
      <c r="A1379" t="s">
        <v>4427</v>
      </c>
    </row>
    <row r="1380" ht="15.75" customHeight="1" spans="1:1">
      <c r="A1380" t="s">
        <v>4428</v>
      </c>
    </row>
    <row r="1381" ht="15.75" customHeight="1" spans="1:1">
      <c r="A1381" t="s">
        <v>4429</v>
      </c>
    </row>
    <row r="1382" ht="15.75" customHeight="1" spans="1:1">
      <c r="A1382" t="s">
        <v>4430</v>
      </c>
    </row>
    <row r="1383" ht="15.75" customHeight="1" spans="1:1">
      <c r="A1383" t="s">
        <v>4431</v>
      </c>
    </row>
    <row r="1384" ht="15.75" customHeight="1" spans="1:1">
      <c r="A1384" t="s">
        <v>4432</v>
      </c>
    </row>
    <row r="1385" ht="15.75" customHeight="1" spans="1:1">
      <c r="A1385" t="s">
        <v>4433</v>
      </c>
    </row>
    <row r="1386" ht="15.75" customHeight="1" spans="1:1">
      <c r="A1386" t="s">
        <v>4434</v>
      </c>
    </row>
    <row r="1387" ht="15.75" customHeight="1" spans="1:1">
      <c r="A1387" t="s">
        <v>4435</v>
      </c>
    </row>
    <row r="1388" ht="15.75" customHeight="1" spans="1:1">
      <c r="A1388" t="s">
        <v>4436</v>
      </c>
    </row>
    <row r="1389" ht="15.75" customHeight="1" spans="1:1">
      <c r="A1389" t="s">
        <v>4437</v>
      </c>
    </row>
    <row r="1390" ht="15.75" customHeight="1" spans="1:1">
      <c r="A1390" t="s">
        <v>4438</v>
      </c>
    </row>
    <row r="1391" ht="15.75" customHeight="1" spans="1:1">
      <c r="A1391" t="s">
        <v>4439</v>
      </c>
    </row>
    <row r="1392" ht="15.75" customHeight="1" spans="1:1">
      <c r="A1392" t="s">
        <v>4440</v>
      </c>
    </row>
    <row r="1393" ht="15.75" customHeight="1" spans="1:1">
      <c r="A1393" t="s">
        <v>4441</v>
      </c>
    </row>
    <row r="1394" ht="15.75" customHeight="1" spans="1:1">
      <c r="A1394" t="s">
        <v>4442</v>
      </c>
    </row>
    <row r="1395" ht="15.75" customHeight="1" spans="1:1">
      <c r="A1395" t="s">
        <v>4443</v>
      </c>
    </row>
    <row r="1396" ht="15.75" customHeight="1" spans="1:1">
      <c r="A1396" t="s">
        <v>4444</v>
      </c>
    </row>
    <row r="1397" ht="15.75" customHeight="1" spans="1:1">
      <c r="A1397" t="s">
        <v>4445</v>
      </c>
    </row>
    <row r="1398" ht="15.75" customHeight="1" spans="1:1">
      <c r="A1398" t="s">
        <v>4446</v>
      </c>
    </row>
    <row r="1399" ht="15.75" customHeight="1" spans="1:1">
      <c r="A1399" t="s">
        <v>4447</v>
      </c>
    </row>
    <row r="1400" ht="15.75" customHeight="1" spans="1:1">
      <c r="A1400" t="s">
        <v>4448</v>
      </c>
    </row>
    <row r="1401" ht="15.75" customHeight="1" spans="1:1">
      <c r="A1401" t="s">
        <v>4449</v>
      </c>
    </row>
    <row r="1402" ht="15.75" customHeight="1" spans="1:1">
      <c r="A1402" t="s">
        <v>4450</v>
      </c>
    </row>
    <row r="1403" ht="15.75" customHeight="1" spans="1:1">
      <c r="A1403" t="s">
        <v>4451</v>
      </c>
    </row>
    <row r="1404" ht="15.75" customHeight="1" spans="1:1">
      <c r="A1404" t="s">
        <v>4452</v>
      </c>
    </row>
    <row r="1405" ht="15.75" customHeight="1" spans="1:1">
      <c r="A1405" t="s">
        <v>4453</v>
      </c>
    </row>
    <row r="1406" ht="15.75" customHeight="1" spans="1:1">
      <c r="A1406" t="s">
        <v>4454</v>
      </c>
    </row>
    <row r="1407" ht="15.75" customHeight="1" spans="1:1">
      <c r="A1407" t="s">
        <v>4455</v>
      </c>
    </row>
    <row r="1408" ht="15.75" customHeight="1" spans="1:1">
      <c r="A1408" t="s">
        <v>4456</v>
      </c>
    </row>
    <row r="1409" ht="15.75" customHeight="1" spans="1:1">
      <c r="A1409" t="s">
        <v>4457</v>
      </c>
    </row>
    <row r="1410" ht="15.75" customHeight="1" spans="1:1">
      <c r="A1410" t="s">
        <v>4458</v>
      </c>
    </row>
    <row r="1411" ht="15.75" customHeight="1" spans="1:1">
      <c r="A1411" t="s">
        <v>4459</v>
      </c>
    </row>
    <row r="1412" ht="15.75" customHeight="1" spans="1:1">
      <c r="A1412" t="s">
        <v>4460</v>
      </c>
    </row>
    <row r="1413" ht="15.75" customHeight="1" spans="1:1">
      <c r="A1413" t="s">
        <v>4461</v>
      </c>
    </row>
    <row r="1414" ht="15.75" customHeight="1" spans="1:1">
      <c r="A1414" t="s">
        <v>4462</v>
      </c>
    </row>
    <row r="1415" ht="15.75" customHeight="1" spans="1:1">
      <c r="A1415" t="s">
        <v>4463</v>
      </c>
    </row>
    <row r="1416" ht="15.75" customHeight="1" spans="1:1">
      <c r="A1416" t="s">
        <v>4464</v>
      </c>
    </row>
    <row r="1417" ht="15.75" customHeight="1" spans="1:1">
      <c r="A1417" t="s">
        <v>4465</v>
      </c>
    </row>
    <row r="1418" ht="15.75" customHeight="1" spans="1:1">
      <c r="A1418" t="s">
        <v>4466</v>
      </c>
    </row>
    <row r="1419" ht="15.75" customHeight="1" spans="1:1">
      <c r="A1419" t="s">
        <v>4467</v>
      </c>
    </row>
    <row r="1420" ht="15.75" customHeight="1" spans="1:1">
      <c r="A1420" t="s">
        <v>4468</v>
      </c>
    </row>
    <row r="1421" ht="15.75" customHeight="1" spans="1:1">
      <c r="A1421" t="s">
        <v>4469</v>
      </c>
    </row>
    <row r="1422" ht="15.75" customHeight="1" spans="1:1">
      <c r="A1422" t="s">
        <v>4470</v>
      </c>
    </row>
    <row r="1423" ht="15.75" customHeight="1" spans="1:1">
      <c r="A1423" t="s">
        <v>4471</v>
      </c>
    </row>
    <row r="1424" ht="15.75" customHeight="1" spans="1:1">
      <c r="A1424" t="s">
        <v>4472</v>
      </c>
    </row>
    <row r="1425" ht="15.75" customHeight="1" spans="1:1">
      <c r="A1425" t="s">
        <v>4473</v>
      </c>
    </row>
    <row r="1426" ht="15.75" customHeight="1" spans="1:1">
      <c r="A1426" t="s">
        <v>4474</v>
      </c>
    </row>
    <row r="1427" ht="15.75" customHeight="1" spans="1:1">
      <c r="A1427" t="s">
        <v>4475</v>
      </c>
    </row>
    <row r="1428" ht="15.75" customHeight="1" spans="1:1">
      <c r="A1428" t="s">
        <v>4476</v>
      </c>
    </row>
    <row r="1429" ht="15.75" customHeight="1" spans="1:1">
      <c r="A1429" t="s">
        <v>4477</v>
      </c>
    </row>
    <row r="1430" ht="15.75" customHeight="1" spans="1:1">
      <c r="A1430" t="s">
        <v>4478</v>
      </c>
    </row>
    <row r="1431" ht="15.75" customHeight="1" spans="1:1">
      <c r="A1431" t="s">
        <v>4479</v>
      </c>
    </row>
    <row r="1432" ht="15.75" customHeight="1" spans="1:1">
      <c r="A1432" t="s">
        <v>4480</v>
      </c>
    </row>
    <row r="1433" ht="15.75" customHeight="1" spans="1:1">
      <c r="A1433" t="s">
        <v>4481</v>
      </c>
    </row>
    <row r="1434" ht="15.75" customHeight="1" spans="1:1">
      <c r="A1434" t="s">
        <v>4482</v>
      </c>
    </row>
    <row r="1435" ht="15.75" customHeight="1" spans="1:1">
      <c r="A1435" t="s">
        <v>4483</v>
      </c>
    </row>
    <row r="1436" ht="15.75" customHeight="1" spans="1:1">
      <c r="A1436" t="s">
        <v>4484</v>
      </c>
    </row>
    <row r="1437" ht="15.75" customHeight="1" spans="1:1">
      <c r="A1437" t="s">
        <v>4485</v>
      </c>
    </row>
    <row r="1438" ht="15.75" customHeight="1" spans="1:1">
      <c r="A1438" t="s">
        <v>4486</v>
      </c>
    </row>
    <row r="1439" ht="15.75" customHeight="1" spans="1:1">
      <c r="A1439" t="s">
        <v>4487</v>
      </c>
    </row>
    <row r="1440" ht="15.75" customHeight="1" spans="1:1">
      <c r="A1440" t="s">
        <v>4488</v>
      </c>
    </row>
    <row r="1441" ht="15.75" customHeight="1" spans="1:1">
      <c r="A1441" t="s">
        <v>4489</v>
      </c>
    </row>
    <row r="1442" ht="15.75" customHeight="1" spans="1:1">
      <c r="A1442" t="s">
        <v>4490</v>
      </c>
    </row>
    <row r="1443" ht="15.75" customHeight="1" spans="1:1">
      <c r="A1443" t="s">
        <v>4491</v>
      </c>
    </row>
    <row r="1444" ht="15.75" customHeight="1" spans="1:1">
      <c r="A1444" t="s">
        <v>4492</v>
      </c>
    </row>
    <row r="1445" ht="15.75" customHeight="1" spans="1:1">
      <c r="A1445" t="s">
        <v>4493</v>
      </c>
    </row>
    <row r="1446" ht="15.75" customHeight="1" spans="1:1">
      <c r="A1446" t="s">
        <v>4494</v>
      </c>
    </row>
    <row r="1447" ht="15.75" customHeight="1" spans="1:1">
      <c r="A1447" t="s">
        <v>4495</v>
      </c>
    </row>
    <row r="1448" ht="15.75" customHeight="1" spans="1:1">
      <c r="A1448" t="s">
        <v>4496</v>
      </c>
    </row>
    <row r="1449" ht="15.75" customHeight="1" spans="1:1">
      <c r="A1449" t="s">
        <v>4497</v>
      </c>
    </row>
    <row r="1450" ht="15.75" customHeight="1" spans="1:1">
      <c r="A1450" t="s">
        <v>4498</v>
      </c>
    </row>
    <row r="1451" ht="15.75" customHeight="1" spans="1:1">
      <c r="A1451" t="s">
        <v>4499</v>
      </c>
    </row>
    <row r="1452" ht="15.75" customHeight="1" spans="1:1">
      <c r="A1452" t="s">
        <v>4500</v>
      </c>
    </row>
    <row r="1453" ht="15.75" customHeight="1" spans="1:1">
      <c r="A1453" t="s">
        <v>4501</v>
      </c>
    </row>
    <row r="1454" ht="15.75" customHeight="1" spans="1:1">
      <c r="A1454" t="s">
        <v>4502</v>
      </c>
    </row>
    <row r="1455" ht="15.75" customHeight="1" spans="1:1">
      <c r="A1455" t="s">
        <v>4503</v>
      </c>
    </row>
    <row r="1456" ht="15.75" customHeight="1" spans="1:1">
      <c r="A1456" t="s">
        <v>4504</v>
      </c>
    </row>
    <row r="1457" ht="15.75" customHeight="1" spans="1:1">
      <c r="A1457" t="s">
        <v>4505</v>
      </c>
    </row>
    <row r="1458" ht="15.75" customHeight="1" spans="1:1">
      <c r="A1458" t="s">
        <v>4506</v>
      </c>
    </row>
    <row r="1459" ht="15.75" customHeight="1" spans="1:1">
      <c r="A1459" t="s">
        <v>4507</v>
      </c>
    </row>
    <row r="1460" ht="15.75" customHeight="1" spans="1:1">
      <c r="A1460" t="s">
        <v>4508</v>
      </c>
    </row>
    <row r="1461" ht="15.75" customHeight="1" spans="1:1">
      <c r="A1461" t="s">
        <v>4509</v>
      </c>
    </row>
    <row r="1462" ht="15.75" customHeight="1" spans="1:1">
      <c r="A1462" t="s">
        <v>4510</v>
      </c>
    </row>
    <row r="1463" ht="15.75" customHeight="1" spans="1:1">
      <c r="A1463" t="s">
        <v>4511</v>
      </c>
    </row>
    <row r="1464" ht="15.75" customHeight="1" spans="1:1">
      <c r="A1464" t="s">
        <v>4512</v>
      </c>
    </row>
    <row r="1465" ht="15.75" customHeight="1" spans="1:1">
      <c r="A1465" t="s">
        <v>4513</v>
      </c>
    </row>
    <row r="1466" ht="15.75" customHeight="1" spans="1:1">
      <c r="A1466" t="s">
        <v>4514</v>
      </c>
    </row>
    <row r="1467" ht="15.75" customHeight="1" spans="1:1">
      <c r="A1467" t="s">
        <v>4515</v>
      </c>
    </row>
    <row r="1468" ht="15.75" customHeight="1" spans="1:1">
      <c r="A1468" t="s">
        <v>4516</v>
      </c>
    </row>
    <row r="1469" ht="15.75" customHeight="1" spans="1:1">
      <c r="A1469" t="s">
        <v>4517</v>
      </c>
    </row>
    <row r="1470" ht="15.75" customHeight="1" spans="1:1">
      <c r="A1470" t="s">
        <v>4518</v>
      </c>
    </row>
    <row r="1471" ht="15.75" customHeight="1" spans="1:1">
      <c r="A1471" t="s">
        <v>4519</v>
      </c>
    </row>
    <row r="1472" ht="15.75" customHeight="1" spans="1:1">
      <c r="A1472" t="s">
        <v>4520</v>
      </c>
    </row>
    <row r="1473" ht="15.75" customHeight="1" spans="1:1">
      <c r="A1473" t="s">
        <v>4521</v>
      </c>
    </row>
    <row r="1474" ht="15.75" customHeight="1" spans="1:1">
      <c r="A1474" t="s">
        <v>4522</v>
      </c>
    </row>
    <row r="1475" ht="15.75" customHeight="1" spans="1:1">
      <c r="A1475" t="s">
        <v>4523</v>
      </c>
    </row>
    <row r="1476" ht="15.75" customHeight="1" spans="1:1">
      <c r="A1476" t="s">
        <v>4524</v>
      </c>
    </row>
    <row r="1477" ht="15.75" customHeight="1" spans="1:1">
      <c r="A1477" t="s">
        <v>4525</v>
      </c>
    </row>
    <row r="1478" ht="15.75" customHeight="1" spans="1:1">
      <c r="A1478" t="s">
        <v>4526</v>
      </c>
    </row>
    <row r="1479" ht="15.75" customHeight="1" spans="1:1">
      <c r="A1479" t="s">
        <v>4527</v>
      </c>
    </row>
    <row r="1480" ht="15.75" customHeight="1" spans="1:1">
      <c r="A1480" t="s">
        <v>4528</v>
      </c>
    </row>
    <row r="1481" ht="15.75" customHeight="1" spans="1:1">
      <c r="A1481" t="s">
        <v>4529</v>
      </c>
    </row>
    <row r="1482" ht="15.75" customHeight="1" spans="1:1">
      <c r="A1482" t="s">
        <v>4530</v>
      </c>
    </row>
    <row r="1483" ht="15.75" customHeight="1" spans="1:1">
      <c r="A1483" t="s">
        <v>4531</v>
      </c>
    </row>
    <row r="1484" ht="15.75" customHeight="1" spans="1:1">
      <c r="A1484" t="s">
        <v>4532</v>
      </c>
    </row>
    <row r="1485" ht="15.75" customHeight="1" spans="1:1">
      <c r="A1485" t="s">
        <v>4533</v>
      </c>
    </row>
    <row r="1486" ht="15.75" customHeight="1" spans="1:1">
      <c r="A1486" t="s">
        <v>4534</v>
      </c>
    </row>
    <row r="1487" ht="15.75" customHeight="1" spans="1:1">
      <c r="A1487" t="s">
        <v>4535</v>
      </c>
    </row>
    <row r="1488" ht="15.75" customHeight="1" spans="1:1">
      <c r="A1488" t="s">
        <v>4536</v>
      </c>
    </row>
    <row r="1489" ht="15.75" customHeight="1" spans="1:1">
      <c r="A1489" t="s">
        <v>4537</v>
      </c>
    </row>
    <row r="1490" ht="15.75" customHeight="1" spans="1:1">
      <c r="A1490" t="s">
        <v>4538</v>
      </c>
    </row>
    <row r="1491" ht="15.75" customHeight="1" spans="1:1">
      <c r="A1491" t="s">
        <v>4539</v>
      </c>
    </row>
    <row r="1492" ht="15.75" customHeight="1" spans="1:1">
      <c r="A1492" t="s">
        <v>4540</v>
      </c>
    </row>
    <row r="1493" ht="15.75" customHeight="1" spans="1:1">
      <c r="A1493" t="s">
        <v>4541</v>
      </c>
    </row>
    <row r="1494" ht="15.75" customHeight="1" spans="1:1">
      <c r="A1494" t="s">
        <v>4542</v>
      </c>
    </row>
    <row r="1495" ht="15.75" customHeight="1" spans="1:1">
      <c r="A1495" t="s">
        <v>4543</v>
      </c>
    </row>
    <row r="1496" ht="15.75" customHeight="1" spans="1:1">
      <c r="A1496" t="s">
        <v>4544</v>
      </c>
    </row>
    <row r="1497" ht="15.75" customHeight="1" spans="1:1">
      <c r="A1497" t="s">
        <v>4545</v>
      </c>
    </row>
    <row r="1498" ht="15.75" customHeight="1" spans="1:1">
      <c r="A1498" t="s">
        <v>4546</v>
      </c>
    </row>
    <row r="1499" ht="15.75" customHeight="1" spans="1:1">
      <c r="A1499" t="s">
        <v>4547</v>
      </c>
    </row>
    <row r="1500" ht="15.75" customHeight="1" spans="1:1">
      <c r="A1500" t="s">
        <v>4548</v>
      </c>
    </row>
    <row r="1501" ht="15.75" customHeight="1" spans="1:1">
      <c r="A1501" t="s">
        <v>4549</v>
      </c>
    </row>
    <row r="1502" ht="15.75" customHeight="1" spans="1:1">
      <c r="A1502" t="s">
        <v>4550</v>
      </c>
    </row>
    <row r="1503" ht="15.75" customHeight="1" spans="1:1">
      <c r="A1503" t="s">
        <v>4551</v>
      </c>
    </row>
    <row r="1504" ht="15.75" customHeight="1" spans="1:1">
      <c r="A1504" t="s">
        <v>4552</v>
      </c>
    </row>
    <row r="1505" ht="15.75" customHeight="1" spans="1:1">
      <c r="A1505" t="s">
        <v>4553</v>
      </c>
    </row>
    <row r="1506" ht="15.75" customHeight="1" spans="1:1">
      <c r="A1506" t="s">
        <v>4554</v>
      </c>
    </row>
    <row r="1507" ht="15.75" customHeight="1" spans="1:1">
      <c r="A1507" t="s">
        <v>4555</v>
      </c>
    </row>
    <row r="1508" ht="15.75" customHeight="1" spans="1:1">
      <c r="A1508" t="s">
        <v>4556</v>
      </c>
    </row>
    <row r="1509" ht="15.75" customHeight="1" spans="1:1">
      <c r="A1509" t="s">
        <v>4557</v>
      </c>
    </row>
    <row r="1510" ht="15.75" customHeight="1" spans="1:1">
      <c r="A1510" t="s">
        <v>4558</v>
      </c>
    </row>
    <row r="1511" ht="15.75" customHeight="1" spans="1:1">
      <c r="A1511" t="s">
        <v>4559</v>
      </c>
    </row>
    <row r="1512" ht="15.75" customHeight="1" spans="1:1">
      <c r="A1512" t="s">
        <v>4560</v>
      </c>
    </row>
    <row r="1513" ht="15.75" customHeight="1" spans="1:1">
      <c r="A1513" t="s">
        <v>4561</v>
      </c>
    </row>
    <row r="1514" ht="15.75" customHeight="1" spans="1:1">
      <c r="A1514" t="s">
        <v>4562</v>
      </c>
    </row>
    <row r="1515" ht="15.75" customHeight="1" spans="1:1">
      <c r="A1515" t="s">
        <v>4563</v>
      </c>
    </row>
    <row r="1516" ht="15.75" customHeight="1" spans="1:1">
      <c r="A1516" t="s">
        <v>4564</v>
      </c>
    </row>
    <row r="1517" ht="15.75" customHeight="1" spans="1:1">
      <c r="A1517" t="s">
        <v>4565</v>
      </c>
    </row>
    <row r="1518" ht="15.75" customHeight="1" spans="1:1">
      <c r="A1518" t="s">
        <v>4566</v>
      </c>
    </row>
    <row r="1519" ht="15.75" customHeight="1" spans="1:1">
      <c r="A1519" t="s">
        <v>4567</v>
      </c>
    </row>
    <row r="1520" ht="15.75" customHeight="1" spans="1:1">
      <c r="A1520" t="s">
        <v>4568</v>
      </c>
    </row>
    <row r="1521" ht="15.75" customHeight="1" spans="1:1">
      <c r="A1521" t="s">
        <v>4569</v>
      </c>
    </row>
    <row r="1522" ht="15.75" customHeight="1" spans="1:1">
      <c r="A1522" t="s">
        <v>4570</v>
      </c>
    </row>
    <row r="1523" ht="15.75" customHeight="1" spans="1:1">
      <c r="A1523" t="s">
        <v>4571</v>
      </c>
    </row>
    <row r="1524" ht="15.75" customHeight="1" spans="1:1">
      <c r="A1524" t="s">
        <v>4572</v>
      </c>
    </row>
    <row r="1525" ht="15.75" customHeight="1" spans="1:1">
      <c r="A1525" t="s">
        <v>4573</v>
      </c>
    </row>
    <row r="1526" ht="15.75" customHeight="1" spans="1:1">
      <c r="A1526" t="s">
        <v>4574</v>
      </c>
    </row>
    <row r="1527" ht="15.75" customHeight="1" spans="1:1">
      <c r="A1527" t="s">
        <v>4575</v>
      </c>
    </row>
    <row r="1528" ht="15.75" customHeight="1" spans="1:1">
      <c r="A1528" t="s">
        <v>4576</v>
      </c>
    </row>
    <row r="1529" ht="15.75" customHeight="1" spans="1:1">
      <c r="A1529" t="s">
        <v>4577</v>
      </c>
    </row>
    <row r="1530" ht="15.75" customHeight="1" spans="1:1">
      <c r="A1530" t="s">
        <v>4578</v>
      </c>
    </row>
    <row r="1531" ht="15.75" customHeight="1" spans="1:1">
      <c r="A1531" t="s">
        <v>4579</v>
      </c>
    </row>
    <row r="1532" ht="15.75" customHeight="1" spans="1:1">
      <c r="A1532" t="s">
        <v>4580</v>
      </c>
    </row>
    <row r="1533" ht="15.75" customHeight="1" spans="1:1">
      <c r="A1533" t="s">
        <v>4581</v>
      </c>
    </row>
    <row r="1534" ht="15.75" customHeight="1" spans="1:1">
      <c r="A1534" t="s">
        <v>4582</v>
      </c>
    </row>
    <row r="1535" ht="15.75" customHeight="1" spans="1:1">
      <c r="A1535" t="s">
        <v>4583</v>
      </c>
    </row>
    <row r="1536" ht="15.75" customHeight="1" spans="1:1">
      <c r="A1536" t="s">
        <v>4584</v>
      </c>
    </row>
    <row r="1537" ht="15.75" customHeight="1" spans="1:1">
      <c r="A1537" t="s">
        <v>4585</v>
      </c>
    </row>
    <row r="1538" ht="15.75" customHeight="1" spans="1:1">
      <c r="A1538" t="s">
        <v>4586</v>
      </c>
    </row>
    <row r="1539" ht="15.75" customHeight="1" spans="1:1">
      <c r="A1539" t="s">
        <v>4587</v>
      </c>
    </row>
    <row r="1540" ht="15.75" customHeight="1" spans="1:1">
      <c r="A1540" t="s">
        <v>4588</v>
      </c>
    </row>
    <row r="1541" ht="15.75" customHeight="1" spans="1:1">
      <c r="A1541" t="s">
        <v>4589</v>
      </c>
    </row>
    <row r="1542" ht="15.75" customHeight="1" spans="1:1">
      <c r="A1542" t="s">
        <v>4590</v>
      </c>
    </row>
    <row r="1543" ht="15.75" customHeight="1" spans="1:1">
      <c r="A1543" t="s">
        <v>4591</v>
      </c>
    </row>
    <row r="1544" ht="15.75" customHeight="1" spans="1:1">
      <c r="A1544" t="s">
        <v>4592</v>
      </c>
    </row>
    <row r="1545" ht="15.75" customHeight="1" spans="1:1">
      <c r="A1545" t="s">
        <v>4593</v>
      </c>
    </row>
    <row r="1546" ht="15.75" customHeight="1" spans="1:1">
      <c r="A1546" t="s">
        <v>4594</v>
      </c>
    </row>
    <row r="1547" ht="15.75" customHeight="1" spans="1:1">
      <c r="A1547" t="s">
        <v>4595</v>
      </c>
    </row>
    <row r="1548" ht="15.75" customHeight="1" spans="1:1">
      <c r="A1548" t="s">
        <v>4596</v>
      </c>
    </row>
    <row r="1549" ht="15.75" customHeight="1" spans="1:1">
      <c r="A1549" t="s">
        <v>4597</v>
      </c>
    </row>
    <row r="1550" ht="15.75" customHeight="1" spans="1:1">
      <c r="A1550" t="s">
        <v>4598</v>
      </c>
    </row>
    <row r="1551" ht="15.75" customHeight="1" spans="1:1">
      <c r="A1551" t="s">
        <v>4599</v>
      </c>
    </row>
    <row r="1552" ht="15.75" customHeight="1" spans="1:1">
      <c r="A1552" t="s">
        <v>4600</v>
      </c>
    </row>
    <row r="1553" ht="15.75" customHeight="1" spans="1:1">
      <c r="A1553" t="s">
        <v>4601</v>
      </c>
    </row>
    <row r="1554" ht="15.75" customHeight="1" spans="1:1">
      <c r="A1554" t="s">
        <v>4602</v>
      </c>
    </row>
    <row r="1555" ht="15.75" customHeight="1" spans="1:1">
      <c r="A1555" t="s">
        <v>4603</v>
      </c>
    </row>
    <row r="1556" ht="15.75" customHeight="1" spans="1:1">
      <c r="A1556" t="s">
        <v>4604</v>
      </c>
    </row>
    <row r="1557" ht="15.75" customHeight="1" spans="1:1">
      <c r="A1557" t="s">
        <v>4605</v>
      </c>
    </row>
    <row r="1558" ht="15.75" customHeight="1" spans="1:1">
      <c r="A1558" t="s">
        <v>4606</v>
      </c>
    </row>
    <row r="1559" ht="15.75" customHeight="1" spans="1:1">
      <c r="A1559" t="s">
        <v>4607</v>
      </c>
    </row>
    <row r="1560" ht="15.75" customHeight="1" spans="1:1">
      <c r="A1560" t="s">
        <v>4608</v>
      </c>
    </row>
    <row r="1561" ht="15.75" customHeight="1" spans="1:1">
      <c r="A1561" t="s">
        <v>4609</v>
      </c>
    </row>
    <row r="1562" ht="15.75" customHeight="1" spans="1:1">
      <c r="A1562" t="s">
        <v>4610</v>
      </c>
    </row>
    <row r="1563" ht="15.75" customHeight="1" spans="1:1">
      <c r="A1563" t="s">
        <v>4611</v>
      </c>
    </row>
    <row r="1564" ht="15.75" customHeight="1" spans="1:1">
      <c r="A1564" t="s">
        <v>4612</v>
      </c>
    </row>
    <row r="1565" ht="15.75" customHeight="1" spans="1:1">
      <c r="A1565" t="s">
        <v>4613</v>
      </c>
    </row>
    <row r="1566" ht="15.75" customHeight="1" spans="1:1">
      <c r="A1566" t="s">
        <v>4614</v>
      </c>
    </row>
    <row r="1567" ht="15.75" customHeight="1" spans="1:1">
      <c r="A1567" t="s">
        <v>4615</v>
      </c>
    </row>
    <row r="1568" ht="15.75" customHeight="1" spans="1:1">
      <c r="A1568" t="s">
        <v>4616</v>
      </c>
    </row>
    <row r="1569" ht="15.75" customHeight="1" spans="1:1">
      <c r="A1569" t="s">
        <v>4617</v>
      </c>
    </row>
    <row r="1570" ht="15.75" customHeight="1" spans="1:1">
      <c r="A1570" t="s">
        <v>4618</v>
      </c>
    </row>
    <row r="1571" ht="15.75" customHeight="1" spans="1:1">
      <c r="A1571" t="s">
        <v>4619</v>
      </c>
    </row>
    <row r="1572" ht="15.75" customHeight="1" spans="1:1">
      <c r="A1572" t="s">
        <v>4620</v>
      </c>
    </row>
    <row r="1573" ht="15.75" customHeight="1" spans="1:1">
      <c r="A1573" t="s">
        <v>4621</v>
      </c>
    </row>
    <row r="1574" ht="15.75" customHeight="1" spans="1:1">
      <c r="A1574" t="s">
        <v>4622</v>
      </c>
    </row>
    <row r="1575" ht="15.75" customHeight="1" spans="1:1">
      <c r="A1575" t="s">
        <v>4623</v>
      </c>
    </row>
    <row r="1576" ht="15.75" customHeight="1" spans="1:1">
      <c r="A1576" t="s">
        <v>4624</v>
      </c>
    </row>
    <row r="1577" ht="15.75" customHeight="1" spans="1:1">
      <c r="A1577" t="s">
        <v>4625</v>
      </c>
    </row>
    <row r="1578" ht="15.75" customHeight="1" spans="1:1">
      <c r="A1578" t="s">
        <v>4626</v>
      </c>
    </row>
    <row r="1579" ht="15.75" customHeight="1" spans="1:1">
      <c r="A1579" t="s">
        <v>4627</v>
      </c>
    </row>
    <row r="1580" ht="15.75" customHeight="1" spans="1:1">
      <c r="A1580" t="s">
        <v>4628</v>
      </c>
    </row>
    <row r="1581" ht="15.75" customHeight="1" spans="1:1">
      <c r="A1581" t="s">
        <v>4629</v>
      </c>
    </row>
    <row r="1582" ht="15.75" customHeight="1" spans="1:1">
      <c r="A1582" t="s">
        <v>4630</v>
      </c>
    </row>
    <row r="1583" ht="15.75" customHeight="1" spans="1:1">
      <c r="A1583" t="s">
        <v>4631</v>
      </c>
    </row>
    <row r="1584" ht="15.75" customHeight="1" spans="1:1">
      <c r="A1584" t="s">
        <v>4632</v>
      </c>
    </row>
    <row r="1585" ht="15.75" customHeight="1" spans="1:1">
      <c r="A1585" t="s">
        <v>4633</v>
      </c>
    </row>
    <row r="1586" ht="15.75" customHeight="1" spans="1:1">
      <c r="A1586" t="s">
        <v>4634</v>
      </c>
    </row>
    <row r="1587" ht="15.75" customHeight="1" spans="1:1">
      <c r="A1587" t="s">
        <v>4635</v>
      </c>
    </row>
    <row r="1588" ht="15.75" customHeight="1" spans="1:1">
      <c r="A1588" t="s">
        <v>4636</v>
      </c>
    </row>
    <row r="1589" ht="15.75" customHeight="1" spans="1:1">
      <c r="A1589" t="s">
        <v>4637</v>
      </c>
    </row>
    <row r="1590" ht="15.75" customHeight="1" spans="1:1">
      <c r="A1590" t="s">
        <v>4638</v>
      </c>
    </row>
    <row r="1591" ht="15.75" customHeight="1" spans="1:1">
      <c r="A1591" t="s">
        <v>4639</v>
      </c>
    </row>
    <row r="1592" ht="15.75" customHeight="1" spans="1:1">
      <c r="A1592" t="s">
        <v>4640</v>
      </c>
    </row>
    <row r="1593" ht="15.75" customHeight="1" spans="1:1">
      <c r="A1593" t="s">
        <v>4641</v>
      </c>
    </row>
    <row r="1594" ht="15.75" customHeight="1" spans="1:1">
      <c r="A1594" t="s">
        <v>4642</v>
      </c>
    </row>
    <row r="1595" ht="15.75" customHeight="1" spans="1:1">
      <c r="A1595" t="s">
        <v>4643</v>
      </c>
    </row>
    <row r="1596" ht="15.75" customHeight="1" spans="1:1">
      <c r="A1596" t="s">
        <v>4644</v>
      </c>
    </row>
    <row r="1597" ht="15.75" customHeight="1" spans="1:1">
      <c r="A1597" t="s">
        <v>4645</v>
      </c>
    </row>
    <row r="1598" ht="15.75" customHeight="1" spans="1:1">
      <c r="A1598" t="s">
        <v>4646</v>
      </c>
    </row>
    <row r="1599" ht="15.75" customHeight="1" spans="1:1">
      <c r="A1599" t="s">
        <v>4647</v>
      </c>
    </row>
    <row r="1600" ht="15.75" customHeight="1" spans="1:1">
      <c r="A1600" t="s">
        <v>4648</v>
      </c>
    </row>
    <row r="1601" ht="15.75" customHeight="1" spans="1:1">
      <c r="A1601" t="s">
        <v>4649</v>
      </c>
    </row>
    <row r="1602" ht="15.75" customHeight="1" spans="1:1">
      <c r="A1602" t="s">
        <v>4650</v>
      </c>
    </row>
    <row r="1603" ht="15.75" customHeight="1" spans="1:1">
      <c r="A1603" t="s">
        <v>4651</v>
      </c>
    </row>
    <row r="1604" ht="15.75" customHeight="1" spans="1:1">
      <c r="A1604" t="s">
        <v>4652</v>
      </c>
    </row>
    <row r="1605" ht="15.75" customHeight="1" spans="1:1">
      <c r="A1605" t="s">
        <v>4653</v>
      </c>
    </row>
    <row r="1606" ht="15.75" customHeight="1" spans="1:1">
      <c r="A1606" t="s">
        <v>4654</v>
      </c>
    </row>
    <row r="1607" ht="15.75" customHeight="1" spans="1:1">
      <c r="A1607" t="s">
        <v>4655</v>
      </c>
    </row>
    <row r="1608" ht="15.75" customHeight="1" spans="1:1">
      <c r="A1608" t="s">
        <v>4656</v>
      </c>
    </row>
    <row r="1609" ht="15.75" customHeight="1" spans="1:1">
      <c r="A1609" t="s">
        <v>4657</v>
      </c>
    </row>
    <row r="1610" ht="15.75" customHeight="1" spans="1:1">
      <c r="A1610" t="s">
        <v>4658</v>
      </c>
    </row>
    <row r="1611" ht="15.75" customHeight="1" spans="1:1">
      <c r="A1611" t="s">
        <v>4659</v>
      </c>
    </row>
    <row r="1612" ht="15.75" customHeight="1" spans="1:1">
      <c r="A1612" t="s">
        <v>4660</v>
      </c>
    </row>
    <row r="1613" ht="15.75" customHeight="1" spans="1:1">
      <c r="A1613" t="s">
        <v>4661</v>
      </c>
    </row>
    <row r="1614" ht="15.75" customHeight="1" spans="1:1">
      <c r="A1614" t="s">
        <v>4662</v>
      </c>
    </row>
    <row r="1615" ht="15.75" customHeight="1" spans="1:1">
      <c r="A1615" t="s">
        <v>4663</v>
      </c>
    </row>
    <row r="1616" ht="15.75" customHeight="1" spans="1:1">
      <c r="A1616" t="s">
        <v>4664</v>
      </c>
    </row>
    <row r="1617" ht="15.75" customHeight="1" spans="1:1">
      <c r="A1617" t="s">
        <v>4665</v>
      </c>
    </row>
    <row r="1618" ht="15.75" customHeight="1" spans="1:1">
      <c r="A1618" t="s">
        <v>4666</v>
      </c>
    </row>
    <row r="1619" ht="15.75" customHeight="1" spans="1:1">
      <c r="A1619" t="s">
        <v>4667</v>
      </c>
    </row>
    <row r="1620" ht="15.75" customHeight="1" spans="1:1">
      <c r="A1620" t="s">
        <v>4668</v>
      </c>
    </row>
    <row r="1621" ht="15.75" customHeight="1" spans="1:1">
      <c r="A1621" t="s">
        <v>4669</v>
      </c>
    </row>
    <row r="1622" ht="15.75" customHeight="1" spans="1:1">
      <c r="A1622" t="s">
        <v>4670</v>
      </c>
    </row>
    <row r="1623" ht="15.75" customHeight="1" spans="1:1">
      <c r="A1623" t="s">
        <v>4671</v>
      </c>
    </row>
    <row r="1624" ht="15.75" customHeight="1" spans="1:1">
      <c r="A1624" t="s">
        <v>4672</v>
      </c>
    </row>
    <row r="1625" ht="15.75" customHeight="1" spans="1:1">
      <c r="A1625" t="s">
        <v>4673</v>
      </c>
    </row>
    <row r="1626" ht="15.75" customHeight="1" spans="1:1">
      <c r="A1626" t="s">
        <v>4674</v>
      </c>
    </row>
    <row r="1627" ht="15.75" customHeight="1" spans="1:1">
      <c r="A1627" t="s">
        <v>4675</v>
      </c>
    </row>
    <row r="1628" ht="15.75" customHeight="1" spans="1:1">
      <c r="A1628" t="s">
        <v>4676</v>
      </c>
    </row>
    <row r="1629" ht="15.75" customHeight="1" spans="1:1">
      <c r="A1629" t="s">
        <v>4677</v>
      </c>
    </row>
    <row r="1630" ht="15.75" customHeight="1" spans="1:1">
      <c r="A1630" t="s">
        <v>4678</v>
      </c>
    </row>
    <row r="1631" ht="15.75" customHeight="1" spans="1:1">
      <c r="A1631" t="s">
        <v>4679</v>
      </c>
    </row>
    <row r="1632" ht="15.75" customHeight="1" spans="1:1">
      <c r="A1632" t="s">
        <v>4680</v>
      </c>
    </row>
    <row r="1633" ht="15.75" customHeight="1" spans="1:1">
      <c r="A1633" t="s">
        <v>4681</v>
      </c>
    </row>
    <row r="1634" ht="15.75" customHeight="1" spans="1:1">
      <c r="A1634" t="s">
        <v>4682</v>
      </c>
    </row>
    <row r="1635" ht="15.75" customHeight="1" spans="1:1">
      <c r="A1635" t="s">
        <v>4683</v>
      </c>
    </row>
    <row r="1636" ht="15.75" customHeight="1" spans="1:1">
      <c r="A1636" t="s">
        <v>4684</v>
      </c>
    </row>
    <row r="1637" ht="15.75" customHeight="1" spans="1:1">
      <c r="A1637" t="s">
        <v>4685</v>
      </c>
    </row>
    <row r="1638" ht="15.75" customHeight="1" spans="1:1">
      <c r="A1638" t="s">
        <v>4686</v>
      </c>
    </row>
    <row r="1639" ht="15.75" customHeight="1" spans="1:1">
      <c r="A1639" t="s">
        <v>4687</v>
      </c>
    </row>
    <row r="1640" ht="15.75" customHeight="1" spans="1:1">
      <c r="A1640" t="s">
        <v>4688</v>
      </c>
    </row>
    <row r="1641" ht="15.75" customHeight="1" spans="1:1">
      <c r="A1641" t="s">
        <v>4689</v>
      </c>
    </row>
    <row r="1642" ht="15.75" customHeight="1" spans="1:1">
      <c r="A1642" t="s">
        <v>4690</v>
      </c>
    </row>
    <row r="1643" ht="15.75" customHeight="1" spans="1:1">
      <c r="A1643" t="s">
        <v>4691</v>
      </c>
    </row>
    <row r="1644" ht="15.75" customHeight="1" spans="1:1">
      <c r="A1644" t="s">
        <v>4692</v>
      </c>
    </row>
    <row r="1645" ht="15.75" customHeight="1" spans="1:1">
      <c r="A1645" t="s">
        <v>4693</v>
      </c>
    </row>
    <row r="1646" ht="15.75" customHeight="1" spans="1:1">
      <c r="A1646" t="s">
        <v>4694</v>
      </c>
    </row>
    <row r="1647" ht="15.75" customHeight="1" spans="1:1">
      <c r="A1647" t="s">
        <v>4695</v>
      </c>
    </row>
    <row r="1648" ht="15.75" customHeight="1" spans="1:1">
      <c r="A1648" t="s">
        <v>4696</v>
      </c>
    </row>
    <row r="1649" ht="15.75" customHeight="1" spans="1:1">
      <c r="A1649" t="s">
        <v>4697</v>
      </c>
    </row>
    <row r="1650" ht="15.75" customHeight="1" spans="1:1">
      <c r="A1650" t="s">
        <v>4698</v>
      </c>
    </row>
    <row r="1651" ht="15.75" customHeight="1" spans="1:1">
      <c r="A1651" t="s">
        <v>4699</v>
      </c>
    </row>
    <row r="1652" ht="15.75" customHeight="1" spans="1:1">
      <c r="A1652" t="s">
        <v>4700</v>
      </c>
    </row>
    <row r="1653" ht="15.75" customHeight="1" spans="1:1">
      <c r="A1653" t="s">
        <v>4701</v>
      </c>
    </row>
    <row r="1654" ht="15.75" customHeight="1" spans="1:1">
      <c r="A1654" t="s">
        <v>4702</v>
      </c>
    </row>
    <row r="1655" ht="15.75" customHeight="1" spans="1:1">
      <c r="A1655" t="s">
        <v>4703</v>
      </c>
    </row>
    <row r="1656" ht="15.75" customHeight="1" spans="1:1">
      <c r="A1656" t="s">
        <v>4704</v>
      </c>
    </row>
    <row r="1657" ht="15.75" customHeight="1" spans="1:1">
      <c r="A1657" t="s">
        <v>4705</v>
      </c>
    </row>
    <row r="1658" ht="15.75" customHeight="1" spans="1:1">
      <c r="A1658" t="s">
        <v>4706</v>
      </c>
    </row>
    <row r="1659" ht="15.75" customHeight="1" spans="1:1">
      <c r="A1659" t="s">
        <v>4707</v>
      </c>
    </row>
    <row r="1660" ht="15.75" customHeight="1" spans="1:1">
      <c r="A1660" t="s">
        <v>4708</v>
      </c>
    </row>
    <row r="1661" ht="15.75" customHeight="1" spans="1:1">
      <c r="A1661" t="s">
        <v>4709</v>
      </c>
    </row>
    <row r="1662" ht="15.75" customHeight="1" spans="1:1">
      <c r="A1662" t="s">
        <v>4710</v>
      </c>
    </row>
    <row r="1663" ht="15.75" customHeight="1" spans="1:1">
      <c r="A1663" t="s">
        <v>4711</v>
      </c>
    </row>
    <row r="1664" ht="15.75" customHeight="1" spans="1:1">
      <c r="A1664" t="s">
        <v>4712</v>
      </c>
    </row>
    <row r="1665" ht="15.75" customHeight="1" spans="1:1">
      <c r="A1665" t="s">
        <v>4713</v>
      </c>
    </row>
    <row r="1666" ht="15.75" customHeight="1" spans="1:1">
      <c r="A1666" t="s">
        <v>4714</v>
      </c>
    </row>
    <row r="1667" ht="15.75" customHeight="1" spans="1:1">
      <c r="A1667" t="s">
        <v>4715</v>
      </c>
    </row>
    <row r="1668" ht="15.75" customHeight="1" spans="1:1">
      <c r="A1668" t="s">
        <v>4716</v>
      </c>
    </row>
    <row r="1669" ht="15.75" customHeight="1" spans="1:1">
      <c r="A1669" t="s">
        <v>4717</v>
      </c>
    </row>
    <row r="1670" ht="15.75" customHeight="1" spans="1:1">
      <c r="A1670" t="s">
        <v>4718</v>
      </c>
    </row>
    <row r="1671" ht="15.75" customHeight="1" spans="1:1">
      <c r="A1671" t="s">
        <v>4719</v>
      </c>
    </row>
    <row r="1672" ht="15.75" customHeight="1" spans="1:1">
      <c r="A1672" t="s">
        <v>4720</v>
      </c>
    </row>
    <row r="1673" ht="15.75" customHeight="1" spans="1:1">
      <c r="A1673" t="s">
        <v>4721</v>
      </c>
    </row>
    <row r="1674" ht="15.75" customHeight="1" spans="1:1">
      <c r="A1674" t="s">
        <v>4722</v>
      </c>
    </row>
    <row r="1675" ht="15.75" customHeight="1" spans="1:1">
      <c r="A1675" t="s">
        <v>4723</v>
      </c>
    </row>
    <row r="1676" ht="15.75" customHeight="1" spans="1:1">
      <c r="A1676" t="s">
        <v>4724</v>
      </c>
    </row>
    <row r="1677" ht="15.75" customHeight="1" spans="1:1">
      <c r="A1677" t="s">
        <v>4725</v>
      </c>
    </row>
    <row r="1678" ht="15.75" customHeight="1" spans="1:1">
      <c r="A1678" t="s">
        <v>4726</v>
      </c>
    </row>
    <row r="1679" ht="15.75" customHeight="1" spans="1:1">
      <c r="A1679" t="s">
        <v>4727</v>
      </c>
    </row>
    <row r="1680" ht="15.75" customHeight="1" spans="1:1">
      <c r="A1680" t="s">
        <v>4728</v>
      </c>
    </row>
    <row r="1681" ht="15.75" customHeight="1" spans="1:1">
      <c r="A1681" t="s">
        <v>4729</v>
      </c>
    </row>
    <row r="1682" ht="15.75" customHeight="1" spans="1:1">
      <c r="A1682" t="s">
        <v>4730</v>
      </c>
    </row>
    <row r="1683" ht="15.75" customHeight="1" spans="1:1">
      <c r="A1683" t="s">
        <v>4731</v>
      </c>
    </row>
    <row r="1684" ht="15.75" customHeight="1" spans="1:1">
      <c r="A1684" t="s">
        <v>4732</v>
      </c>
    </row>
    <row r="1685" ht="15.75" customHeight="1" spans="1:1">
      <c r="A1685" t="s">
        <v>4733</v>
      </c>
    </row>
    <row r="1686" ht="15.75" customHeight="1" spans="1:1">
      <c r="A1686" t="s">
        <v>4734</v>
      </c>
    </row>
    <row r="1687" ht="15.75" customHeight="1" spans="1:1">
      <c r="A1687" t="s">
        <v>4735</v>
      </c>
    </row>
    <row r="1688" ht="15.75" customHeight="1" spans="1:1">
      <c r="A1688" t="s">
        <v>4736</v>
      </c>
    </row>
    <row r="1689" ht="15.75" customHeight="1" spans="1:1">
      <c r="A1689" t="s">
        <v>4737</v>
      </c>
    </row>
    <row r="1690" ht="15.75" customHeight="1" spans="1:1">
      <c r="A1690" t="s">
        <v>4738</v>
      </c>
    </row>
    <row r="1691" ht="15.75" customHeight="1" spans="1:1">
      <c r="A1691" t="s">
        <v>4739</v>
      </c>
    </row>
    <row r="1692" ht="15.75" customHeight="1" spans="1:1">
      <c r="A1692" t="s">
        <v>4740</v>
      </c>
    </row>
    <row r="1693" ht="15.75" customHeight="1" spans="1:1">
      <c r="A1693" t="s">
        <v>4741</v>
      </c>
    </row>
    <row r="1694" ht="15.75" customHeight="1" spans="1:1">
      <c r="A1694" t="s">
        <v>4742</v>
      </c>
    </row>
    <row r="1695" ht="15.75" customHeight="1" spans="1:1">
      <c r="A1695" t="s">
        <v>4743</v>
      </c>
    </row>
    <row r="1696" ht="15.75" customHeight="1" spans="1:1">
      <c r="A1696" t="s">
        <v>4744</v>
      </c>
    </row>
    <row r="1697" ht="15.75" customHeight="1" spans="1:1">
      <c r="A1697" t="s">
        <v>4745</v>
      </c>
    </row>
    <row r="1698" ht="15.75" customHeight="1" spans="1:1">
      <c r="A1698" t="s">
        <v>4746</v>
      </c>
    </row>
    <row r="1699" ht="15.75" customHeight="1" spans="1:1">
      <c r="A1699" t="s">
        <v>4747</v>
      </c>
    </row>
    <row r="1700" ht="15.75" customHeight="1" spans="1:1">
      <c r="A1700" t="s">
        <v>4748</v>
      </c>
    </row>
    <row r="1701" ht="15.75" customHeight="1" spans="1:1">
      <c r="A1701" t="s">
        <v>4749</v>
      </c>
    </row>
    <row r="1702" ht="15.75" customHeight="1" spans="1:1">
      <c r="A1702" t="s">
        <v>4750</v>
      </c>
    </row>
    <row r="1703" ht="15.75" customHeight="1" spans="1:1">
      <c r="A1703" t="s">
        <v>4751</v>
      </c>
    </row>
    <row r="1704" ht="15.75" customHeight="1" spans="1:1">
      <c r="A1704" t="s">
        <v>4752</v>
      </c>
    </row>
    <row r="1705" ht="15.75" customHeight="1" spans="1:1">
      <c r="A1705" t="s">
        <v>4753</v>
      </c>
    </row>
    <row r="1706" ht="15.75" customHeight="1" spans="1:1">
      <c r="A1706" t="s">
        <v>4754</v>
      </c>
    </row>
    <row r="1707" ht="15.75" customHeight="1" spans="1:1">
      <c r="A1707" t="s">
        <v>4755</v>
      </c>
    </row>
    <row r="1708" ht="15.75" customHeight="1" spans="1:1">
      <c r="A1708" t="s">
        <v>4756</v>
      </c>
    </row>
    <row r="1709" ht="15.75" customHeight="1" spans="1:1">
      <c r="A1709" t="s">
        <v>4757</v>
      </c>
    </row>
    <row r="1710" ht="15.75" customHeight="1" spans="1:1">
      <c r="A1710" t="s">
        <v>4758</v>
      </c>
    </row>
    <row r="1711" ht="15.75" customHeight="1" spans="1:1">
      <c r="A1711" t="s">
        <v>4759</v>
      </c>
    </row>
    <row r="1712" ht="15.75" customHeight="1" spans="1:1">
      <c r="A1712" t="s">
        <v>4760</v>
      </c>
    </row>
    <row r="1713" ht="15.75" customHeight="1" spans="1:1">
      <c r="A1713" t="s">
        <v>4761</v>
      </c>
    </row>
    <row r="1714" ht="15.75" customHeight="1" spans="1:1">
      <c r="A1714" t="s">
        <v>4762</v>
      </c>
    </row>
    <row r="1715" ht="15.75" customHeight="1" spans="1:1">
      <c r="A1715" t="s">
        <v>4763</v>
      </c>
    </row>
    <row r="1716" ht="15.75" customHeight="1" spans="1:1">
      <c r="A1716" t="s">
        <v>4764</v>
      </c>
    </row>
    <row r="1717" ht="15.75" customHeight="1" spans="1:1">
      <c r="A1717" t="s">
        <v>4765</v>
      </c>
    </row>
    <row r="1718" ht="15.75" customHeight="1" spans="1:1">
      <c r="A1718" t="s">
        <v>4766</v>
      </c>
    </row>
    <row r="1719" ht="15.75" customHeight="1" spans="1:1">
      <c r="A1719" t="s">
        <v>4767</v>
      </c>
    </row>
    <row r="1720" ht="15.75" customHeight="1" spans="1:1">
      <c r="A1720" t="s">
        <v>4768</v>
      </c>
    </row>
    <row r="1721" ht="15.75" customHeight="1" spans="1:1">
      <c r="A1721" t="s">
        <v>4769</v>
      </c>
    </row>
    <row r="1722" ht="15.75" customHeight="1" spans="1:1">
      <c r="A1722" t="s">
        <v>4770</v>
      </c>
    </row>
    <row r="1723" ht="15.75" customHeight="1" spans="1:1">
      <c r="A1723" t="s">
        <v>4771</v>
      </c>
    </row>
    <row r="1724" ht="15.75" customHeight="1" spans="1:1">
      <c r="A1724" t="s">
        <v>4772</v>
      </c>
    </row>
    <row r="1725" ht="15.75" customHeight="1" spans="1:1">
      <c r="A1725" t="s">
        <v>4773</v>
      </c>
    </row>
    <row r="1726" ht="15.75" customHeight="1" spans="1:1">
      <c r="A1726" t="s">
        <v>4774</v>
      </c>
    </row>
    <row r="1727" ht="15.75" customHeight="1" spans="1:1">
      <c r="A1727" t="s">
        <v>4775</v>
      </c>
    </row>
    <row r="1728" ht="15.75" customHeight="1" spans="1:1">
      <c r="A1728" t="s">
        <v>4776</v>
      </c>
    </row>
    <row r="1729" ht="15.75" customHeight="1" spans="1:1">
      <c r="A1729" t="s">
        <v>4777</v>
      </c>
    </row>
    <row r="1730" ht="15.75" customHeight="1" spans="1:1">
      <c r="A1730" t="s">
        <v>4778</v>
      </c>
    </row>
    <row r="1731" ht="15.75" customHeight="1" spans="1:1">
      <c r="A1731" t="s">
        <v>4779</v>
      </c>
    </row>
    <row r="1732" ht="15.75" customHeight="1" spans="1:1">
      <c r="A1732" t="s">
        <v>4780</v>
      </c>
    </row>
    <row r="1733" ht="15.75" customHeight="1" spans="1:1">
      <c r="A1733" t="s">
        <v>4781</v>
      </c>
    </row>
    <row r="1734" ht="15.75" customHeight="1" spans="1:1">
      <c r="A1734" t="s">
        <v>4782</v>
      </c>
    </row>
    <row r="1735" ht="15.75" customHeight="1" spans="1:1">
      <c r="A1735" t="s">
        <v>4783</v>
      </c>
    </row>
    <row r="1736" ht="15.75" customHeight="1" spans="1:1">
      <c r="A1736" t="s">
        <v>4784</v>
      </c>
    </row>
    <row r="1737" ht="15.75" customHeight="1" spans="1:1">
      <c r="A1737" t="s">
        <v>4785</v>
      </c>
    </row>
    <row r="1738" ht="15.75" customHeight="1" spans="1:1">
      <c r="A1738" t="s">
        <v>4786</v>
      </c>
    </row>
    <row r="1739" ht="15.75" customHeight="1" spans="1:1">
      <c r="A1739" t="s">
        <v>4787</v>
      </c>
    </row>
    <row r="1740" ht="15.75" customHeight="1" spans="1:1">
      <c r="A1740" t="s">
        <v>4788</v>
      </c>
    </row>
    <row r="1741" ht="15.75" customHeight="1" spans="1:1">
      <c r="A1741" t="s">
        <v>4789</v>
      </c>
    </row>
    <row r="1742" ht="15.75" customHeight="1" spans="1:1">
      <c r="A1742" t="s">
        <v>4790</v>
      </c>
    </row>
    <row r="1743" ht="15.75" customHeight="1" spans="1:1">
      <c r="A1743" t="s">
        <v>4791</v>
      </c>
    </row>
    <row r="1744" ht="15.75" customHeight="1" spans="1:1">
      <c r="A1744" t="s">
        <v>4792</v>
      </c>
    </row>
    <row r="1745" ht="15.75" customHeight="1" spans="1:1">
      <c r="A1745" t="s">
        <v>4793</v>
      </c>
    </row>
    <row r="1746" ht="15.75" customHeight="1" spans="1:1">
      <c r="A1746" t="s">
        <v>4794</v>
      </c>
    </row>
    <row r="1747" ht="15.75" customHeight="1" spans="1:1">
      <c r="A1747" t="s">
        <v>4795</v>
      </c>
    </row>
    <row r="1748" ht="15.75" customHeight="1" spans="1:1">
      <c r="A1748" t="s">
        <v>4796</v>
      </c>
    </row>
    <row r="1749" ht="15.75" customHeight="1" spans="1:1">
      <c r="A1749" t="s">
        <v>4797</v>
      </c>
    </row>
    <row r="1750" ht="15.75" customHeight="1" spans="1:1">
      <c r="A1750" t="s">
        <v>4798</v>
      </c>
    </row>
    <row r="1751" ht="15.75" customHeight="1" spans="1:1">
      <c r="A1751" t="s">
        <v>4799</v>
      </c>
    </row>
    <row r="1752" ht="15.75" customHeight="1" spans="1:1">
      <c r="A1752" t="s">
        <v>4800</v>
      </c>
    </row>
    <row r="1753" ht="15.75" customHeight="1" spans="1:1">
      <c r="A1753" t="s">
        <v>4801</v>
      </c>
    </row>
    <row r="1754" ht="15.75" customHeight="1" spans="1:1">
      <c r="A1754" t="s">
        <v>4802</v>
      </c>
    </row>
    <row r="1755" ht="15.75" customHeight="1" spans="1:1">
      <c r="A1755" t="s">
        <v>4803</v>
      </c>
    </row>
    <row r="1756" ht="15.75" customHeight="1" spans="1:1">
      <c r="A1756" t="s">
        <v>4804</v>
      </c>
    </row>
    <row r="1757" ht="15.75" customHeight="1" spans="1:1">
      <c r="A1757" t="s">
        <v>4805</v>
      </c>
    </row>
    <row r="1758" ht="15.75" customHeight="1" spans="1:1">
      <c r="A1758" t="s">
        <v>4806</v>
      </c>
    </row>
    <row r="1759" ht="15.75" customHeight="1" spans="1:1">
      <c r="A1759" t="s">
        <v>4807</v>
      </c>
    </row>
    <row r="1760" ht="15.75" customHeight="1" spans="1:1">
      <c r="A1760" t="s">
        <v>4808</v>
      </c>
    </row>
    <row r="1761" ht="15.75" customHeight="1" spans="1:1">
      <c r="A1761" t="s">
        <v>4809</v>
      </c>
    </row>
    <row r="1762" ht="15.75" customHeight="1" spans="1:1">
      <c r="A1762" t="s">
        <v>4810</v>
      </c>
    </row>
    <row r="1763" ht="15.75" customHeight="1" spans="1:1">
      <c r="A1763" t="s">
        <v>4811</v>
      </c>
    </row>
    <row r="1764" ht="15.75" customHeight="1" spans="1:1">
      <c r="A1764" t="s">
        <v>4812</v>
      </c>
    </row>
    <row r="1765" ht="15.75" customHeight="1" spans="1:1">
      <c r="A1765" t="s">
        <v>4813</v>
      </c>
    </row>
    <row r="1766" ht="15.75" customHeight="1" spans="1:1">
      <c r="A1766" t="s">
        <v>4814</v>
      </c>
    </row>
    <row r="1767" ht="15.75" customHeight="1" spans="1:1">
      <c r="A1767" t="s">
        <v>4815</v>
      </c>
    </row>
    <row r="1768" ht="15.75" customHeight="1" spans="1:1">
      <c r="A1768" t="s">
        <v>4816</v>
      </c>
    </row>
    <row r="1769" ht="15.75" customHeight="1" spans="1:1">
      <c r="A1769" t="s">
        <v>4817</v>
      </c>
    </row>
    <row r="1770" ht="15.75" customHeight="1" spans="1:1">
      <c r="A1770" t="s">
        <v>4818</v>
      </c>
    </row>
    <row r="1771" ht="15.75" customHeight="1" spans="1:1">
      <c r="A1771" t="s">
        <v>4819</v>
      </c>
    </row>
    <row r="1772" ht="15.75" customHeight="1" spans="1:1">
      <c r="A1772" t="s">
        <v>4820</v>
      </c>
    </row>
    <row r="1773" ht="15.75" customHeight="1" spans="1:1">
      <c r="A1773" t="s">
        <v>4821</v>
      </c>
    </row>
    <row r="1774" ht="15.75" customHeight="1" spans="1:1">
      <c r="A1774" t="s">
        <v>4822</v>
      </c>
    </row>
    <row r="1775" ht="15.75" customHeight="1" spans="1:1">
      <c r="A1775" t="s">
        <v>4823</v>
      </c>
    </row>
    <row r="1776" ht="15.75" customHeight="1" spans="1:1">
      <c r="A1776" t="s">
        <v>4824</v>
      </c>
    </row>
    <row r="1777" ht="15.75" customHeight="1" spans="1:1">
      <c r="A1777" t="s">
        <v>4825</v>
      </c>
    </row>
    <row r="1778" ht="15.75" customHeight="1" spans="1:1">
      <c r="A1778" t="s">
        <v>4826</v>
      </c>
    </row>
    <row r="1779" ht="15.75" customHeight="1" spans="1:1">
      <c r="A1779" t="s">
        <v>4827</v>
      </c>
    </row>
    <row r="1780" ht="15.75" customHeight="1" spans="1:1">
      <c r="A1780" t="s">
        <v>4828</v>
      </c>
    </row>
    <row r="1781" ht="15.75" customHeight="1" spans="1:1">
      <c r="A1781" t="s">
        <v>4829</v>
      </c>
    </row>
    <row r="1782" ht="15.75" customHeight="1" spans="1:1">
      <c r="A1782" t="s">
        <v>4830</v>
      </c>
    </row>
    <row r="1783" ht="15.75" customHeight="1" spans="1:1">
      <c r="A1783" t="s">
        <v>4831</v>
      </c>
    </row>
    <row r="1784" ht="15.75" customHeight="1" spans="1:1">
      <c r="A1784" t="s">
        <v>4832</v>
      </c>
    </row>
    <row r="1785" ht="15.75" customHeight="1" spans="1:1">
      <c r="A1785" t="s">
        <v>4833</v>
      </c>
    </row>
    <row r="1786" ht="15.75" customHeight="1" spans="1:1">
      <c r="A1786" t="s">
        <v>4834</v>
      </c>
    </row>
    <row r="1787" ht="15.75" customHeight="1" spans="1:1">
      <c r="A1787" t="s">
        <v>4835</v>
      </c>
    </row>
    <row r="1788" ht="15.75" customHeight="1" spans="1:1">
      <c r="A1788" t="s">
        <v>4836</v>
      </c>
    </row>
    <row r="1789" ht="15.75" customHeight="1" spans="1:1">
      <c r="A1789" t="s">
        <v>4837</v>
      </c>
    </row>
    <row r="1790" ht="15.75" customHeight="1" spans="1:1">
      <c r="A1790" t="s">
        <v>4838</v>
      </c>
    </row>
    <row r="1791" ht="15.75" customHeight="1" spans="1:1">
      <c r="A1791" t="s">
        <v>4839</v>
      </c>
    </row>
    <row r="1792" ht="15.75" customHeight="1" spans="1:1">
      <c r="A1792" t="s">
        <v>4840</v>
      </c>
    </row>
    <row r="1793" ht="15.75" customHeight="1" spans="1:1">
      <c r="A1793" t="s">
        <v>4841</v>
      </c>
    </row>
    <row r="1794" ht="15.75" customHeight="1" spans="1:1">
      <c r="A1794" t="s">
        <v>4842</v>
      </c>
    </row>
    <row r="1795" ht="15.75" customHeight="1" spans="1:1">
      <c r="A1795" t="s">
        <v>4843</v>
      </c>
    </row>
    <row r="1796" ht="15.75" customHeight="1" spans="1:1">
      <c r="A1796" t="s">
        <v>4844</v>
      </c>
    </row>
    <row r="1797" ht="15.75" customHeight="1" spans="1:1">
      <c r="A1797" t="s">
        <v>4845</v>
      </c>
    </row>
    <row r="1798" ht="15.75" customHeight="1" spans="1:1">
      <c r="A1798" t="s">
        <v>4846</v>
      </c>
    </row>
    <row r="1799" ht="15.75" customHeight="1" spans="1:1">
      <c r="A1799" t="s">
        <v>4847</v>
      </c>
    </row>
    <row r="1800" ht="15.75" customHeight="1" spans="1:1">
      <c r="A1800" t="s">
        <v>4848</v>
      </c>
    </row>
    <row r="1801" ht="15.75" customHeight="1" spans="1:1">
      <c r="A1801" t="s">
        <v>4849</v>
      </c>
    </row>
    <row r="1802" ht="15.75" customHeight="1" spans="1:1">
      <c r="A1802" t="s">
        <v>4850</v>
      </c>
    </row>
    <row r="1803" ht="15.75" customHeight="1" spans="1:1">
      <c r="A1803" t="s">
        <v>4851</v>
      </c>
    </row>
    <row r="1804" ht="15.75" customHeight="1" spans="1:1">
      <c r="A1804" t="s">
        <v>4852</v>
      </c>
    </row>
    <row r="1805" ht="15.75" customHeight="1" spans="1:1">
      <c r="A1805" t="s">
        <v>4853</v>
      </c>
    </row>
    <row r="1806" ht="15.75" customHeight="1" spans="1:1">
      <c r="A1806" t="s">
        <v>4854</v>
      </c>
    </row>
    <row r="1807" ht="15.75" customHeight="1" spans="1:1">
      <c r="A1807" t="s">
        <v>4855</v>
      </c>
    </row>
    <row r="1808" ht="15.75" customHeight="1" spans="1:1">
      <c r="A1808" t="s">
        <v>4856</v>
      </c>
    </row>
    <row r="1809" ht="15.75" customHeight="1" spans="1:1">
      <c r="A1809" t="s">
        <v>4857</v>
      </c>
    </row>
    <row r="1810" ht="15.75" customHeight="1" spans="1:1">
      <c r="A1810" t="s">
        <v>4858</v>
      </c>
    </row>
    <row r="1811" ht="15.75" customHeight="1" spans="1:1">
      <c r="A1811" t="s">
        <v>4859</v>
      </c>
    </row>
    <row r="1812" ht="15.75" customHeight="1" spans="1:1">
      <c r="A1812" t="s">
        <v>4860</v>
      </c>
    </row>
    <row r="1813" ht="15.75" customHeight="1" spans="1:1">
      <c r="A1813" t="s">
        <v>4861</v>
      </c>
    </row>
    <row r="1814" ht="15.75" customHeight="1" spans="1:1">
      <c r="A1814" t="s">
        <v>4862</v>
      </c>
    </row>
    <row r="1815" ht="15.75" customHeight="1" spans="1:1">
      <c r="A1815" t="s">
        <v>4863</v>
      </c>
    </row>
    <row r="1816" ht="15.75" customHeight="1" spans="1:1">
      <c r="A1816" t="s">
        <v>4864</v>
      </c>
    </row>
    <row r="1817" ht="15.75" customHeight="1" spans="1:1">
      <c r="A1817" t="s">
        <v>4865</v>
      </c>
    </row>
    <row r="1818" ht="15.75" customHeight="1" spans="1:1">
      <c r="A1818" t="s">
        <v>4866</v>
      </c>
    </row>
    <row r="1819" ht="15.75" customHeight="1" spans="1:1">
      <c r="A1819" t="s">
        <v>4867</v>
      </c>
    </row>
    <row r="1820" ht="15.75" customHeight="1" spans="1:1">
      <c r="A1820" t="s">
        <v>4868</v>
      </c>
    </row>
    <row r="1821" ht="15.75" customHeight="1" spans="1:1">
      <c r="A1821" t="s">
        <v>4869</v>
      </c>
    </row>
    <row r="1822" ht="15.75" customHeight="1" spans="1:1">
      <c r="A1822" t="s">
        <v>4870</v>
      </c>
    </row>
    <row r="1823" ht="15.75" customHeight="1" spans="1:1">
      <c r="A1823" t="s">
        <v>4871</v>
      </c>
    </row>
    <row r="1824" ht="15.75" customHeight="1" spans="1:1">
      <c r="A1824" t="s">
        <v>4872</v>
      </c>
    </row>
    <row r="1825" ht="15.75" customHeight="1" spans="1:1">
      <c r="A1825" t="s">
        <v>4873</v>
      </c>
    </row>
    <row r="1826" ht="15.75" customHeight="1" spans="1:1">
      <c r="A1826" t="s">
        <v>4874</v>
      </c>
    </row>
    <row r="1827" ht="15.75" customHeight="1" spans="1:1">
      <c r="A1827" t="s">
        <v>4875</v>
      </c>
    </row>
    <row r="1828" ht="15.75" customHeight="1" spans="1:1">
      <c r="A1828" t="s">
        <v>4876</v>
      </c>
    </row>
    <row r="1829" ht="15.75" customHeight="1" spans="1:1">
      <c r="A1829" t="s">
        <v>4877</v>
      </c>
    </row>
    <row r="1830" ht="15.75" customHeight="1" spans="1:1">
      <c r="A1830" t="s">
        <v>4878</v>
      </c>
    </row>
    <row r="1831" ht="15.75" customHeight="1" spans="1:1">
      <c r="A1831" t="s">
        <v>4879</v>
      </c>
    </row>
    <row r="1832" ht="15.75" customHeight="1" spans="1:1">
      <c r="A1832" t="s">
        <v>4880</v>
      </c>
    </row>
    <row r="1833" ht="15.75" customHeight="1" spans="1:1">
      <c r="A1833" t="s">
        <v>4881</v>
      </c>
    </row>
    <row r="1834" ht="15.75" customHeight="1" spans="1:1">
      <c r="A1834" t="s">
        <v>4882</v>
      </c>
    </row>
    <row r="1835" ht="15.75" customHeight="1" spans="1:1">
      <c r="A1835" t="s">
        <v>4883</v>
      </c>
    </row>
    <row r="1836" ht="15.75" customHeight="1" spans="1:1">
      <c r="A1836" t="s">
        <v>4884</v>
      </c>
    </row>
    <row r="1837" ht="15.75" customHeight="1" spans="1:1">
      <c r="A1837" t="s">
        <v>4885</v>
      </c>
    </row>
    <row r="1838" ht="15.75" customHeight="1" spans="1:1">
      <c r="A1838" t="s">
        <v>4886</v>
      </c>
    </row>
    <row r="1839" ht="15.75" customHeight="1" spans="1:1">
      <c r="A1839" t="s">
        <v>4887</v>
      </c>
    </row>
    <row r="1840" ht="15.75" customHeight="1" spans="1:1">
      <c r="A1840" t="s">
        <v>4888</v>
      </c>
    </row>
    <row r="1841" ht="15.75" customHeight="1" spans="1:1">
      <c r="A1841" t="s">
        <v>4889</v>
      </c>
    </row>
    <row r="1842" ht="15.75" customHeight="1" spans="1:1">
      <c r="A1842" t="s">
        <v>4890</v>
      </c>
    </row>
    <row r="1843" ht="15.75" customHeight="1" spans="1:1">
      <c r="A1843" t="s">
        <v>4891</v>
      </c>
    </row>
    <row r="1844" ht="15.75" customHeight="1" spans="1:1">
      <c r="A1844" t="s">
        <v>4892</v>
      </c>
    </row>
    <row r="1845" ht="15.75" customHeight="1" spans="1:1">
      <c r="A1845" t="s">
        <v>4893</v>
      </c>
    </row>
    <row r="1846" ht="15.75" customHeight="1" spans="1:1">
      <c r="A1846" t="s">
        <v>4894</v>
      </c>
    </row>
    <row r="1847" ht="15.75" customHeight="1" spans="1:1">
      <c r="A1847" t="s">
        <v>4895</v>
      </c>
    </row>
    <row r="1848" ht="15.75" customHeight="1" spans="1:1">
      <c r="A1848" t="s">
        <v>4896</v>
      </c>
    </row>
    <row r="1849" ht="15.75" customHeight="1" spans="1:1">
      <c r="A1849" t="s">
        <v>4897</v>
      </c>
    </row>
    <row r="1850" ht="15.75" customHeight="1" spans="1:1">
      <c r="A1850" t="s">
        <v>4898</v>
      </c>
    </row>
    <row r="1851" ht="15.75" customHeight="1" spans="1:1">
      <c r="A1851" t="s">
        <v>4899</v>
      </c>
    </row>
    <row r="1852" ht="15.75" customHeight="1" spans="1:1">
      <c r="A1852" t="s">
        <v>4900</v>
      </c>
    </row>
    <row r="1853" ht="15.75" customHeight="1" spans="1:1">
      <c r="A1853" t="s">
        <v>4901</v>
      </c>
    </row>
    <row r="1854" ht="15.75" customHeight="1" spans="1:1">
      <c r="A1854" t="s">
        <v>4902</v>
      </c>
    </row>
    <row r="1855" ht="15.75" customHeight="1" spans="1:1">
      <c r="A1855" t="s">
        <v>4903</v>
      </c>
    </row>
    <row r="1856" ht="15.75" customHeight="1" spans="1:1">
      <c r="A1856" t="s">
        <v>4904</v>
      </c>
    </row>
    <row r="1857" ht="15.75" customHeight="1" spans="1:1">
      <c r="A1857" t="s">
        <v>4905</v>
      </c>
    </row>
    <row r="1858" ht="15.75" customHeight="1" spans="1:1">
      <c r="A1858" t="s">
        <v>4906</v>
      </c>
    </row>
    <row r="1859" ht="15.75" customHeight="1" spans="1:1">
      <c r="A1859" t="s">
        <v>4907</v>
      </c>
    </row>
    <row r="1860" ht="15.75" customHeight="1" spans="1:1">
      <c r="A1860" t="s">
        <v>4908</v>
      </c>
    </row>
    <row r="1861" ht="15.75" customHeight="1" spans="1:1">
      <c r="A1861" t="s">
        <v>4909</v>
      </c>
    </row>
    <row r="1862" ht="15.75" customHeight="1" spans="1:1">
      <c r="A1862" t="s">
        <v>4910</v>
      </c>
    </row>
    <row r="1863" ht="15.75" customHeight="1" spans="1:1">
      <c r="A1863" t="s">
        <v>4911</v>
      </c>
    </row>
    <row r="1864" ht="15.75" customHeight="1" spans="1:1">
      <c r="A1864" t="s">
        <v>4912</v>
      </c>
    </row>
    <row r="1865" ht="15.75" customHeight="1" spans="1:1">
      <c r="A1865" t="s">
        <v>4913</v>
      </c>
    </row>
    <row r="1866" ht="15.75" customHeight="1" spans="1:1">
      <c r="A1866" t="s">
        <v>4914</v>
      </c>
    </row>
    <row r="1867" ht="15.75" customHeight="1" spans="1:1">
      <c r="A1867" t="s">
        <v>4915</v>
      </c>
    </row>
    <row r="1868" ht="15.75" customHeight="1" spans="1:1">
      <c r="A1868" t="s">
        <v>4916</v>
      </c>
    </row>
    <row r="1869" ht="15.75" customHeight="1" spans="1:1">
      <c r="A1869" t="s">
        <v>4917</v>
      </c>
    </row>
    <row r="1870" ht="15.75" customHeight="1" spans="1:1">
      <c r="A1870" t="s">
        <v>4918</v>
      </c>
    </row>
    <row r="1871" ht="15.75" customHeight="1" spans="1:1">
      <c r="A1871" t="s">
        <v>4919</v>
      </c>
    </row>
    <row r="1872" ht="15.75" customHeight="1" spans="1:1">
      <c r="A1872" t="s">
        <v>4920</v>
      </c>
    </row>
    <row r="1873" ht="15.75" customHeight="1" spans="1:1">
      <c r="A1873" t="s">
        <v>4921</v>
      </c>
    </row>
    <row r="1874" ht="15.75" customHeight="1" spans="1:1">
      <c r="A1874" t="s">
        <v>4922</v>
      </c>
    </row>
    <row r="1875" ht="15.75" customHeight="1" spans="1:1">
      <c r="A1875" t="s">
        <v>4923</v>
      </c>
    </row>
    <row r="1876" ht="15.75" customHeight="1" spans="1:1">
      <c r="A1876" t="s">
        <v>4924</v>
      </c>
    </row>
    <row r="1877" ht="15.75" customHeight="1" spans="1:1">
      <c r="A1877" t="s">
        <v>4925</v>
      </c>
    </row>
    <row r="1878" ht="15.75" customHeight="1" spans="1:1">
      <c r="A1878" t="s">
        <v>4926</v>
      </c>
    </row>
    <row r="1879" ht="15.75" customHeight="1" spans="1:1">
      <c r="A1879" t="s">
        <v>4927</v>
      </c>
    </row>
    <row r="1880" ht="15.75" customHeight="1" spans="1:1">
      <c r="A1880" t="s">
        <v>4928</v>
      </c>
    </row>
    <row r="1881" ht="15.75" customHeight="1" spans="1:1">
      <c r="A1881" t="s">
        <v>4929</v>
      </c>
    </row>
    <row r="1882" ht="15.75" customHeight="1" spans="1:1">
      <c r="A1882" t="s">
        <v>4930</v>
      </c>
    </row>
    <row r="1883" ht="15.75" customHeight="1" spans="1:1">
      <c r="A1883" t="s">
        <v>4931</v>
      </c>
    </row>
    <row r="1884" ht="15.75" customHeight="1" spans="1:1">
      <c r="A1884" t="s">
        <v>4932</v>
      </c>
    </row>
    <row r="1885" ht="15.75" customHeight="1" spans="1:1">
      <c r="A1885" t="s">
        <v>4933</v>
      </c>
    </row>
    <row r="1886" ht="15.75" customHeight="1" spans="1:1">
      <c r="A1886" t="s">
        <v>4934</v>
      </c>
    </row>
    <row r="1887" ht="15.75" customHeight="1" spans="1:1">
      <c r="A1887" t="s">
        <v>4935</v>
      </c>
    </row>
    <row r="1888" ht="15.75" customHeight="1" spans="1:1">
      <c r="A1888" t="s">
        <v>4936</v>
      </c>
    </row>
    <row r="1889" ht="15.75" customHeight="1" spans="1:1">
      <c r="A1889" t="s">
        <v>4937</v>
      </c>
    </row>
    <row r="1890" ht="15.75" customHeight="1" spans="1:1">
      <c r="A1890" t="s">
        <v>4938</v>
      </c>
    </row>
    <row r="1891" ht="15.75" customHeight="1" spans="1:1">
      <c r="A1891" t="s">
        <v>4939</v>
      </c>
    </row>
    <row r="1892" ht="15.75" customHeight="1" spans="1:1">
      <c r="A1892" t="s">
        <v>4940</v>
      </c>
    </row>
    <row r="1893" ht="15.75" customHeight="1" spans="1:1">
      <c r="A1893" t="s">
        <v>4941</v>
      </c>
    </row>
    <row r="1894" ht="15.75" customHeight="1" spans="1:1">
      <c r="A1894" t="s">
        <v>4942</v>
      </c>
    </row>
    <row r="1895" ht="15.75" customHeight="1" spans="1:1">
      <c r="A1895" t="s">
        <v>4943</v>
      </c>
    </row>
    <row r="1896" ht="15.75" customHeight="1" spans="1:1">
      <c r="A1896" t="s">
        <v>4944</v>
      </c>
    </row>
    <row r="1897" ht="15.75" customHeight="1" spans="1:1">
      <c r="A1897" t="s">
        <v>4945</v>
      </c>
    </row>
    <row r="1898" ht="15.75" customHeight="1" spans="1:1">
      <c r="A1898" t="s">
        <v>4946</v>
      </c>
    </row>
    <row r="1899" ht="15.75" customHeight="1" spans="1:1">
      <c r="A1899" t="s">
        <v>4947</v>
      </c>
    </row>
    <row r="1900" ht="15.75" customHeight="1" spans="1:1">
      <c r="A1900" t="s">
        <v>4948</v>
      </c>
    </row>
    <row r="1901" ht="15.75" customHeight="1" spans="1:1">
      <c r="A1901" t="s">
        <v>4949</v>
      </c>
    </row>
    <row r="1902" ht="15.75" customHeight="1" spans="1:1">
      <c r="A1902" t="s">
        <v>4950</v>
      </c>
    </row>
    <row r="1903" ht="15.75" customHeight="1" spans="1:1">
      <c r="A1903" t="s">
        <v>4951</v>
      </c>
    </row>
    <row r="1904" ht="15.75" customHeight="1" spans="1:1">
      <c r="A1904" t="s">
        <v>4952</v>
      </c>
    </row>
    <row r="1905" ht="15.75" customHeight="1" spans="1:1">
      <c r="A1905" t="s">
        <v>4953</v>
      </c>
    </row>
    <row r="1906" ht="15.75" customHeight="1" spans="1:1">
      <c r="A1906" t="s">
        <v>4954</v>
      </c>
    </row>
    <row r="1907" ht="15.75" customHeight="1" spans="1:1">
      <c r="A1907" t="s">
        <v>4955</v>
      </c>
    </row>
    <row r="1908" ht="15.75" customHeight="1" spans="1:1">
      <c r="A1908" t="s">
        <v>4956</v>
      </c>
    </row>
    <row r="1909" ht="15.75" customHeight="1" spans="1:1">
      <c r="A1909" t="s">
        <v>4957</v>
      </c>
    </row>
    <row r="1910" ht="15.75" customHeight="1" spans="1:1">
      <c r="A1910" t="s">
        <v>4958</v>
      </c>
    </row>
    <row r="1911" ht="15.75" customHeight="1" spans="1:1">
      <c r="A1911" t="s">
        <v>4959</v>
      </c>
    </row>
    <row r="1912" ht="15.75" customHeight="1" spans="1:1">
      <c r="A1912" t="s">
        <v>4960</v>
      </c>
    </row>
    <row r="1913" ht="15.75" customHeight="1" spans="1:1">
      <c r="A1913" t="s">
        <v>4961</v>
      </c>
    </row>
    <row r="1914" ht="15.75" customHeight="1" spans="1:1">
      <c r="A1914" t="s">
        <v>4962</v>
      </c>
    </row>
    <row r="1915" ht="15.75" customHeight="1" spans="1:1">
      <c r="A1915" t="s">
        <v>4963</v>
      </c>
    </row>
    <row r="1916" ht="15.75" customHeight="1" spans="1:1">
      <c r="A1916" t="s">
        <v>4964</v>
      </c>
    </row>
    <row r="1917" ht="15.75" customHeight="1" spans="1:1">
      <c r="A1917" t="s">
        <v>4965</v>
      </c>
    </row>
    <row r="1918" ht="15.75" customHeight="1" spans="1:1">
      <c r="A1918" t="s">
        <v>4966</v>
      </c>
    </row>
    <row r="1919" ht="15.75" customHeight="1" spans="1:1">
      <c r="A1919" t="s">
        <v>4967</v>
      </c>
    </row>
    <row r="1920" ht="15.75" customHeight="1" spans="1:1">
      <c r="A1920" t="s">
        <v>4968</v>
      </c>
    </row>
    <row r="1921" ht="15.75" customHeight="1" spans="1:1">
      <c r="A1921" t="s">
        <v>4969</v>
      </c>
    </row>
    <row r="1922" ht="15.75" customHeight="1" spans="1:1">
      <c r="A1922" t="s">
        <v>4970</v>
      </c>
    </row>
    <row r="1923" ht="15.75" customHeight="1" spans="1:1">
      <c r="A1923" t="s">
        <v>4971</v>
      </c>
    </row>
    <row r="1924" ht="15.75" customHeight="1" spans="1:1">
      <c r="A1924" t="s">
        <v>4972</v>
      </c>
    </row>
    <row r="1925" ht="15.75" customHeight="1" spans="1:1">
      <c r="A1925" t="s">
        <v>4973</v>
      </c>
    </row>
    <row r="1926" ht="15.75" customHeight="1" spans="1:1">
      <c r="A1926" t="s">
        <v>4974</v>
      </c>
    </row>
    <row r="1927" ht="15.75" customHeight="1" spans="1:1">
      <c r="A1927" t="s">
        <v>4975</v>
      </c>
    </row>
    <row r="1928" ht="15.75" customHeight="1" spans="1:1">
      <c r="A1928" t="s">
        <v>4976</v>
      </c>
    </row>
    <row r="1929" ht="15.75" customHeight="1" spans="1:1">
      <c r="A1929" t="s">
        <v>4977</v>
      </c>
    </row>
    <row r="1930" ht="15.75" customHeight="1" spans="1:1">
      <c r="A1930" t="s">
        <v>4978</v>
      </c>
    </row>
    <row r="1931" ht="15.75" customHeight="1" spans="1:1">
      <c r="A1931" t="s">
        <v>4979</v>
      </c>
    </row>
    <row r="1932" ht="15.75" customHeight="1" spans="1:1">
      <c r="A1932" t="s">
        <v>4980</v>
      </c>
    </row>
    <row r="1933" ht="15.75" customHeight="1" spans="1:1">
      <c r="A1933" t="s">
        <v>4981</v>
      </c>
    </row>
    <row r="1934" ht="15.75" customHeight="1" spans="1:1">
      <c r="A1934" t="s">
        <v>4982</v>
      </c>
    </row>
    <row r="1935" ht="15.75" customHeight="1" spans="1:1">
      <c r="A1935" t="s">
        <v>4983</v>
      </c>
    </row>
    <row r="1936" ht="15.75" customHeight="1" spans="1:1">
      <c r="A1936" t="s">
        <v>4984</v>
      </c>
    </row>
    <row r="1937" ht="15.75" customHeight="1" spans="1:1">
      <c r="A1937" t="s">
        <v>4985</v>
      </c>
    </row>
    <row r="1938" ht="15.75" customHeight="1" spans="1:1">
      <c r="A1938" t="s">
        <v>4986</v>
      </c>
    </row>
    <row r="1939" ht="15.75" customHeight="1" spans="1:1">
      <c r="A1939" t="s">
        <v>4987</v>
      </c>
    </row>
    <row r="1940" ht="15.75" customHeight="1" spans="1:1">
      <c r="A1940" t="s">
        <v>4988</v>
      </c>
    </row>
    <row r="1941" ht="15.75" customHeight="1" spans="1:1">
      <c r="A1941" t="s">
        <v>4989</v>
      </c>
    </row>
    <row r="1942" ht="15.75" customHeight="1" spans="1:1">
      <c r="A1942" t="s">
        <v>4990</v>
      </c>
    </row>
    <row r="1943" ht="15.75" customHeight="1" spans="1:1">
      <c r="A1943" t="s">
        <v>4991</v>
      </c>
    </row>
    <row r="1944" ht="15.75" customHeight="1" spans="1:1">
      <c r="A1944" t="s">
        <v>4992</v>
      </c>
    </row>
    <row r="1945" ht="15.75" customHeight="1" spans="1:1">
      <c r="A1945" t="s">
        <v>4993</v>
      </c>
    </row>
    <row r="1946" ht="15.75" customHeight="1" spans="1:1">
      <c r="A1946" t="s">
        <v>4994</v>
      </c>
    </row>
    <row r="1947" ht="15.75" customHeight="1" spans="1:1">
      <c r="A1947" t="s">
        <v>4995</v>
      </c>
    </row>
    <row r="1948" ht="15.75" customHeight="1" spans="1:1">
      <c r="A1948" t="s">
        <v>4996</v>
      </c>
    </row>
    <row r="1949" ht="15.75" customHeight="1" spans="1:1">
      <c r="A1949" t="s">
        <v>4997</v>
      </c>
    </row>
    <row r="1950" ht="15.75" customHeight="1" spans="1:1">
      <c r="A1950" t="s">
        <v>4998</v>
      </c>
    </row>
    <row r="1951" ht="15.75" customHeight="1" spans="1:1">
      <c r="A1951" t="s">
        <v>4999</v>
      </c>
    </row>
    <row r="1952" ht="15.75" customHeight="1" spans="1:1">
      <c r="A1952" t="s">
        <v>5000</v>
      </c>
    </row>
    <row r="1953" ht="15.75" customHeight="1" spans="1:1">
      <c r="A1953" t="s">
        <v>5001</v>
      </c>
    </row>
    <row r="1954" ht="15.75" customHeight="1" spans="1:1">
      <c r="A1954" t="s">
        <v>5002</v>
      </c>
    </row>
    <row r="1955" ht="15.75" customHeight="1" spans="1:1">
      <c r="A1955" t="s">
        <v>5003</v>
      </c>
    </row>
    <row r="1956" ht="15.75" customHeight="1" spans="1:1">
      <c r="A1956" t="s">
        <v>5004</v>
      </c>
    </row>
    <row r="1957" ht="15.75" customHeight="1" spans="1:1">
      <c r="A1957" t="s">
        <v>5005</v>
      </c>
    </row>
    <row r="1958" ht="15.75" customHeight="1" spans="1:1">
      <c r="A1958" t="s">
        <v>5006</v>
      </c>
    </row>
    <row r="1959" ht="15.75" customHeight="1" spans="1:1">
      <c r="A1959" t="s">
        <v>5007</v>
      </c>
    </row>
    <row r="1960" ht="15.75" customHeight="1" spans="1:1">
      <c r="A1960" t="s">
        <v>5008</v>
      </c>
    </row>
    <row r="1961" ht="15.75" customHeight="1" spans="1:1">
      <c r="A1961" t="s">
        <v>5009</v>
      </c>
    </row>
    <row r="1962" ht="15.75" customHeight="1" spans="1:1">
      <c r="A1962" t="s">
        <v>5010</v>
      </c>
    </row>
    <row r="1963" ht="15.75" customHeight="1" spans="1:1">
      <c r="A1963" t="s">
        <v>5011</v>
      </c>
    </row>
    <row r="1964" ht="15.75" customHeight="1" spans="1:1">
      <c r="A1964" t="s">
        <v>5012</v>
      </c>
    </row>
    <row r="1965" ht="15.75" customHeight="1" spans="1:1">
      <c r="A1965" t="s">
        <v>5013</v>
      </c>
    </row>
    <row r="1966" ht="15.75" customHeight="1" spans="1:1">
      <c r="A1966" t="s">
        <v>5014</v>
      </c>
    </row>
    <row r="1967" ht="15.75" customHeight="1" spans="1:1">
      <c r="A1967" t="s">
        <v>5015</v>
      </c>
    </row>
    <row r="1968" ht="15.75" customHeight="1" spans="1:1">
      <c r="A1968" t="s">
        <v>5016</v>
      </c>
    </row>
    <row r="1969" ht="15.75" customHeight="1" spans="1:1">
      <c r="A1969" t="s">
        <v>5017</v>
      </c>
    </row>
    <row r="1970" ht="15.75" customHeight="1" spans="1:1">
      <c r="A1970" t="s">
        <v>5018</v>
      </c>
    </row>
    <row r="1971" ht="15.75" customHeight="1" spans="1:1">
      <c r="A1971" t="s">
        <v>5019</v>
      </c>
    </row>
    <row r="1972" ht="15.75" customHeight="1" spans="1:1">
      <c r="A1972" t="s">
        <v>5020</v>
      </c>
    </row>
    <row r="1973" ht="15.75" customHeight="1" spans="1:1">
      <c r="A1973" t="s">
        <v>5021</v>
      </c>
    </row>
    <row r="1974" ht="15.75" customHeight="1" spans="1:1">
      <c r="A1974" t="s">
        <v>5022</v>
      </c>
    </row>
    <row r="1975" ht="15.75" customHeight="1" spans="1:1">
      <c r="A1975" t="s">
        <v>5023</v>
      </c>
    </row>
    <row r="1976" ht="15.75" customHeight="1" spans="1:1">
      <c r="A1976" t="s">
        <v>5024</v>
      </c>
    </row>
    <row r="1977" ht="15.75" customHeight="1" spans="1:1">
      <c r="A1977" t="s">
        <v>5025</v>
      </c>
    </row>
    <row r="1978" ht="15.75" customHeight="1" spans="1:1">
      <c r="A1978" t="s">
        <v>5026</v>
      </c>
    </row>
    <row r="1979" ht="15.75" customHeight="1" spans="1:1">
      <c r="A1979" t="s">
        <v>5027</v>
      </c>
    </row>
    <row r="1980" ht="15.75" customHeight="1" spans="1:1">
      <c r="A1980" t="s">
        <v>5028</v>
      </c>
    </row>
    <row r="1981" ht="15.75" customHeight="1" spans="1:1">
      <c r="A1981" t="s">
        <v>5029</v>
      </c>
    </row>
    <row r="1982" ht="15.75" customHeight="1" spans="1:1">
      <c r="A1982" t="s">
        <v>5030</v>
      </c>
    </row>
    <row r="1983" ht="15.75" customHeight="1" spans="1:1">
      <c r="A1983" t="s">
        <v>5031</v>
      </c>
    </row>
    <row r="1984" ht="15.75" customHeight="1" spans="1:1">
      <c r="A1984" t="s">
        <v>5032</v>
      </c>
    </row>
    <row r="1985" ht="15.75" customHeight="1" spans="1:1">
      <c r="A1985" t="s">
        <v>5033</v>
      </c>
    </row>
    <row r="1986" ht="15.75" customHeight="1" spans="1:1">
      <c r="A1986" t="s">
        <v>5034</v>
      </c>
    </row>
    <row r="1987" ht="15.75" customHeight="1" spans="1:1">
      <c r="A1987" t="s">
        <v>5035</v>
      </c>
    </row>
    <row r="1988" ht="15.75" customHeight="1" spans="1:1">
      <c r="A1988" t="s">
        <v>5036</v>
      </c>
    </row>
    <row r="1989" ht="15.75" customHeight="1" spans="1:1">
      <c r="A1989" t="s">
        <v>5037</v>
      </c>
    </row>
    <row r="1990" ht="15.75" customHeight="1" spans="1:1">
      <c r="A1990" t="s">
        <v>5038</v>
      </c>
    </row>
    <row r="1991" ht="15.75" customHeight="1" spans="1:1">
      <c r="A1991" t="s">
        <v>5039</v>
      </c>
    </row>
    <row r="1992" ht="15.75" customHeight="1" spans="1:1">
      <c r="A1992" t="s">
        <v>5040</v>
      </c>
    </row>
    <row r="1993" ht="15.75" customHeight="1" spans="1:1">
      <c r="A1993" t="s">
        <v>5041</v>
      </c>
    </row>
    <row r="1994" ht="15.75" customHeight="1" spans="1:1">
      <c r="A1994" t="s">
        <v>5042</v>
      </c>
    </row>
    <row r="1995" ht="15.75" customHeight="1" spans="1:1">
      <c r="A1995" t="s">
        <v>5043</v>
      </c>
    </row>
    <row r="1996" ht="15.75" customHeight="1" spans="1:1">
      <c r="A1996" t="s">
        <v>5044</v>
      </c>
    </row>
    <row r="1997" ht="15.75" customHeight="1" spans="1:1">
      <c r="A1997" t="s">
        <v>5045</v>
      </c>
    </row>
    <row r="1998" ht="15.75" customHeight="1" spans="1:1">
      <c r="A1998" t="s">
        <v>5046</v>
      </c>
    </row>
    <row r="1999" ht="15.75" customHeight="1" spans="1:1">
      <c r="A1999" t="s">
        <v>5047</v>
      </c>
    </row>
    <row r="2000" ht="15.75" customHeight="1" spans="1:1">
      <c r="A2000" t="s">
        <v>5048</v>
      </c>
    </row>
    <row r="2001" ht="15.75" customHeight="1" spans="1:1">
      <c r="A2001" t="s">
        <v>5049</v>
      </c>
    </row>
    <row r="2002" ht="15.75" customHeight="1" spans="1:1">
      <c r="A2002" t="s">
        <v>5050</v>
      </c>
    </row>
    <row r="2003" ht="15.75" customHeight="1" spans="1:1">
      <c r="A2003" t="s">
        <v>5051</v>
      </c>
    </row>
    <row r="2004" ht="15.75" customHeight="1" spans="1:1">
      <c r="A2004" t="s">
        <v>5052</v>
      </c>
    </row>
    <row r="2005" ht="15.75" customHeight="1" spans="1:1">
      <c r="A2005" t="s">
        <v>5053</v>
      </c>
    </row>
    <row r="2006" ht="15.75" customHeight="1" spans="1:1">
      <c r="A2006" t="s">
        <v>5054</v>
      </c>
    </row>
    <row r="2007" ht="15.75" customHeight="1" spans="1:1">
      <c r="A2007" t="s">
        <v>5055</v>
      </c>
    </row>
    <row r="2008" ht="15.75" customHeight="1" spans="1:1">
      <c r="A2008" t="s">
        <v>5056</v>
      </c>
    </row>
    <row r="2009" ht="15.75" customHeight="1" spans="1:1">
      <c r="A2009" t="s">
        <v>5057</v>
      </c>
    </row>
    <row r="2010" ht="15.75" customHeight="1" spans="1:1">
      <c r="A2010" t="s">
        <v>5058</v>
      </c>
    </row>
    <row r="2011" ht="15.75" customHeight="1" spans="1:1">
      <c r="A2011" t="s">
        <v>5059</v>
      </c>
    </row>
    <row r="2012" ht="15.75" customHeight="1" spans="1:1">
      <c r="A2012" t="s">
        <v>5060</v>
      </c>
    </row>
    <row r="2013" ht="15.75" customHeight="1" spans="1:1">
      <c r="A2013" t="s">
        <v>5061</v>
      </c>
    </row>
    <row r="2014" ht="15.75" customHeight="1" spans="1:1">
      <c r="A2014" t="s">
        <v>5062</v>
      </c>
    </row>
    <row r="2015" ht="15.75" customHeight="1" spans="1:1">
      <c r="A2015" t="s">
        <v>5063</v>
      </c>
    </row>
    <row r="2016" ht="15.75" customHeight="1" spans="1:1">
      <c r="A2016" t="s">
        <v>5064</v>
      </c>
    </row>
    <row r="2017" ht="15.75" customHeight="1" spans="1:1">
      <c r="A2017" t="s">
        <v>5065</v>
      </c>
    </row>
    <row r="2018" ht="15.75" customHeight="1" spans="1:1">
      <c r="A2018" t="s">
        <v>5066</v>
      </c>
    </row>
    <row r="2019" ht="15.75" customHeight="1" spans="1:1">
      <c r="A2019" t="s">
        <v>5067</v>
      </c>
    </row>
    <row r="2020" ht="15.75" customHeight="1" spans="1:1">
      <c r="A2020" t="s">
        <v>5068</v>
      </c>
    </row>
    <row r="2021" ht="15.75" customHeight="1" spans="1:1">
      <c r="A2021" t="s">
        <v>5069</v>
      </c>
    </row>
    <row r="2022" ht="15.75" customHeight="1" spans="1:1">
      <c r="A2022" t="s">
        <v>5070</v>
      </c>
    </row>
    <row r="2023" ht="15.75" customHeight="1" spans="1:1">
      <c r="A2023" t="s">
        <v>5071</v>
      </c>
    </row>
    <row r="2024" ht="15.75" customHeight="1" spans="1:1">
      <c r="A2024" t="s">
        <v>5072</v>
      </c>
    </row>
    <row r="2025" ht="15.75" customHeight="1" spans="1:1">
      <c r="A2025" t="s">
        <v>5073</v>
      </c>
    </row>
    <row r="2026" ht="15.75" customHeight="1" spans="1:1">
      <c r="A2026" t="s">
        <v>5074</v>
      </c>
    </row>
    <row r="2027" ht="15.75" customHeight="1" spans="1:1">
      <c r="A2027" t="s">
        <v>5075</v>
      </c>
    </row>
    <row r="2028" ht="15.75" customHeight="1" spans="1:1">
      <c r="A2028" t="s">
        <v>5076</v>
      </c>
    </row>
    <row r="2029" ht="15.75" customHeight="1" spans="1:1">
      <c r="A2029" t="s">
        <v>5077</v>
      </c>
    </row>
    <row r="2030" ht="15.75" customHeight="1" spans="1:1">
      <c r="A2030" t="s">
        <v>5078</v>
      </c>
    </row>
    <row r="2031" ht="15.75" customHeight="1" spans="1:1">
      <c r="A2031" t="s">
        <v>5079</v>
      </c>
    </row>
    <row r="2032" ht="15.75" customHeight="1" spans="1:1">
      <c r="A2032" t="s">
        <v>5080</v>
      </c>
    </row>
    <row r="2033" ht="15.75" customHeight="1" spans="1:1">
      <c r="A2033" t="s">
        <v>5081</v>
      </c>
    </row>
    <row r="2034" ht="15.75" customHeight="1" spans="1:1">
      <c r="A2034" t="s">
        <v>5082</v>
      </c>
    </row>
    <row r="2035" ht="15.75" customHeight="1" spans="1:1">
      <c r="A2035" t="s">
        <v>5083</v>
      </c>
    </row>
    <row r="2036" ht="15.75" customHeight="1" spans="1:1">
      <c r="A2036" t="s">
        <v>5084</v>
      </c>
    </row>
    <row r="2037" ht="15.75" customHeight="1" spans="1:1">
      <c r="A2037" t="s">
        <v>5085</v>
      </c>
    </row>
    <row r="2038" ht="15.75" customHeight="1" spans="1:1">
      <c r="A2038" t="s">
        <v>5086</v>
      </c>
    </row>
    <row r="2039" ht="15.75" customHeight="1" spans="1:1">
      <c r="A2039" t="s">
        <v>5087</v>
      </c>
    </row>
    <row r="2040" ht="15.75" customHeight="1" spans="1:1">
      <c r="A2040" t="s">
        <v>5088</v>
      </c>
    </row>
    <row r="2041" ht="15.75" customHeight="1" spans="1:1">
      <c r="A2041" t="s">
        <v>5089</v>
      </c>
    </row>
    <row r="2042" ht="15.75" customHeight="1" spans="1:1">
      <c r="A2042" t="s">
        <v>5090</v>
      </c>
    </row>
    <row r="2043" ht="15.75" customHeight="1" spans="1:1">
      <c r="A2043" t="s">
        <v>5091</v>
      </c>
    </row>
    <row r="2044" ht="15.75" customHeight="1" spans="1:1">
      <c r="A2044" t="s">
        <v>5092</v>
      </c>
    </row>
    <row r="2045" ht="15.75" customHeight="1" spans="1:1">
      <c r="A2045" t="s">
        <v>5093</v>
      </c>
    </row>
    <row r="2046" ht="15.75" customHeight="1" spans="1:1">
      <c r="A2046" t="s">
        <v>5094</v>
      </c>
    </row>
    <row r="2047" ht="15.75" customHeight="1" spans="1:1">
      <c r="A2047" t="s">
        <v>5095</v>
      </c>
    </row>
    <row r="2048" ht="15.75" customHeight="1" spans="1:1">
      <c r="A2048" t="s">
        <v>5096</v>
      </c>
    </row>
    <row r="2049" ht="15.75" customHeight="1" spans="1:1">
      <c r="A2049" t="s">
        <v>5097</v>
      </c>
    </row>
    <row r="2050" ht="15.75" customHeight="1" spans="1:1">
      <c r="A2050" t="s">
        <v>5098</v>
      </c>
    </row>
    <row r="2051" ht="15.75" customHeight="1" spans="1:1">
      <c r="A2051" t="s">
        <v>5099</v>
      </c>
    </row>
    <row r="2052" ht="15.75" customHeight="1" spans="1:1">
      <c r="A2052" t="s">
        <v>5100</v>
      </c>
    </row>
    <row r="2053" ht="15.75" customHeight="1" spans="1:1">
      <c r="A2053" t="s">
        <v>5101</v>
      </c>
    </row>
    <row r="2054" ht="15.75" customHeight="1" spans="1:1">
      <c r="A2054" t="s">
        <v>5102</v>
      </c>
    </row>
    <row r="2055" ht="15.75" customHeight="1" spans="1:1">
      <c r="A2055" t="s">
        <v>5103</v>
      </c>
    </row>
    <row r="2056" ht="15.75" customHeight="1" spans="1:1">
      <c r="A2056" t="s">
        <v>5104</v>
      </c>
    </row>
    <row r="2057" ht="15.75" customHeight="1" spans="1:1">
      <c r="A2057" t="s">
        <v>5105</v>
      </c>
    </row>
    <row r="2058" ht="15.75" customHeight="1" spans="1:1">
      <c r="A2058" t="s">
        <v>5106</v>
      </c>
    </row>
    <row r="2059" ht="15.75" customHeight="1" spans="1:1">
      <c r="A2059" t="s">
        <v>5107</v>
      </c>
    </row>
    <row r="2060" ht="15.75" customHeight="1" spans="1:1">
      <c r="A2060" t="s">
        <v>5108</v>
      </c>
    </row>
    <row r="2061" ht="15.75" customHeight="1" spans="1:1">
      <c r="A2061" t="s">
        <v>5109</v>
      </c>
    </row>
    <row r="2062" ht="15.75" customHeight="1" spans="1:1">
      <c r="A2062" t="s">
        <v>5110</v>
      </c>
    </row>
    <row r="2063" ht="15.75" customHeight="1" spans="1:1">
      <c r="A2063" t="s">
        <v>5111</v>
      </c>
    </row>
    <row r="2064" ht="15.75" customHeight="1" spans="1:1">
      <c r="A2064" t="s">
        <v>5112</v>
      </c>
    </row>
    <row r="2065" ht="15.75" customHeight="1" spans="1:1">
      <c r="A2065" t="s">
        <v>5113</v>
      </c>
    </row>
    <row r="2066" ht="15.75" customHeight="1" spans="1:1">
      <c r="A2066" t="s">
        <v>5114</v>
      </c>
    </row>
    <row r="2067" ht="15.75" customHeight="1" spans="1:1">
      <c r="A2067" t="s">
        <v>5115</v>
      </c>
    </row>
    <row r="2068" ht="15.75" customHeight="1" spans="1:1">
      <c r="A2068" t="s">
        <v>5116</v>
      </c>
    </row>
    <row r="2069" ht="15.75" customHeight="1" spans="1:1">
      <c r="A2069" t="s">
        <v>5117</v>
      </c>
    </row>
    <row r="2070" ht="15.75" customHeight="1" spans="1:1">
      <c r="A2070" t="s">
        <v>5118</v>
      </c>
    </row>
    <row r="2071" ht="15.75" customHeight="1" spans="1:1">
      <c r="A2071" t="s">
        <v>5119</v>
      </c>
    </row>
    <row r="2072" ht="15.75" customHeight="1" spans="1:1">
      <c r="A2072" t="s">
        <v>5120</v>
      </c>
    </row>
    <row r="2073" ht="15.75" customHeight="1" spans="1:1">
      <c r="A2073" t="s">
        <v>5121</v>
      </c>
    </row>
    <row r="2074" ht="15.75" customHeight="1" spans="1:1">
      <c r="A2074" t="s">
        <v>5122</v>
      </c>
    </row>
    <row r="2075" ht="15.75" customHeight="1" spans="1:1">
      <c r="A2075" t="s">
        <v>5123</v>
      </c>
    </row>
    <row r="2076" ht="15.75" customHeight="1" spans="1:1">
      <c r="A2076" t="s">
        <v>5124</v>
      </c>
    </row>
    <row r="2077" ht="15.75" customHeight="1" spans="1:1">
      <c r="A2077" t="s">
        <v>5125</v>
      </c>
    </row>
    <row r="2078" ht="15.75" customHeight="1" spans="1:1">
      <c r="A2078" t="s">
        <v>5126</v>
      </c>
    </row>
    <row r="2079" ht="15.75" customHeight="1" spans="1:1">
      <c r="A2079" t="s">
        <v>5127</v>
      </c>
    </row>
    <row r="2080" ht="15.75" customHeight="1" spans="1:1">
      <c r="A2080" t="s">
        <v>5128</v>
      </c>
    </row>
    <row r="2081" ht="15.75" customHeight="1" spans="1:1">
      <c r="A2081" t="s">
        <v>5129</v>
      </c>
    </row>
    <row r="2082" ht="15.75" customHeight="1" spans="1:1">
      <c r="A2082" t="s">
        <v>5130</v>
      </c>
    </row>
    <row r="2083" ht="15.75" customHeight="1" spans="1:1">
      <c r="A2083" t="s">
        <v>5131</v>
      </c>
    </row>
    <row r="2084" ht="15.75" customHeight="1" spans="1:1">
      <c r="A2084" t="s">
        <v>5132</v>
      </c>
    </row>
    <row r="2085" ht="15.75" customHeight="1" spans="1:1">
      <c r="A2085" t="s">
        <v>5133</v>
      </c>
    </row>
    <row r="2086" ht="15.75" customHeight="1" spans="1:1">
      <c r="A2086" t="s">
        <v>5134</v>
      </c>
    </row>
    <row r="2087" ht="15.75" customHeight="1" spans="1:1">
      <c r="A2087" t="s">
        <v>5135</v>
      </c>
    </row>
    <row r="2088" ht="15.75" customHeight="1" spans="1:1">
      <c r="A2088" t="s">
        <v>5136</v>
      </c>
    </row>
    <row r="2089" ht="15.75" customHeight="1" spans="1:1">
      <c r="A2089" t="s">
        <v>5137</v>
      </c>
    </row>
    <row r="2090" ht="15.75" customHeight="1" spans="1:1">
      <c r="A2090" t="s">
        <v>5138</v>
      </c>
    </row>
    <row r="2091" ht="15.75" customHeight="1" spans="1:1">
      <c r="A2091" t="s">
        <v>5139</v>
      </c>
    </row>
    <row r="2092" ht="15.75" customHeight="1" spans="1:1">
      <c r="A2092" t="s">
        <v>5140</v>
      </c>
    </row>
    <row r="2093" ht="15.75" customHeight="1" spans="1:1">
      <c r="A2093" t="s">
        <v>5141</v>
      </c>
    </row>
    <row r="2094" ht="15.75" customHeight="1" spans="1:1">
      <c r="A2094" t="s">
        <v>5142</v>
      </c>
    </row>
    <row r="2095" ht="15.75" customHeight="1" spans="1:1">
      <c r="A2095" t="s">
        <v>5143</v>
      </c>
    </row>
    <row r="2096" ht="15.75" customHeight="1" spans="1:1">
      <c r="A2096" t="s">
        <v>5144</v>
      </c>
    </row>
    <row r="2097" ht="15.75" customHeight="1" spans="1:1">
      <c r="A2097" t="s">
        <v>5145</v>
      </c>
    </row>
    <row r="2098" ht="15.75" customHeight="1" spans="1:1">
      <c r="A2098" t="s">
        <v>5146</v>
      </c>
    </row>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2026-04-04T22:36:00Z</dcterms:created>
  <dcterms:modified xsi:type="dcterms:W3CDTF">2026-04-12T18:03:13Z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D6253F957CBC4F37A5ED2ED7052A3D4F_12</vt:lpwstr>
  </property>
  <property fmtid="{D5CDD505-2E9C-101B-9397-08002B2CF9AE}" pid="3" name="KSOProductBuildVer">
    <vt:lpwstr>1033-12.1.0.25242</vt:lpwstr>
  </property>
  <property fmtid="{D5CDD505-2E9C-101B-9397-08002B2CF9AE}" pid="4" name="CalculationRule">
    <vt:i4>0</vt:i4>
  </property>
  <property fmtid="{D5CDD505-2E9C-101B-9397-08002B2CF9AE}" pid="5" name="KSOReadingLayout">
    <vt:bool>false</vt:bool>
  </property>
</Properties>
</file>